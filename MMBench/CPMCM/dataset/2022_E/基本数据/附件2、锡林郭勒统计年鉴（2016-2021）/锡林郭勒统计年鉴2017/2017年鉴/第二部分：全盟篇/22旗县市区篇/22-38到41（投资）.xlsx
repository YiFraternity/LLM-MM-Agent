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F06B8F1D-A5E5-4A5B-A8E5-EC29AE27BAFD}" xr6:coauthVersionLast="36" xr6:coauthVersionMax="36" xr10:uidLastSave="{00000000-0000-0000-0000-000000000000}"/>
  <bookViews>
    <workbookView xWindow="32769" yWindow="32769" windowWidth="13217" windowHeight="7003" activeTab="1"/>
  </bookViews>
  <sheets>
    <sheet name="38和39" sheetId="1" r:id="rId1"/>
    <sheet name="40和41" sheetId="2" r:id="rId2"/>
  </sheets>
  <definedNames>
    <definedName name="_xlnm._FilterDatabase" localSheetId="1" hidden="1">'40和41'!$G$25:$G$41</definedName>
  </definedNames>
  <calcPr calcId="191029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<sst xmlns="http://schemas.openxmlformats.org/spreadsheetml/2006/main" count="225" uniqueCount="156">
  <si>
    <t>单位：万元</t>
  </si>
  <si>
    <t>合计</t>
  </si>
  <si>
    <t>二连浩特市</t>
  </si>
  <si>
    <t>锡林浩特市</t>
  </si>
  <si>
    <t>苏尼特左旗</t>
  </si>
  <si>
    <t>苏尼特右旗</t>
  </si>
  <si>
    <t>东乌珠穆沁旗</t>
  </si>
  <si>
    <t>西乌珠穆沁旗</t>
  </si>
  <si>
    <t>单位：个、万元</t>
  </si>
  <si>
    <t>按投资构成分</t>
  </si>
  <si>
    <t>建筑工程</t>
  </si>
  <si>
    <t>安装工程</t>
  </si>
  <si>
    <t>其他费用</t>
  </si>
  <si>
    <t>单位:个、万元</t>
    <phoneticPr fontId="4" type="noConversion"/>
  </si>
  <si>
    <t>胜利东二号露天矿二期工程</t>
  </si>
  <si>
    <t>查干淖尔2×66万千瓦发电项目</t>
  </si>
  <si>
    <r>
      <rPr>
        <sz val="9"/>
        <rFont val="宋体"/>
        <charset val="134"/>
      </rP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</si>
  <si>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rPr>
        <sz val="9"/>
        <rFont val="宋体"/>
        <charset val="134"/>
      </rP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</si>
  <si>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</si>
  <si>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rPr>
        <sz val="9"/>
        <rFont val="宋体"/>
        <charset val="134"/>
      </rP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</si>
  <si>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rPr>
        <sz val="9"/>
        <rFont val="宋体"/>
        <charset val="134"/>
      </rP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</si>
  <si>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rPr>
        <sz val="9"/>
        <rFont val="宋体"/>
        <charset val="134"/>
      </rP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</si>
  <si>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rPr>
        <sz val="9"/>
        <rFont val="宋体"/>
        <charset val="134"/>
      </rP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</si>
  <si>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rPr>
        <sz val="9"/>
        <rFont val="宋体"/>
        <charset val="134"/>
      </rPr>
      <t>合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计</t>
    </r>
  </si>
  <si>
    <r>
      <rPr>
        <sz val="9"/>
        <rFont val="宋体"/>
        <charset val="134"/>
      </rPr>
      <t>新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建</t>
    </r>
  </si>
  <si>
    <r>
      <rPr>
        <sz val="9"/>
        <rFont val="宋体"/>
        <charset val="134"/>
      </rPr>
      <t>扩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建</t>
    </r>
  </si>
  <si>
    <r>
      <rPr>
        <sz val="9"/>
        <rFont val="宋体"/>
        <charset val="134"/>
      </rPr>
      <t>改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建</t>
    </r>
  </si>
  <si>
    <r>
      <rPr>
        <sz val="9"/>
        <rFont val="宋体"/>
        <charset val="134"/>
      </rPr>
      <t>项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目</t>
    </r>
    <r>
      <rPr>
        <sz val="9"/>
        <rFont val="Times New Roman"/>
        <family val="1"/>
      </rPr>
      <t xml:space="preserve">                                                 </t>
    </r>
    <r>
      <rPr>
        <sz val="9"/>
        <rFont val="宋体"/>
        <charset val="134"/>
      </rPr>
      <t>个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数</t>
    </r>
  </si>
  <si>
    <r>
      <rPr>
        <sz val="9"/>
        <rFont val="宋体"/>
        <charset val="134"/>
      </rPr>
      <t>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成</t>
    </r>
    <r>
      <rPr>
        <sz val="9"/>
        <rFont val="Times New Roman"/>
        <family val="1"/>
      </rPr>
      <t xml:space="preserve">                                                                                         </t>
    </r>
    <r>
      <rPr>
        <sz val="9"/>
        <rFont val="宋体"/>
        <charset val="134"/>
      </rPr>
      <t>投资额</t>
    </r>
  </si>
  <si>
    <r>
      <rPr>
        <sz val="9"/>
        <rFont val="宋体"/>
        <charset val="134"/>
      </rPr>
      <t>新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增</t>
    </r>
    <r>
      <rPr>
        <sz val="9"/>
        <rFont val="Times New Roman"/>
        <family val="1"/>
      </rPr>
      <t xml:space="preserve">                                                                                        </t>
    </r>
    <r>
      <rPr>
        <sz val="9"/>
        <rFont val="宋体"/>
        <charset val="134"/>
      </rPr>
      <t>固定资产</t>
    </r>
  </si>
  <si>
    <r>
      <rPr>
        <sz val="9"/>
        <rFont val="宋体"/>
        <charset val="134"/>
      </rPr>
      <t>设备工器</t>
    </r>
    <r>
      <rPr>
        <sz val="9"/>
        <rFont val="Times New Roman"/>
        <family val="1"/>
      </rPr>
      <t xml:space="preserve">                                                           </t>
    </r>
    <r>
      <rPr>
        <sz val="9"/>
        <rFont val="宋体"/>
        <charset val="134"/>
      </rPr>
      <t>具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购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置</t>
    </r>
  </si>
  <si>
    <t>项目名称</t>
  </si>
  <si>
    <r>
      <t>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成</t>
    </r>
    <r>
      <rPr>
        <sz val="9"/>
        <rFont val="Times New Roman"/>
        <family val="1"/>
      </rPr>
      <t xml:space="preserve">                                                                                         </t>
    </r>
    <r>
      <rPr>
        <sz val="9"/>
        <rFont val="宋体"/>
        <charset val="134"/>
      </rPr>
      <t>投资额</t>
    </r>
  </si>
  <si>
    <r>
      <t>设备工器</t>
    </r>
    <r>
      <rPr>
        <sz val="9"/>
        <rFont val="Times New Roman"/>
        <family val="1"/>
      </rPr>
      <t xml:space="preserve">                                                           </t>
    </r>
    <r>
      <rPr>
        <sz val="9"/>
        <rFont val="宋体"/>
        <charset val="134"/>
      </rPr>
      <t>具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购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置</t>
    </r>
  </si>
  <si>
    <t>锡林郭勒大庄园肉业有限公司屠宰加工项目</t>
  </si>
  <si>
    <t>中国马都核心区</t>
  </si>
  <si>
    <t>大唐锡林浩特电厂一期2*66万千瓦机组项目</t>
  </si>
  <si>
    <t>锡林郭勒盟东乌旗2×500万吨/年褐煤提质项</t>
  </si>
  <si>
    <t>京能五间房电厂一期2X66万千瓦机组项目</t>
  </si>
  <si>
    <t>华润电力内蒙古五间房高效节水节能发电工程</t>
  </si>
  <si>
    <r>
      <t>国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有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</si>
  <si>
    <r>
      <t>集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体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</si>
  <si>
    <r>
      <t>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他</t>
    </r>
    <r>
      <rPr>
        <sz val="9"/>
        <rFont val="Times New Roman"/>
        <family val="1"/>
      </rPr>
      <t xml:space="preserve">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</si>
  <si>
    <r>
      <t>私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营</t>
    </r>
    <r>
      <rPr>
        <sz val="9"/>
        <rFont val="Times New Roman"/>
        <family val="1"/>
      </rPr>
      <t xml:space="preserve">                                                                                                            </t>
    </r>
    <r>
      <rPr>
        <sz val="9"/>
        <rFont val="宋体"/>
        <charset val="134"/>
      </rPr>
      <t>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济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</si>
  <si>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</si>
  <si>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</si>
  <si>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</si>
  <si>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</si>
  <si>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</si>
  <si>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</si>
  <si>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</si>
  <si>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</si>
  <si>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t>全</t>
    </r>
    <r>
      <rPr>
        <b/>
        <sz val="9"/>
        <color indexed="8"/>
        <rFont val="Times New Roman"/>
        <family val="1"/>
      </rPr>
      <t xml:space="preserve">            </t>
    </r>
    <r>
      <rPr>
        <b/>
        <sz val="9"/>
        <color indexed="8"/>
        <rFont val="宋体"/>
        <charset val="134"/>
      </rPr>
      <t>盟</t>
    </r>
  </si>
  <si>
    <r>
      <t>合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计</t>
    </r>
  </si>
  <si>
    <t>年处理1000万吨褐煤热解多联产</t>
  </si>
  <si>
    <t>120000</t>
  </si>
  <si>
    <t>0</t>
  </si>
  <si>
    <t>221085</t>
  </si>
  <si>
    <t>60000</t>
  </si>
  <si>
    <t>51000</t>
  </si>
  <si>
    <t>110085</t>
  </si>
  <si>
    <t>54303</t>
  </si>
  <si>
    <t>18101</t>
  </si>
  <si>
    <t>36202</t>
  </si>
  <si>
    <t>年产100万吨合成氨、年产160万吨尿素项目</t>
  </si>
  <si>
    <t>4715</t>
  </si>
  <si>
    <t>37</t>
  </si>
  <si>
    <t>2804</t>
  </si>
  <si>
    <t>1874</t>
  </si>
  <si>
    <t>396635</t>
  </si>
  <si>
    <t>173835</t>
  </si>
  <si>
    <t>102800</t>
  </si>
  <si>
    <t>胜利发电厂一期2X660MW机组工程</t>
  </si>
  <si>
    <t>13464</t>
  </si>
  <si>
    <t>6570</t>
  </si>
  <si>
    <t>3948</t>
  </si>
  <si>
    <t>214</t>
  </si>
  <si>
    <t>2732</t>
  </si>
  <si>
    <t>135479</t>
  </si>
  <si>
    <t>16543</t>
  </si>
  <si>
    <t>378</t>
  </si>
  <si>
    <t>97201</t>
  </si>
  <si>
    <t>21357</t>
  </si>
  <si>
    <t>329252</t>
  </si>
  <si>
    <t>32964</t>
  </si>
  <si>
    <t>6076</t>
  </si>
  <si>
    <t>275899</t>
  </si>
  <si>
    <t>14313</t>
  </si>
  <si>
    <t>北方胜利电厂2X660MW煤电一体化工程</t>
  </si>
  <si>
    <t>18900</t>
  </si>
  <si>
    <t>1780</t>
  </si>
  <si>
    <t>1830</t>
  </si>
  <si>
    <t>13010</t>
  </si>
  <si>
    <t>2280</t>
  </si>
  <si>
    <t>67000</t>
  </si>
  <si>
    <t>5700</t>
  </si>
  <si>
    <t>60500</t>
  </si>
  <si>
    <t>800</t>
  </si>
  <si>
    <t>锡盟至胜利1000千伏交流输变电工程</t>
  </si>
  <si>
    <t>474000</t>
  </si>
  <si>
    <t>284000</t>
  </si>
  <si>
    <t>190000</t>
  </si>
  <si>
    <t>吉林郭勒二号露天煤矿</t>
  </si>
  <si>
    <t>477</t>
  </si>
  <si>
    <t>丹锡高速经棚至锡林浩特建设项目</t>
  </si>
  <si>
    <t>58289</t>
  </si>
  <si>
    <t>蒙能锡林浩特热电厂2*35万千瓦热电联产项目</t>
  </si>
  <si>
    <t>96894</t>
  </si>
  <si>
    <t>35500</t>
  </si>
  <si>
    <t>5000</t>
  </si>
  <si>
    <t>53394</t>
  </si>
  <si>
    <t>3000</t>
  </si>
  <si>
    <t>胜利一号露天煤矿</t>
  </si>
  <si>
    <t>2232</t>
  </si>
  <si>
    <t>455</t>
  </si>
  <si>
    <t>1454</t>
  </si>
  <si>
    <t>323</t>
  </si>
  <si>
    <t>3540</t>
  </si>
  <si>
    <t>21000</t>
  </si>
  <si>
    <t>20982</t>
  </si>
  <si>
    <t>18</t>
  </si>
  <si>
    <t>80160</t>
  </si>
  <si>
    <t>110500</t>
  </si>
  <si>
    <t>29000</t>
  </si>
  <si>
    <t>14000</t>
  </si>
  <si>
    <t>67500</t>
  </si>
  <si>
    <t>66020</t>
  </si>
  <si>
    <t>30817</t>
  </si>
  <si>
    <t>5800</t>
  </si>
  <si>
    <t>26030</t>
  </si>
  <si>
    <t>3373</t>
  </si>
  <si>
    <t>65000</t>
  </si>
  <si>
    <t>12000</t>
  </si>
  <si>
    <t>43472</t>
  </si>
  <si>
    <t>42366</t>
  </si>
  <si>
    <t>644</t>
  </si>
  <si>
    <t>462</t>
  </si>
  <si>
    <t>正蓝旗文化旅游产业基地建设项目</t>
  </si>
  <si>
    <t>15352</t>
  </si>
  <si>
    <t>6654</t>
  </si>
  <si>
    <t>8698</t>
  </si>
  <si>
    <t>22320</t>
  </si>
  <si>
    <t>15480</t>
  </si>
  <si>
    <t>6840</t>
  </si>
  <si>
    <t>计划总投资</t>
    <phoneticPr fontId="4" type="noConversion"/>
  </si>
  <si>
    <t>明阳新能源有限公司年产600MW风机200MWp光伏组件制造项目</t>
    <phoneticPr fontId="4" type="noConversion"/>
  </si>
  <si>
    <t>国道331线二连浩特口岸至满都拉图段公路</t>
    <phoneticPr fontId="4" type="noConversion"/>
  </si>
  <si>
    <t>锡盟至山东1000千伏特高压交流输变电工程</t>
    <phoneticPr fontId="4" type="noConversion"/>
  </si>
  <si>
    <t>内蒙古能源有限公司装备制造一体化项目</t>
    <phoneticPr fontId="4" type="noConversion"/>
  </si>
  <si>
    <t>国道303线别力古台至锡林浩特段公路工程</t>
    <phoneticPr fontId="4" type="noConversion"/>
  </si>
  <si>
    <t>白音查干东山矿区铜铅锡银锌矿年采选160万</t>
    <phoneticPr fontId="4" type="noConversion"/>
  </si>
  <si>
    <t>黄旗巴音矿业打油井项目</t>
    <phoneticPr fontId="4" type="noConversion"/>
  </si>
  <si>
    <r>
      <t>22-3</t>
    </r>
    <r>
      <rPr>
        <sz val="16"/>
        <rFont val="Times New Roman"/>
        <family val="1"/>
      </rPr>
      <t>8</t>
    </r>
    <r>
      <rPr>
        <sz val="16"/>
        <rFont val="Times New Roman"/>
        <family val="1"/>
      </rPr>
      <t xml:space="preserve"> </t>
    </r>
    <r>
      <rPr>
        <sz val="16"/>
        <rFont val="宋体"/>
        <charset val="134"/>
      </rPr>
      <t>固定资产投资按注册经济类型分</t>
    </r>
    <phoneticPr fontId="4" type="noConversion"/>
  </si>
  <si>
    <r>
      <t>22-3</t>
    </r>
    <r>
      <rPr>
        <sz val="16"/>
        <rFont val="Times New Roman"/>
        <family val="1"/>
      </rPr>
      <t>9</t>
    </r>
    <r>
      <rPr>
        <sz val="16"/>
        <rFont val="Times New Roman"/>
        <family val="1"/>
      </rPr>
      <t xml:space="preserve"> </t>
    </r>
    <r>
      <rPr>
        <sz val="16"/>
        <rFont val="宋体"/>
        <charset val="134"/>
      </rPr>
      <t>固定资产投资按建设性质分</t>
    </r>
    <phoneticPr fontId="4" type="noConversion"/>
  </si>
  <si>
    <r>
      <t>22-</t>
    </r>
    <r>
      <rPr>
        <sz val="16"/>
        <rFont val="Times New Roman"/>
        <family val="1"/>
      </rPr>
      <t>40</t>
    </r>
    <r>
      <rPr>
        <sz val="16"/>
        <rFont val="Times New Roman"/>
        <family val="1"/>
      </rPr>
      <t xml:space="preserve">  </t>
    </r>
    <r>
      <rPr>
        <sz val="16"/>
        <rFont val="宋体"/>
        <charset val="134"/>
      </rPr>
      <t>固定资产投资完成情况</t>
    </r>
    <phoneticPr fontId="4" type="noConversion"/>
  </si>
  <si>
    <r>
      <t>22-</t>
    </r>
    <r>
      <rPr>
        <sz val="16"/>
        <rFont val="宋体"/>
        <charset val="134"/>
      </rPr>
      <t xml:space="preserve">41  </t>
    </r>
    <r>
      <rPr>
        <sz val="16"/>
        <rFont val="宋体"/>
        <charset val="134"/>
      </rPr>
      <t>重点项目完成情况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</si>
</sst>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_ "/>
  </numFmts>
  <fonts count="18" x14ac:knownFonts="1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b/>
      <sz val="9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宋体"/>
      <charset val="134"/>
    </font>
    <font>
      <b/>
      <sz val="9"/>
      <color indexed="8"/>
      <name val="Times New Roman"/>
      <family val="1"/>
    </font>
    <font>
      <sz val="10"/>
      <name val="宋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sz val="12"/>
      <color theme="1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 applyAlignment="1"/>
    <xf numFmtId="0" fontId="4" fillId="0" borderId="0" xfId="0" applyFont="1" applyFill="1" applyAlignment="1" applyProtection="1">
      <alignment horizontal="center"/>
      <protection locked="0"/>
    </xf>
    <xf numFmtId="0" fontId="0" fillId="0" borderId="0" xfId="0" applyFont="1" applyFill="1" applyAlignment="1" applyProtection="1">
      <protection locked="0"/>
    </xf>
    <xf numFmtId="0" fontId="0" fillId="0" borderId="0" xfId="0" applyFill="1" applyAlignment="1"/>
    <xf numFmtId="0" fontId="0" fillId="0" borderId="0" xfId="0" applyFont="1" applyFill="1" applyBorder="1" applyAlignment="1" applyProtection="1"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protection locked="0"/>
    </xf>
    <xf numFmtId="0" fontId="0" fillId="0" borderId="0" xfId="0" applyFill="1" applyBorder="1" applyAlignment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ont="1" applyFill="1" applyBorder="1" applyAlignment="1" applyProtection="1"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4" fillId="5" borderId="2" xfId="0" applyFont="1" applyFill="1" applyBorder="1" applyAlignment="1" applyProtection="1">
      <alignment horizontal="center"/>
      <protection locked="0"/>
    </xf>
    <xf numFmtId="0" fontId="0" fillId="6" borderId="0" xfId="0" applyFill="1" applyAlignment="1"/>
    <xf numFmtId="184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84" fontId="4" fillId="0" borderId="0" xfId="0" applyNumberFormat="1" applyFont="1" applyFill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184" fontId="4" fillId="6" borderId="0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184" fontId="4" fillId="0" borderId="3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 applyProtection="1">
      <alignment horizontal="center"/>
      <protection locked="0"/>
    </xf>
    <xf numFmtId="0" fontId="4" fillId="5" borderId="0" xfId="0" applyFont="1" applyFill="1" applyBorder="1" applyAlignment="1" applyProtection="1">
      <alignment horizontal="center"/>
      <protection locked="0"/>
    </xf>
    <xf numFmtId="0" fontId="4" fillId="5" borderId="3" xfId="0" applyFont="1" applyFill="1" applyBorder="1" applyAlignment="1" applyProtection="1">
      <alignment horizont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>
      <alignment horizontal="center" vertical="center"/>
    </xf>
    <xf numFmtId="184" fontId="14" fillId="0" borderId="0" xfId="0" applyNumberFormat="1" applyFont="1" applyBorder="1" applyAlignment="1">
      <alignment horizontal="center" vertical="center"/>
    </xf>
    <xf numFmtId="184" fontId="14" fillId="0" borderId="0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184" fontId="14" fillId="6" borderId="0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84" fontId="14" fillId="0" borderId="4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 applyProtection="1">
      <alignment horizontal="center"/>
      <protection locked="0"/>
    </xf>
    <xf numFmtId="0" fontId="17" fillId="0" borderId="0" xfId="0" applyFont="1" applyAlignment="1"/>
    <xf numFmtId="184" fontId="16" fillId="3" borderId="5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184" fontId="16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84" fontId="6" fillId="0" borderId="0" xfId="0" applyNumberFormat="1" applyFont="1" applyFill="1" applyBorder="1" applyAlignment="1">
      <alignment horizontal="center" vertical="center"/>
    </xf>
    <xf numFmtId="184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49" fontId="13" fillId="5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 applyFill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right"/>
    </xf>
    <xf numFmtId="0" fontId="4" fillId="4" borderId="7" xfId="0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4" fillId="5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right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45"/>
  <sheetViews>
    <sheetView showOutlineSymbols="0" topLeftCell="A13" workbookViewId="0">
      <selection activeCell="A22" sqref="A22:F22"/>
    </sheetView>
  </sheetViews>
  <sheetFormatPr defaultRowHeight="15" x14ac:dyDescent="0.3"/>
  <cols>
    <col min="2" max="2" width="9.7109375" customWidth="1"/>
    <col min="3" max="4" width="9.7109375" bestFit="1" customWidth="1"/>
  </cols>
  <sheetData>
    <row r="1" spans="1:7" ht="20.9" customHeight="1" x14ac:dyDescent="0.5">
      <c r="A1" s="53" t="s">
        <v>152</v>
      </c>
      <c r="B1" s="54"/>
      <c r="C1" s="55"/>
      <c r="D1" s="55"/>
      <c r="E1" s="55"/>
      <c r="F1" s="55"/>
    </row>
    <row r="2" spans="1:7" ht="20.9" customHeight="1" thickBot="1" x14ac:dyDescent="0.55000000000000004">
      <c r="A2" s="10"/>
      <c r="B2" s="10"/>
      <c r="C2" s="11"/>
      <c r="D2" s="11"/>
      <c r="E2" s="11"/>
      <c r="F2" s="1" t="s">
        <v>0</v>
      </c>
    </row>
    <row r="3" spans="1:7" ht="14.15" customHeight="1" x14ac:dyDescent="0.3">
      <c r="A3" s="56"/>
      <c r="B3" s="56" t="s">
        <v>1</v>
      </c>
      <c r="C3" s="56"/>
      <c r="D3" s="56"/>
      <c r="E3" s="56"/>
      <c r="F3" s="56"/>
    </row>
    <row r="4" spans="1:7" ht="14.15" customHeight="1" x14ac:dyDescent="0.3">
      <c r="A4" s="57"/>
      <c r="B4" s="57"/>
      <c r="C4" s="58" t="s">
        <v>40</v>
      </c>
      <c r="D4" s="58" t="s">
        <v>41</v>
      </c>
      <c r="E4" s="58" t="s">
        <v>42</v>
      </c>
      <c r="F4" s="58" t="s">
        <v>43</v>
      </c>
    </row>
    <row r="5" spans="1:7" ht="14.15" customHeight="1" x14ac:dyDescent="0.3">
      <c r="A5" s="57"/>
      <c r="B5" s="57"/>
      <c r="C5" s="58"/>
      <c r="D5" s="58"/>
      <c r="E5" s="58"/>
      <c r="F5" s="58"/>
    </row>
    <row r="6" spans="1:7" ht="14.9" customHeight="1" x14ac:dyDescent="0.3">
      <c r="A6" s="24" t="s">
        <v>44</v>
      </c>
      <c r="B6" s="42">
        <v>7184055</v>
      </c>
      <c r="C6" s="43">
        <v>4890525</v>
      </c>
      <c r="D6" s="43"/>
      <c r="E6" s="43">
        <v>1146287</v>
      </c>
      <c r="F6" s="43">
        <v>1147243</v>
      </c>
    </row>
    <row r="7" spans="1:7" ht="14.15" customHeight="1" x14ac:dyDescent="0.3">
      <c r="A7" s="25" t="s">
        <v>2</v>
      </c>
      <c r="B7" s="29">
        <v>420827</v>
      </c>
      <c r="C7" s="36">
        <v>203025</v>
      </c>
      <c r="D7" s="27"/>
      <c r="E7" s="35">
        <v>30792</v>
      </c>
      <c r="F7" s="27">
        <v>187010</v>
      </c>
    </row>
    <row r="8" spans="1:7" ht="14.15" customHeight="1" x14ac:dyDescent="0.3">
      <c r="A8" s="25" t="s">
        <v>3</v>
      </c>
      <c r="B8" s="35">
        <v>1814092</v>
      </c>
      <c r="C8" s="35">
        <v>1112921</v>
      </c>
      <c r="D8" s="27"/>
      <c r="E8" s="35">
        <v>646333</v>
      </c>
      <c r="F8" s="35">
        <v>54838</v>
      </c>
    </row>
    <row r="9" spans="1:7" ht="14.9" customHeight="1" x14ac:dyDescent="0.3">
      <c r="A9" s="25" t="s">
        <v>45</v>
      </c>
      <c r="B9" s="29">
        <v>348289</v>
      </c>
      <c r="C9" s="27">
        <v>321089</v>
      </c>
      <c r="D9" s="27"/>
      <c r="E9" s="35">
        <v>27200</v>
      </c>
      <c r="F9" s="27"/>
    </row>
    <row r="10" spans="1:7" ht="14.15" customHeight="1" x14ac:dyDescent="0.3">
      <c r="A10" s="25" t="s">
        <v>4</v>
      </c>
      <c r="B10" s="31">
        <v>372496</v>
      </c>
      <c r="C10" s="31">
        <v>254916</v>
      </c>
      <c r="D10" s="31"/>
      <c r="E10" s="31">
        <v>7200</v>
      </c>
      <c r="F10" s="31">
        <v>110380</v>
      </c>
      <c r="G10" s="13"/>
    </row>
    <row r="11" spans="1:7" ht="14.15" customHeight="1" x14ac:dyDescent="0.3">
      <c r="A11" s="25" t="s">
        <v>5</v>
      </c>
      <c r="B11" s="29">
        <v>376650</v>
      </c>
      <c r="C11" s="27">
        <v>177528</v>
      </c>
      <c r="D11" s="27"/>
      <c r="E11" s="35">
        <v>24522</v>
      </c>
      <c r="F11" s="27">
        <v>174600</v>
      </c>
    </row>
    <row r="12" spans="1:7" s="3" customFormat="1" ht="14.15" customHeight="1" x14ac:dyDescent="0.3">
      <c r="A12" s="25" t="s">
        <v>6</v>
      </c>
      <c r="B12" s="29">
        <v>842248</v>
      </c>
      <c r="C12" s="27">
        <v>350729</v>
      </c>
      <c r="D12" s="27"/>
      <c r="E12" s="27">
        <v>255182</v>
      </c>
      <c r="F12" s="27">
        <v>236337</v>
      </c>
      <c r="G12"/>
    </row>
    <row r="13" spans="1:7" ht="14.15" customHeight="1" x14ac:dyDescent="0.3">
      <c r="A13" s="25" t="s">
        <v>7</v>
      </c>
      <c r="B13" s="29">
        <v>1022510</v>
      </c>
      <c r="C13" s="27">
        <v>207325</v>
      </c>
      <c r="D13" s="27"/>
      <c r="E13" s="35">
        <f>B13-C13-D13-F13</f>
        <v>749520</v>
      </c>
      <c r="F13" s="27">
        <v>65665</v>
      </c>
    </row>
    <row r="14" spans="1:7" ht="14.9" customHeight="1" x14ac:dyDescent="0.3">
      <c r="A14" s="25" t="s">
        <v>46</v>
      </c>
      <c r="B14" s="29">
        <v>369304</v>
      </c>
      <c r="C14" s="27">
        <v>191835</v>
      </c>
      <c r="D14" s="27"/>
      <c r="E14" s="35">
        <v>31690</v>
      </c>
      <c r="F14" s="27">
        <v>143381</v>
      </c>
    </row>
    <row r="15" spans="1:7" ht="14.9" customHeight="1" x14ac:dyDescent="0.3">
      <c r="A15" s="25" t="s">
        <v>47</v>
      </c>
      <c r="B15" s="29">
        <v>160094</v>
      </c>
      <c r="C15" s="27">
        <v>93539</v>
      </c>
      <c r="D15" s="27"/>
      <c r="E15" s="35">
        <v>34402</v>
      </c>
      <c r="F15" s="27">
        <v>32153</v>
      </c>
    </row>
    <row r="16" spans="1:7" ht="14.9" customHeight="1" x14ac:dyDescent="0.3">
      <c r="A16" s="25" t="s">
        <v>48</v>
      </c>
      <c r="B16" s="29">
        <v>282391</v>
      </c>
      <c r="C16" s="27">
        <v>157501</v>
      </c>
      <c r="D16" s="27"/>
      <c r="E16" s="35">
        <v>14669</v>
      </c>
      <c r="F16" s="27">
        <v>110221</v>
      </c>
    </row>
    <row r="17" spans="1:7" ht="14.9" customHeight="1" x14ac:dyDescent="0.3">
      <c r="A17" s="25" t="s">
        <v>49</v>
      </c>
      <c r="B17" s="29">
        <v>441006</v>
      </c>
      <c r="C17" s="27">
        <v>296953</v>
      </c>
      <c r="D17" s="27"/>
      <c r="E17" s="35">
        <v>95433</v>
      </c>
      <c r="F17" s="27">
        <v>48620</v>
      </c>
    </row>
    <row r="18" spans="1:7" ht="14.9" customHeight="1" x14ac:dyDescent="0.3">
      <c r="A18" s="25" t="s">
        <v>50</v>
      </c>
      <c r="B18" s="29">
        <v>508217</v>
      </c>
      <c r="C18" s="27">
        <v>278766</v>
      </c>
      <c r="D18" s="27"/>
      <c r="E18" s="36">
        <v>198338</v>
      </c>
      <c r="F18" s="35">
        <v>31113</v>
      </c>
    </row>
    <row r="19" spans="1:7" s="3" customFormat="1" ht="14.9" customHeight="1" thickBot="1" x14ac:dyDescent="0.35">
      <c r="A19" s="26" t="s">
        <v>51</v>
      </c>
      <c r="B19" s="34">
        <v>91326</v>
      </c>
      <c r="C19" s="33">
        <v>42541</v>
      </c>
      <c r="D19" s="33"/>
      <c r="E19" s="37">
        <v>32544</v>
      </c>
      <c r="F19" s="33">
        <v>16241</v>
      </c>
      <c r="G19"/>
    </row>
    <row r="21" spans="1:7" ht="20.9" customHeight="1" x14ac:dyDescent="0.3"/>
    <row r="22" spans="1:7" ht="20.9" customHeight="1" x14ac:dyDescent="0.5">
      <c r="A22" s="53" t="s">
        <v>153</v>
      </c>
      <c r="B22" s="54"/>
      <c r="C22" s="55"/>
      <c r="D22" s="55"/>
      <c r="E22" s="55"/>
      <c r="F22" s="55"/>
    </row>
    <row r="23" spans="1:7" ht="14.15" customHeight="1" x14ac:dyDescent="0.5">
      <c r="A23" s="10"/>
      <c r="B23" s="11"/>
      <c r="D23" s="11"/>
      <c r="E23" s="1" t="s">
        <v>0</v>
      </c>
    </row>
    <row r="24" spans="1:7" ht="14.15" customHeight="1" x14ac:dyDescent="0.3">
      <c r="A24" s="59"/>
      <c r="B24" s="60" t="s">
        <v>23</v>
      </c>
      <c r="C24" s="9"/>
      <c r="D24" s="8"/>
      <c r="E24" s="8"/>
    </row>
    <row r="25" spans="1:7" ht="14.15" customHeight="1" x14ac:dyDescent="0.3">
      <c r="A25" s="59"/>
      <c r="B25" s="60"/>
      <c r="C25" s="60" t="s">
        <v>24</v>
      </c>
      <c r="D25" s="60" t="s">
        <v>25</v>
      </c>
      <c r="E25" s="60" t="s">
        <v>26</v>
      </c>
    </row>
    <row r="26" spans="1:7" ht="14.9" customHeight="1" thickBot="1" x14ac:dyDescent="0.35">
      <c r="A26" s="59"/>
      <c r="B26" s="61"/>
      <c r="C26" s="61"/>
      <c r="D26" s="61"/>
      <c r="E26" s="61"/>
    </row>
    <row r="27" spans="1:7" s="39" customFormat="1" ht="14.15" customHeight="1" x14ac:dyDescent="0.3">
      <c r="A27" s="38" t="s">
        <v>52</v>
      </c>
      <c r="B27" s="40">
        <v>7184055</v>
      </c>
      <c r="C27" s="41">
        <v>5922572</v>
      </c>
      <c r="D27" s="41">
        <v>672810</v>
      </c>
      <c r="E27" s="41">
        <v>379865</v>
      </c>
    </row>
    <row r="28" spans="1:7" ht="14.15" customHeight="1" x14ac:dyDescent="0.3">
      <c r="A28" s="12" t="s">
        <v>2</v>
      </c>
      <c r="B28" s="27">
        <v>420827</v>
      </c>
      <c r="C28" s="28">
        <v>381798</v>
      </c>
      <c r="D28" s="29">
        <v>8376</v>
      </c>
      <c r="E28" s="29">
        <v>30653</v>
      </c>
    </row>
    <row r="29" spans="1:7" ht="14.9" customHeight="1" x14ac:dyDescent="0.3">
      <c r="A29" s="12" t="s">
        <v>3</v>
      </c>
      <c r="B29" s="30">
        <v>1814092</v>
      </c>
      <c r="C29" s="30">
        <v>1518740</v>
      </c>
      <c r="D29" s="30">
        <v>239990</v>
      </c>
      <c r="E29" s="30">
        <v>55362</v>
      </c>
    </row>
    <row r="30" spans="1:7" ht="14.15" customHeight="1" x14ac:dyDescent="0.3">
      <c r="A30" s="12" t="s">
        <v>16</v>
      </c>
      <c r="B30" s="27">
        <v>348289</v>
      </c>
      <c r="C30" s="29">
        <v>264207</v>
      </c>
      <c r="D30" s="29"/>
      <c r="E30" s="29">
        <v>84082</v>
      </c>
    </row>
    <row r="31" spans="1:7" ht="14.15" customHeight="1" x14ac:dyDescent="0.3">
      <c r="A31" s="12" t="s">
        <v>4</v>
      </c>
      <c r="B31" s="31">
        <v>372496</v>
      </c>
      <c r="C31" s="32">
        <v>307250</v>
      </c>
      <c r="D31" s="32">
        <v>6000</v>
      </c>
      <c r="E31" s="32">
        <v>59246</v>
      </c>
      <c r="F31" s="13"/>
      <c r="G31" s="13"/>
    </row>
    <row r="32" spans="1:7" s="3" customFormat="1" ht="14.15" customHeight="1" x14ac:dyDescent="0.3">
      <c r="A32" s="12" t="s">
        <v>5</v>
      </c>
      <c r="B32" s="27">
        <v>376650</v>
      </c>
      <c r="C32" s="29">
        <v>69902</v>
      </c>
      <c r="D32" s="29">
        <v>253508</v>
      </c>
      <c r="E32" s="29">
        <v>50020</v>
      </c>
      <c r="F32"/>
      <c r="G32"/>
    </row>
    <row r="33" spans="1:7" ht="14.15" customHeight="1" x14ac:dyDescent="0.3">
      <c r="A33" s="12" t="s">
        <v>6</v>
      </c>
      <c r="B33" s="27">
        <v>842248</v>
      </c>
      <c r="C33" s="29">
        <v>820077</v>
      </c>
      <c r="D33" s="29">
        <v>15529</v>
      </c>
      <c r="E33" s="29">
        <v>5050</v>
      </c>
    </row>
    <row r="34" spans="1:7" ht="14.9" customHeight="1" x14ac:dyDescent="0.3">
      <c r="A34" s="12" t="s">
        <v>7</v>
      </c>
      <c r="B34" s="27">
        <v>1022510</v>
      </c>
      <c r="C34" s="29">
        <v>1019040</v>
      </c>
      <c r="D34" s="29">
        <v>500</v>
      </c>
      <c r="E34" s="29">
        <v>2970</v>
      </c>
    </row>
    <row r="35" spans="1:7" ht="14.9" customHeight="1" x14ac:dyDescent="0.3">
      <c r="A35" s="12" t="s">
        <v>17</v>
      </c>
      <c r="B35" s="27">
        <v>330468</v>
      </c>
      <c r="C35" s="29">
        <v>214753</v>
      </c>
      <c r="D35" s="29">
        <v>62355</v>
      </c>
      <c r="E35" s="29">
        <v>53360</v>
      </c>
    </row>
    <row r="36" spans="1:7" ht="14.9" customHeight="1" x14ac:dyDescent="0.3">
      <c r="A36" s="12" t="s">
        <v>18</v>
      </c>
      <c r="B36" s="27">
        <v>160094</v>
      </c>
      <c r="C36" s="29">
        <v>148828</v>
      </c>
      <c r="D36" s="29">
        <v>8417</v>
      </c>
      <c r="E36" s="29">
        <v>2849</v>
      </c>
    </row>
    <row r="37" spans="1:7" ht="14.9" customHeight="1" x14ac:dyDescent="0.3">
      <c r="A37" s="12" t="s">
        <v>19</v>
      </c>
      <c r="B37" s="27">
        <v>282391</v>
      </c>
      <c r="C37" s="29">
        <v>271241</v>
      </c>
      <c r="D37" s="29">
        <v>9481</v>
      </c>
      <c r="E37" s="29">
        <v>500</v>
      </c>
    </row>
    <row r="38" spans="1:7" ht="14.9" customHeight="1" x14ac:dyDescent="0.3">
      <c r="A38" s="12" t="s">
        <v>20</v>
      </c>
      <c r="B38" s="27">
        <v>441006</v>
      </c>
      <c r="C38" s="29">
        <v>289988</v>
      </c>
      <c r="D38" s="29">
        <v>114050</v>
      </c>
      <c r="E38" s="29">
        <v>35773</v>
      </c>
    </row>
    <row r="39" spans="1:7" s="3" customFormat="1" ht="14.9" customHeight="1" x14ac:dyDescent="0.3">
      <c r="A39" s="12" t="s">
        <v>21</v>
      </c>
      <c r="B39" s="27">
        <v>508217</v>
      </c>
      <c r="C39" s="29">
        <v>508217</v>
      </c>
      <c r="D39" s="29"/>
      <c r="E39" s="29"/>
      <c r="F39"/>
      <c r="G39"/>
    </row>
    <row r="40" spans="1:7" ht="14.25" customHeight="1" thickBot="1" x14ac:dyDescent="0.35">
      <c r="A40" s="12" t="s">
        <v>22</v>
      </c>
      <c r="B40" s="34">
        <v>91326</v>
      </c>
      <c r="C40" s="34">
        <v>75412</v>
      </c>
      <c r="D40" s="34">
        <v>8742</v>
      </c>
      <c r="E40" s="34">
        <v>7172</v>
      </c>
    </row>
    <row r="44" spans="1:7" ht="14.25" customHeight="1" x14ac:dyDescent="0.3"/>
    <row r="45" spans="1:7" ht="14.25" customHeight="1" x14ac:dyDescent="0.3"/>
  </sheetData>
  <mergeCells count="14">
    <mergeCell ref="A22:F22"/>
    <mergeCell ref="A24:A26"/>
    <mergeCell ref="B24:B26"/>
    <mergeCell ref="C25:C26"/>
    <mergeCell ref="D25:D26"/>
    <mergeCell ref="E25:E26"/>
    <mergeCell ref="A1:F1"/>
    <mergeCell ref="A3:A5"/>
    <mergeCell ref="B3:B5"/>
    <mergeCell ref="C3:F3"/>
    <mergeCell ref="C4:C5"/>
    <mergeCell ref="D4:D5"/>
    <mergeCell ref="E4:E5"/>
    <mergeCell ref="F4:F5"/>
  </mergeCells>
  <phoneticPr fontId="4" type="noConversion"/>
  <pageMargins left="0.47222222222222221" right="0.47222222222222221" top="0.98402777777777772" bottom="0.98402777777777772" header="0.5" footer="0.5"/>
  <pageSetup paperSize="9" firstPageNumber="4294963572" orientation="portrait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1"/>
  <sheetViews>
    <sheetView tabSelected="1" showOutlineSymbols="0" topLeftCell="A25" zoomScale="115" zoomScaleNormal="115" workbookViewId="0">
      <selection activeCell="J17" sqref="J17"/>
    </sheetView>
  </sheetViews>
  <sheetFormatPr defaultColWidth="9" defaultRowHeight="15" x14ac:dyDescent="0.3"/>
  <cols>
    <col min="1" max="1" width="29.5" style="2" customWidth="1"/>
    <col min="2" max="2" width="8.7109375" style="2" customWidth="1"/>
    <col min="3" max="3" width="11" style="2" customWidth="1"/>
    <col min="4" max="4" width="11.85546875" style="2" customWidth="1"/>
    <col min="5" max="5" width="7.640625" style="2" customWidth="1"/>
    <col min="6" max="6" width="9.140625" style="2" bestFit="1" customWidth="1"/>
    <col min="7" max="7" width="8" style="2" customWidth="1"/>
    <col min="8" max="8" width="9.35546875" style="2" bestFit="1" customWidth="1"/>
    <col min="9" max="16384" width="9" style="3"/>
  </cols>
  <sheetData>
    <row r="1" spans="1:9" ht="20.9" customHeight="1" x14ac:dyDescent="0.5">
      <c r="A1" s="53" t="s">
        <v>154</v>
      </c>
      <c r="B1" s="55"/>
      <c r="C1" s="55"/>
      <c r="D1" s="55"/>
      <c r="E1" s="55"/>
      <c r="F1" s="55"/>
      <c r="G1" s="55"/>
      <c r="H1" s="55"/>
      <c r="I1"/>
    </row>
    <row r="2" spans="1:9" ht="20.9" customHeight="1" thickBot="1" x14ac:dyDescent="0.55000000000000004">
      <c r="A2" s="10"/>
      <c r="B2" s="11"/>
      <c r="C2" s="11"/>
      <c r="D2" s="11"/>
      <c r="E2" s="11"/>
      <c r="F2" s="11"/>
      <c r="G2" s="74" t="s">
        <v>8</v>
      </c>
      <c r="H2" s="74"/>
      <c r="I2"/>
    </row>
    <row r="3" spans="1:9" ht="14.9" customHeight="1" x14ac:dyDescent="0.3">
      <c r="A3" s="72"/>
      <c r="B3" s="71" t="s">
        <v>27</v>
      </c>
      <c r="C3" s="71" t="s">
        <v>28</v>
      </c>
      <c r="D3" s="75" t="s">
        <v>9</v>
      </c>
      <c r="E3" s="75"/>
      <c r="F3" s="75"/>
      <c r="G3" s="75"/>
      <c r="H3" s="71" t="s">
        <v>29</v>
      </c>
      <c r="I3"/>
    </row>
    <row r="4" spans="1:9" ht="14.15" customHeight="1" x14ac:dyDescent="0.3">
      <c r="A4" s="73"/>
      <c r="B4" s="65"/>
      <c r="C4" s="65"/>
      <c r="D4" s="65" t="s">
        <v>10</v>
      </c>
      <c r="E4" s="65" t="s">
        <v>11</v>
      </c>
      <c r="F4" s="65" t="s">
        <v>30</v>
      </c>
      <c r="G4" s="65" t="s">
        <v>12</v>
      </c>
      <c r="H4" s="65"/>
      <c r="I4"/>
    </row>
    <row r="5" spans="1:9" ht="14.15" customHeight="1" x14ac:dyDescent="0.3">
      <c r="A5" s="73"/>
      <c r="B5" s="65"/>
      <c r="C5" s="65"/>
      <c r="D5" s="65"/>
      <c r="E5" s="65"/>
      <c r="F5" s="65"/>
      <c r="G5" s="65"/>
      <c r="H5" s="65"/>
      <c r="I5"/>
    </row>
    <row r="6" spans="1:9" ht="14.9" customHeight="1" x14ac:dyDescent="0.3">
      <c r="A6" s="21" t="s">
        <v>53</v>
      </c>
      <c r="B6" s="44">
        <v>1325</v>
      </c>
      <c r="C6" s="45">
        <v>7184055</v>
      </c>
      <c r="D6" s="46">
        <v>3897685</v>
      </c>
      <c r="E6" s="46">
        <v>725972</v>
      </c>
      <c r="F6" s="46">
        <v>2047651</v>
      </c>
      <c r="G6" s="46">
        <v>512747</v>
      </c>
      <c r="H6" s="46">
        <v>4370772</v>
      </c>
      <c r="I6"/>
    </row>
    <row r="7" spans="1:9" ht="14.15" customHeight="1" x14ac:dyDescent="0.3">
      <c r="A7" s="22" t="s">
        <v>2</v>
      </c>
      <c r="B7" s="16">
        <v>104</v>
      </c>
      <c r="C7" s="16">
        <v>420827</v>
      </c>
      <c r="D7" s="16">
        <v>318103</v>
      </c>
      <c r="E7" s="16">
        <v>15653</v>
      </c>
      <c r="F7" s="16">
        <v>77391</v>
      </c>
      <c r="G7" s="16">
        <v>9140</v>
      </c>
      <c r="H7" s="16">
        <v>332088</v>
      </c>
      <c r="I7"/>
    </row>
    <row r="8" spans="1:9" ht="14.15" customHeight="1" x14ac:dyDescent="0.3">
      <c r="A8" s="22" t="s">
        <v>3</v>
      </c>
      <c r="B8" s="15">
        <v>142</v>
      </c>
      <c r="C8" s="15">
        <v>1814092</v>
      </c>
      <c r="D8" s="15">
        <v>733424</v>
      </c>
      <c r="E8" s="15">
        <v>310544</v>
      </c>
      <c r="F8" s="15">
        <v>579278</v>
      </c>
      <c r="G8" s="15">
        <v>190846</v>
      </c>
      <c r="H8" s="16">
        <v>525426</v>
      </c>
      <c r="I8"/>
    </row>
    <row r="9" spans="1:9" ht="14.9" customHeight="1" x14ac:dyDescent="0.3">
      <c r="A9" s="22" t="s">
        <v>16</v>
      </c>
      <c r="B9" s="16">
        <v>58</v>
      </c>
      <c r="C9" s="16">
        <v>348289</v>
      </c>
      <c r="D9" s="16">
        <v>250250</v>
      </c>
      <c r="E9" s="16">
        <v>4458</v>
      </c>
      <c r="F9" s="16">
        <v>91589</v>
      </c>
      <c r="G9" s="16">
        <v>1992</v>
      </c>
      <c r="H9" s="16">
        <v>148127</v>
      </c>
      <c r="I9"/>
    </row>
    <row r="10" spans="1:9" ht="14.15" customHeight="1" x14ac:dyDescent="0.3">
      <c r="A10" s="22" t="s">
        <v>4</v>
      </c>
      <c r="B10" s="18">
        <v>72</v>
      </c>
      <c r="C10" s="19">
        <v>372496</v>
      </c>
      <c r="D10" s="18">
        <v>129227</v>
      </c>
      <c r="E10" s="18">
        <v>3774</v>
      </c>
      <c r="F10" s="18">
        <v>151586</v>
      </c>
      <c r="G10" s="18">
        <v>87909</v>
      </c>
      <c r="H10" s="18">
        <v>367836</v>
      </c>
      <c r="I10" s="13"/>
    </row>
    <row r="11" spans="1:9" ht="14.15" customHeight="1" x14ac:dyDescent="0.3">
      <c r="A11" s="22" t="s">
        <v>5</v>
      </c>
      <c r="B11" s="16">
        <v>104</v>
      </c>
      <c r="C11" s="16">
        <v>376650</v>
      </c>
      <c r="D11" s="16">
        <v>88134</v>
      </c>
      <c r="E11" s="16">
        <v>6775</v>
      </c>
      <c r="F11" s="16">
        <v>192203</v>
      </c>
      <c r="G11" s="16">
        <v>89538</v>
      </c>
      <c r="H11" s="16">
        <v>333762</v>
      </c>
      <c r="I11"/>
    </row>
    <row r="12" spans="1:9" ht="14.15" customHeight="1" x14ac:dyDescent="0.3">
      <c r="A12" s="22" t="s">
        <v>6</v>
      </c>
      <c r="B12" s="18">
        <v>113</v>
      </c>
      <c r="C12" s="16">
        <v>842248</v>
      </c>
      <c r="D12" s="16">
        <v>373492</v>
      </c>
      <c r="E12" s="16">
        <v>64744</v>
      </c>
      <c r="F12" s="16">
        <v>254071</v>
      </c>
      <c r="G12" s="16">
        <v>149941</v>
      </c>
      <c r="H12" s="17">
        <v>57272</v>
      </c>
      <c r="I12"/>
    </row>
    <row r="13" spans="1:9" ht="14.15" customHeight="1" x14ac:dyDescent="0.3">
      <c r="A13" s="22" t="s">
        <v>7</v>
      </c>
      <c r="B13" s="16">
        <v>144</v>
      </c>
      <c r="C13" s="16">
        <v>1022510</v>
      </c>
      <c r="D13" s="16">
        <v>420313</v>
      </c>
      <c r="E13" s="16">
        <v>139375</v>
      </c>
      <c r="F13" s="16">
        <v>402145</v>
      </c>
      <c r="G13" s="16">
        <v>60677</v>
      </c>
      <c r="H13" s="16">
        <v>354502</v>
      </c>
      <c r="I13"/>
    </row>
    <row r="14" spans="1:9" ht="14.9" customHeight="1" x14ac:dyDescent="0.3">
      <c r="A14" s="22" t="s">
        <v>17</v>
      </c>
      <c r="B14" s="16">
        <v>124</v>
      </c>
      <c r="C14" s="16">
        <v>369304</v>
      </c>
      <c r="D14" s="16">
        <v>324989</v>
      </c>
      <c r="E14" s="16">
        <v>11813</v>
      </c>
      <c r="F14" s="16">
        <v>32298</v>
      </c>
      <c r="G14" s="16">
        <v>204</v>
      </c>
      <c r="H14" s="16">
        <v>331718</v>
      </c>
      <c r="I14"/>
    </row>
    <row r="15" spans="1:9" ht="14.9" customHeight="1" x14ac:dyDescent="0.3">
      <c r="A15" s="22" t="s">
        <v>18</v>
      </c>
      <c r="B15" s="16">
        <v>68</v>
      </c>
      <c r="C15" s="16">
        <v>160094</v>
      </c>
      <c r="D15" s="16">
        <v>114857</v>
      </c>
      <c r="E15" s="16">
        <v>12024</v>
      </c>
      <c r="F15" s="16">
        <v>28292</v>
      </c>
      <c r="G15" s="16">
        <v>4921</v>
      </c>
      <c r="H15" s="16">
        <v>369719</v>
      </c>
      <c r="I15"/>
    </row>
    <row r="16" spans="1:9" ht="14.9" customHeight="1" x14ac:dyDescent="0.3">
      <c r="A16" s="22" t="s">
        <v>19</v>
      </c>
      <c r="B16" s="16">
        <v>93</v>
      </c>
      <c r="C16" s="16">
        <v>282391</v>
      </c>
      <c r="D16" s="16">
        <v>206569</v>
      </c>
      <c r="E16" s="16">
        <v>16403</v>
      </c>
      <c r="F16" s="16">
        <v>52549</v>
      </c>
      <c r="G16" s="16">
        <v>6870</v>
      </c>
      <c r="H16" s="16">
        <v>210017</v>
      </c>
      <c r="I16"/>
    </row>
    <row r="17" spans="1:9" ht="14.9" customHeight="1" x14ac:dyDescent="0.3">
      <c r="A17" s="22" t="s">
        <v>20</v>
      </c>
      <c r="B17" s="16">
        <v>95</v>
      </c>
      <c r="C17" s="16">
        <v>441006</v>
      </c>
      <c r="D17" s="16">
        <v>335373</v>
      </c>
      <c r="E17" s="16">
        <v>38224</v>
      </c>
      <c r="F17" s="16">
        <v>46659</v>
      </c>
      <c r="G17" s="16">
        <v>20750</v>
      </c>
      <c r="H17" s="14">
        <v>367288</v>
      </c>
      <c r="I17"/>
    </row>
    <row r="18" spans="1:9" ht="14.9" customHeight="1" x14ac:dyDescent="0.3">
      <c r="A18" s="22" t="s">
        <v>21</v>
      </c>
      <c r="B18" s="16">
        <v>131</v>
      </c>
      <c r="C18" s="16">
        <v>508217</v>
      </c>
      <c r="D18" s="16">
        <v>354465</v>
      </c>
      <c r="E18" s="16">
        <v>31822</v>
      </c>
      <c r="F18" s="16">
        <v>121930</v>
      </c>
      <c r="G18" s="16">
        <v>0</v>
      </c>
      <c r="H18" s="16">
        <v>432913</v>
      </c>
      <c r="I18"/>
    </row>
    <row r="19" spans="1:9" ht="14.9" customHeight="1" thickBot="1" x14ac:dyDescent="0.35">
      <c r="A19" s="23" t="s">
        <v>22</v>
      </c>
      <c r="B19" s="20">
        <v>77</v>
      </c>
      <c r="C19" s="20">
        <v>91326</v>
      </c>
      <c r="D19" s="20">
        <v>49310</v>
      </c>
      <c r="E19" s="20">
        <v>8710</v>
      </c>
      <c r="F19" s="20">
        <v>28651</v>
      </c>
      <c r="G19" s="20">
        <v>4655</v>
      </c>
      <c r="H19" s="20">
        <v>58448</v>
      </c>
      <c r="I19"/>
    </row>
    <row r="20" spans="1:9" ht="14.9" customHeight="1" x14ac:dyDescent="0.4">
      <c r="A20" s="5"/>
      <c r="B20" s="6"/>
      <c r="C20" s="6"/>
      <c r="D20" s="6"/>
      <c r="E20" s="4"/>
      <c r="F20" s="4"/>
      <c r="G20" s="4"/>
      <c r="H20" s="7"/>
    </row>
    <row r="21" spans="1:9" ht="14.9" customHeight="1" x14ac:dyDescent="0.4">
      <c r="A21" s="5"/>
      <c r="B21" s="6"/>
      <c r="C21" s="6"/>
      <c r="D21" s="6"/>
      <c r="E21" s="4"/>
      <c r="F21" s="4"/>
      <c r="G21" s="4"/>
      <c r="H21" s="7"/>
    </row>
    <row r="22" spans="1:9" ht="27.75" customHeight="1" x14ac:dyDescent="0.4">
      <c r="A22" s="68" t="s">
        <v>155</v>
      </c>
      <c r="B22" s="69"/>
      <c r="C22" s="69"/>
      <c r="D22" s="69"/>
      <c r="E22" s="69"/>
      <c r="F22" s="69"/>
      <c r="G22" s="69"/>
      <c r="H22" s="69"/>
    </row>
    <row r="23" spans="1:9" ht="14.9" customHeight="1" thickBot="1" x14ac:dyDescent="0.35">
      <c r="A23" s="70" t="s">
        <v>13</v>
      </c>
      <c r="B23" s="70"/>
      <c r="C23" s="70"/>
      <c r="D23" s="70"/>
      <c r="E23" s="70"/>
      <c r="F23" s="70"/>
      <c r="G23" s="70"/>
      <c r="H23" s="3"/>
    </row>
    <row r="24" spans="1:9" ht="14.15" customHeight="1" x14ac:dyDescent="0.3">
      <c r="A24" s="62" t="s">
        <v>31</v>
      </c>
      <c r="B24" s="64" t="s">
        <v>144</v>
      </c>
      <c r="C24" s="64" t="s">
        <v>32</v>
      </c>
      <c r="D24" s="66" t="s">
        <v>9</v>
      </c>
      <c r="E24" s="66"/>
      <c r="F24" s="66"/>
      <c r="G24" s="66"/>
      <c r="H24" s="67"/>
    </row>
    <row r="25" spans="1:9" ht="14.15" customHeight="1" x14ac:dyDescent="0.3">
      <c r="A25" s="63"/>
      <c r="B25" s="65"/>
      <c r="C25" s="65"/>
      <c r="D25" s="65" t="s">
        <v>10</v>
      </c>
      <c r="E25" s="65" t="s">
        <v>11</v>
      </c>
      <c r="F25" s="65" t="s">
        <v>33</v>
      </c>
      <c r="G25" s="65" t="s">
        <v>12</v>
      </c>
      <c r="H25" s="67"/>
    </row>
    <row r="26" spans="1:9" ht="14.15" customHeight="1" x14ac:dyDescent="0.3">
      <c r="A26" s="63"/>
      <c r="B26" s="65"/>
      <c r="C26" s="65"/>
      <c r="D26" s="65"/>
      <c r="E26" s="65"/>
      <c r="F26" s="65"/>
      <c r="G26" s="65"/>
      <c r="H26" s="67"/>
    </row>
    <row r="27" spans="1:9" ht="15" customHeight="1" x14ac:dyDescent="0.3">
      <c r="A27" s="47" t="s">
        <v>54</v>
      </c>
      <c r="B27" s="48">
        <v>945109</v>
      </c>
      <c r="C27" s="49" t="s">
        <v>55</v>
      </c>
      <c r="D27" s="49" t="s">
        <v>56</v>
      </c>
      <c r="E27" s="49" t="s">
        <v>56</v>
      </c>
      <c r="F27" s="49" t="s">
        <v>55</v>
      </c>
      <c r="G27" s="49" t="s">
        <v>56</v>
      </c>
      <c r="H27" s="3"/>
    </row>
    <row r="28" spans="1:9" ht="15" customHeight="1" x14ac:dyDescent="0.3">
      <c r="A28" s="47" t="s">
        <v>14</v>
      </c>
      <c r="B28" s="48">
        <v>911200</v>
      </c>
      <c r="C28" s="49" t="s">
        <v>57</v>
      </c>
      <c r="D28" s="49" t="s">
        <v>58</v>
      </c>
      <c r="E28" s="49" t="s">
        <v>56</v>
      </c>
      <c r="F28" s="49" t="s">
        <v>59</v>
      </c>
      <c r="G28" s="49" t="s">
        <v>60</v>
      </c>
      <c r="H28" s="3"/>
    </row>
    <row r="29" spans="1:9" ht="15" customHeight="1" x14ac:dyDescent="0.3">
      <c r="A29" s="47" t="s">
        <v>37</v>
      </c>
      <c r="B29" s="48">
        <v>886166</v>
      </c>
      <c r="C29" s="49" t="s">
        <v>61</v>
      </c>
      <c r="D29" s="49" t="s">
        <v>62</v>
      </c>
      <c r="E29" s="49" t="s">
        <v>56</v>
      </c>
      <c r="F29" s="49" t="s">
        <v>63</v>
      </c>
      <c r="G29" s="49" t="s">
        <v>56</v>
      </c>
      <c r="H29" s="3"/>
    </row>
    <row r="30" spans="1:9" ht="15" customHeight="1" x14ac:dyDescent="0.3">
      <c r="A30" s="47" t="s">
        <v>64</v>
      </c>
      <c r="B30" s="48">
        <v>805145</v>
      </c>
      <c r="C30" s="49" t="s">
        <v>65</v>
      </c>
      <c r="D30" s="49" t="s">
        <v>66</v>
      </c>
      <c r="E30" s="49" t="s">
        <v>56</v>
      </c>
      <c r="F30" s="49" t="s">
        <v>67</v>
      </c>
      <c r="G30" s="49" t="s">
        <v>68</v>
      </c>
      <c r="H30" s="3"/>
    </row>
    <row r="31" spans="1:9" ht="15" customHeight="1" x14ac:dyDescent="0.3">
      <c r="A31" s="47" t="s">
        <v>39</v>
      </c>
      <c r="B31" s="48">
        <v>619500</v>
      </c>
      <c r="C31" s="49" t="s">
        <v>69</v>
      </c>
      <c r="D31" s="49" t="s">
        <v>70</v>
      </c>
      <c r="E31" s="49" t="s">
        <v>55</v>
      </c>
      <c r="F31" s="49" t="s">
        <v>71</v>
      </c>
      <c r="G31" s="49" t="s">
        <v>56</v>
      </c>
      <c r="H31" s="3"/>
    </row>
    <row r="32" spans="1:9" ht="15" customHeight="1" x14ac:dyDescent="0.3">
      <c r="A32" s="47" t="s">
        <v>72</v>
      </c>
      <c r="B32" s="48">
        <v>607446</v>
      </c>
      <c r="C32" s="49" t="s">
        <v>73</v>
      </c>
      <c r="D32" s="49" t="s">
        <v>74</v>
      </c>
      <c r="E32" s="49" t="s">
        <v>75</v>
      </c>
      <c r="F32" s="49" t="s">
        <v>76</v>
      </c>
      <c r="G32" s="49" t="s">
        <v>77</v>
      </c>
      <c r="H32" s="3"/>
    </row>
    <row r="33" spans="1:8" ht="15" customHeight="1" x14ac:dyDescent="0.3">
      <c r="A33" s="47" t="s">
        <v>36</v>
      </c>
      <c r="B33" s="48">
        <v>595000</v>
      </c>
      <c r="C33" s="49" t="s">
        <v>78</v>
      </c>
      <c r="D33" s="49" t="s">
        <v>79</v>
      </c>
      <c r="E33" s="49" t="s">
        <v>80</v>
      </c>
      <c r="F33" s="49" t="s">
        <v>81</v>
      </c>
      <c r="G33" s="49" t="s">
        <v>82</v>
      </c>
      <c r="H33" s="3"/>
    </row>
    <row r="34" spans="1:8" ht="15" customHeight="1" x14ac:dyDescent="0.3">
      <c r="A34" s="47" t="s">
        <v>38</v>
      </c>
      <c r="B34" s="48">
        <v>574700</v>
      </c>
      <c r="C34" s="49" t="s">
        <v>83</v>
      </c>
      <c r="D34" s="49" t="s">
        <v>84</v>
      </c>
      <c r="E34" s="49" t="s">
        <v>85</v>
      </c>
      <c r="F34" s="49" t="s">
        <v>86</v>
      </c>
      <c r="G34" s="49" t="s">
        <v>87</v>
      </c>
      <c r="H34" s="3"/>
    </row>
    <row r="35" spans="1:8" ht="15" customHeight="1" x14ac:dyDescent="0.3">
      <c r="A35" s="47" t="s">
        <v>88</v>
      </c>
      <c r="B35" s="48">
        <v>550900</v>
      </c>
      <c r="C35" s="49" t="s">
        <v>89</v>
      </c>
      <c r="D35" s="49" t="s">
        <v>90</v>
      </c>
      <c r="E35" s="49" t="s">
        <v>91</v>
      </c>
      <c r="F35" s="49" t="s">
        <v>92</v>
      </c>
      <c r="G35" s="49" t="s">
        <v>93</v>
      </c>
      <c r="H35" s="3"/>
    </row>
    <row r="36" spans="1:8" ht="15" customHeight="1" x14ac:dyDescent="0.3">
      <c r="A36" s="47" t="s">
        <v>15</v>
      </c>
      <c r="B36" s="48">
        <v>530000</v>
      </c>
      <c r="C36" s="49" t="s">
        <v>94</v>
      </c>
      <c r="D36" s="49" t="s">
        <v>95</v>
      </c>
      <c r="E36" s="49" t="s">
        <v>56</v>
      </c>
      <c r="F36" s="49" t="s">
        <v>96</v>
      </c>
      <c r="G36" s="49" t="s">
        <v>97</v>
      </c>
      <c r="H36" s="3"/>
    </row>
    <row r="37" spans="1:8" ht="15" customHeight="1" x14ac:dyDescent="0.3">
      <c r="A37" s="47" t="s">
        <v>98</v>
      </c>
      <c r="B37" s="48">
        <v>486100</v>
      </c>
      <c r="C37" s="49" t="s">
        <v>99</v>
      </c>
      <c r="D37" s="49" t="s">
        <v>100</v>
      </c>
      <c r="E37" s="49" t="s">
        <v>101</v>
      </c>
      <c r="F37" s="49" t="s">
        <v>56</v>
      </c>
      <c r="G37" s="49" t="s">
        <v>56</v>
      </c>
      <c r="H37" s="3"/>
    </row>
    <row r="38" spans="1:8" ht="15" customHeight="1" x14ac:dyDescent="0.3">
      <c r="A38" s="47" t="s">
        <v>102</v>
      </c>
      <c r="B38" s="48">
        <v>401500</v>
      </c>
      <c r="C38" s="49" t="s">
        <v>103</v>
      </c>
      <c r="D38" s="49" t="s">
        <v>56</v>
      </c>
      <c r="E38" s="49" t="s">
        <v>56</v>
      </c>
      <c r="F38" s="49" t="s">
        <v>56</v>
      </c>
      <c r="G38" s="49" t="s">
        <v>103</v>
      </c>
      <c r="H38" s="3"/>
    </row>
    <row r="39" spans="1:8" ht="15" customHeight="1" x14ac:dyDescent="0.3">
      <c r="A39" s="47" t="s">
        <v>104</v>
      </c>
      <c r="B39" s="48">
        <v>359689</v>
      </c>
      <c r="C39" s="49" t="s">
        <v>105</v>
      </c>
      <c r="D39" s="49" t="s">
        <v>105</v>
      </c>
      <c r="E39" s="49" t="s">
        <v>56</v>
      </c>
      <c r="F39" s="49" t="s">
        <v>56</v>
      </c>
      <c r="G39" s="49" t="s">
        <v>56</v>
      </c>
      <c r="H39" s="3"/>
    </row>
    <row r="40" spans="1:8" ht="15" customHeight="1" x14ac:dyDescent="0.3">
      <c r="A40" s="47" t="s">
        <v>106</v>
      </c>
      <c r="B40" s="48">
        <v>278000</v>
      </c>
      <c r="C40" s="49" t="s">
        <v>107</v>
      </c>
      <c r="D40" s="49" t="s">
        <v>108</v>
      </c>
      <c r="E40" s="49" t="s">
        <v>109</v>
      </c>
      <c r="F40" s="49" t="s">
        <v>110</v>
      </c>
      <c r="G40" s="49" t="s">
        <v>111</v>
      </c>
      <c r="H40" s="3"/>
    </row>
    <row r="41" spans="1:8" ht="15" customHeight="1" x14ac:dyDescent="0.3">
      <c r="A41" s="47" t="s">
        <v>112</v>
      </c>
      <c r="B41" s="48">
        <v>222196</v>
      </c>
      <c r="C41" s="49" t="s">
        <v>113</v>
      </c>
      <c r="D41" s="49" t="s">
        <v>114</v>
      </c>
      <c r="E41" s="49" t="s">
        <v>56</v>
      </c>
      <c r="F41" s="49" t="s">
        <v>115</v>
      </c>
      <c r="G41" s="49" t="s">
        <v>116</v>
      </c>
      <c r="H41" s="3"/>
    </row>
    <row r="42" spans="1:8" ht="15" customHeight="1" x14ac:dyDescent="0.3">
      <c r="A42" s="47" t="s">
        <v>151</v>
      </c>
      <c r="B42" s="48">
        <v>200000</v>
      </c>
      <c r="C42" s="49" t="s">
        <v>117</v>
      </c>
      <c r="D42" s="49" t="s">
        <v>117</v>
      </c>
      <c r="E42" s="49" t="s">
        <v>56</v>
      </c>
      <c r="F42" s="49" t="s">
        <v>56</v>
      </c>
      <c r="G42" s="49" t="s">
        <v>56</v>
      </c>
      <c r="H42" s="3"/>
    </row>
    <row r="43" spans="1:8" ht="15" customHeight="1" x14ac:dyDescent="0.3">
      <c r="A43" s="47" t="s">
        <v>145</v>
      </c>
      <c r="B43" s="48">
        <v>195610</v>
      </c>
      <c r="C43" s="49" t="s">
        <v>118</v>
      </c>
      <c r="D43" s="49" t="s">
        <v>119</v>
      </c>
      <c r="E43" s="49" t="s">
        <v>56</v>
      </c>
      <c r="F43" s="49" t="s">
        <v>56</v>
      </c>
      <c r="G43" s="49" t="s">
        <v>120</v>
      </c>
      <c r="H43" s="3"/>
    </row>
    <row r="44" spans="1:8" ht="15" customHeight="1" x14ac:dyDescent="0.3">
      <c r="A44" s="47" t="s">
        <v>146</v>
      </c>
      <c r="B44" s="48">
        <v>184498</v>
      </c>
      <c r="C44" s="49" t="s">
        <v>121</v>
      </c>
      <c r="D44" s="49" t="s">
        <v>121</v>
      </c>
      <c r="E44" s="49" t="s">
        <v>56</v>
      </c>
      <c r="F44" s="49" t="s">
        <v>56</v>
      </c>
      <c r="G44" s="49" t="s">
        <v>56</v>
      </c>
      <c r="H44" s="3"/>
    </row>
    <row r="45" spans="1:8" ht="15" customHeight="1" x14ac:dyDescent="0.3">
      <c r="A45" s="47" t="s">
        <v>147</v>
      </c>
      <c r="B45" s="48">
        <v>178500</v>
      </c>
      <c r="C45" s="49" t="s">
        <v>122</v>
      </c>
      <c r="D45" s="49" t="s">
        <v>123</v>
      </c>
      <c r="E45" s="49" t="s">
        <v>124</v>
      </c>
      <c r="F45" s="49" t="s">
        <v>125</v>
      </c>
      <c r="G45" s="49" t="s">
        <v>56</v>
      </c>
      <c r="H45" s="3"/>
    </row>
    <row r="46" spans="1:8" ht="15" customHeight="1" x14ac:dyDescent="0.3">
      <c r="A46" s="47" t="s">
        <v>148</v>
      </c>
      <c r="B46" s="48">
        <v>160912</v>
      </c>
      <c r="C46" s="49" t="s">
        <v>126</v>
      </c>
      <c r="D46" s="49" t="s">
        <v>127</v>
      </c>
      <c r="E46" s="49" t="s">
        <v>128</v>
      </c>
      <c r="F46" s="49" t="s">
        <v>129</v>
      </c>
      <c r="G46" s="49" t="s">
        <v>130</v>
      </c>
      <c r="H46" s="3"/>
    </row>
    <row r="47" spans="1:8" ht="15" customHeight="1" x14ac:dyDescent="0.3">
      <c r="A47" s="47" t="s">
        <v>149</v>
      </c>
      <c r="B47" s="48">
        <v>152558</v>
      </c>
      <c r="C47" s="49" t="s">
        <v>131</v>
      </c>
      <c r="D47" s="49" t="s">
        <v>131</v>
      </c>
      <c r="E47" s="49" t="s">
        <v>56</v>
      </c>
      <c r="F47" s="49" t="s">
        <v>56</v>
      </c>
      <c r="G47" s="49" t="s">
        <v>56</v>
      </c>
      <c r="H47" s="3"/>
    </row>
    <row r="48" spans="1:8" ht="15" customHeight="1" x14ac:dyDescent="0.3">
      <c r="A48" s="47" t="s">
        <v>35</v>
      </c>
      <c r="B48" s="48">
        <v>150000</v>
      </c>
      <c r="C48" s="49" t="s">
        <v>132</v>
      </c>
      <c r="D48" s="49" t="s">
        <v>132</v>
      </c>
      <c r="E48" s="49" t="s">
        <v>56</v>
      </c>
      <c r="F48" s="49" t="s">
        <v>56</v>
      </c>
      <c r="G48" s="49" t="s">
        <v>56</v>
      </c>
      <c r="H48" s="3"/>
    </row>
    <row r="49" spans="1:8" ht="15" customHeight="1" x14ac:dyDescent="0.3">
      <c r="A49" s="47" t="s">
        <v>150</v>
      </c>
      <c r="B49" s="48">
        <v>143851</v>
      </c>
      <c r="C49" s="49" t="s">
        <v>133</v>
      </c>
      <c r="D49" s="49" t="s">
        <v>134</v>
      </c>
      <c r="E49" s="49" t="s">
        <v>135</v>
      </c>
      <c r="F49" s="49" t="s">
        <v>136</v>
      </c>
      <c r="G49" s="49" t="s">
        <v>56</v>
      </c>
      <c r="H49" s="3"/>
    </row>
    <row r="50" spans="1:8" ht="15" customHeight="1" x14ac:dyDescent="0.3">
      <c r="A50" s="47" t="s">
        <v>137</v>
      </c>
      <c r="B50" s="48">
        <v>135000</v>
      </c>
      <c r="C50" s="49" t="s">
        <v>138</v>
      </c>
      <c r="D50" s="49" t="s">
        <v>139</v>
      </c>
      <c r="E50" s="49" t="s">
        <v>56</v>
      </c>
      <c r="F50" s="49" t="s">
        <v>56</v>
      </c>
      <c r="G50" s="49" t="s">
        <v>140</v>
      </c>
      <c r="H50" s="3"/>
    </row>
    <row r="51" spans="1:8" ht="15" customHeight="1" thickBot="1" x14ac:dyDescent="0.35">
      <c r="A51" s="50" t="s">
        <v>34</v>
      </c>
      <c r="B51" s="51">
        <v>100000</v>
      </c>
      <c r="C51" s="52" t="s">
        <v>141</v>
      </c>
      <c r="D51" s="52" t="s">
        <v>142</v>
      </c>
      <c r="E51" s="52" t="s">
        <v>56</v>
      </c>
      <c r="F51" s="52" t="s">
        <v>143</v>
      </c>
      <c r="G51" s="52" t="s">
        <v>56</v>
      </c>
      <c r="H51" s="3"/>
    </row>
  </sheetData>
  <mergeCells count="22">
    <mergeCell ref="A1:H1"/>
    <mergeCell ref="A3:A5"/>
    <mergeCell ref="B3:B5"/>
    <mergeCell ref="D4:D5"/>
    <mergeCell ref="G4:G5"/>
    <mergeCell ref="G2:H2"/>
    <mergeCell ref="D3:G3"/>
    <mergeCell ref="A22:H22"/>
    <mergeCell ref="A23:G23"/>
    <mergeCell ref="C3:C5"/>
    <mergeCell ref="H3:H5"/>
    <mergeCell ref="E4:E5"/>
    <mergeCell ref="F4:F5"/>
    <mergeCell ref="A24:A26"/>
    <mergeCell ref="B24:B26"/>
    <mergeCell ref="D24:G24"/>
    <mergeCell ref="H24:H26"/>
    <mergeCell ref="F25:F26"/>
    <mergeCell ref="G25:G26"/>
    <mergeCell ref="E25:E26"/>
    <mergeCell ref="D25:D26"/>
    <mergeCell ref="C24:C26"/>
  </mergeCells>
  <phoneticPr fontId="4" type="noConversion"/>
  <pageMargins left="0.47222222222222221" right="0.47222222222222221" top="0.98402777777777772" bottom="0.98402777777777772" header="0.5" footer="0.5"/>
  <pageSetup paperSize="9" firstPageNumber="4294963572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38和39</vt:lpstr>
      <vt:lpstr>40和41</vt:lpstr>
    </vt:vector>
  </TitlesOfParts>
  <Company>xmtjj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</dc:creator>
  <cp:lastModifiedBy>亦哲君</cp:lastModifiedBy>
  <cp:lastPrinted>2017-07-11T08:30:09Z</cp:lastPrinted>
  <dcterms:created xsi:type="dcterms:W3CDTF">2008-01-21T02:03:56Z</dcterms:created>
  <dcterms:modified xsi:type="dcterms:W3CDTF">2025-03-30T13:12:36Z</dcterms:modified>
</cp:coreProperties>
</file>