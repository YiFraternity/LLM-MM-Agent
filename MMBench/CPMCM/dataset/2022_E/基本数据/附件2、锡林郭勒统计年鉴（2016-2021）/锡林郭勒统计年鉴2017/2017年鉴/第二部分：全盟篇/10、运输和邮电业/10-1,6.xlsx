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0、运输和邮电业\"/>
    </mc:Choice>
  </mc:AlternateContent>
  <xr:revisionPtr revIDLastSave="0" documentId="8_{27284EF4-3AA1-4DAF-88B7-BA8A95A8E68A}" xr6:coauthVersionLast="36" xr6:coauthVersionMax="36" xr10:uidLastSave="{00000000-0000-0000-0000-000000000000}"/>
  <bookViews>
    <workbookView xWindow="32769" yWindow="32769" windowWidth="23897" windowHeight="9934" activeTab="5"/>
  </bookViews>
  <sheets>
    <sheet name="10-1" sheetId="6" r:id="rId1"/>
    <sheet name="10-1续" sheetId="8" r:id="rId2"/>
    <sheet name="10-2" sheetId="11" r:id="rId3"/>
    <sheet name="10-3" sheetId="1" r:id="rId4"/>
    <sheet name="10-4" sheetId="14" r:id="rId5"/>
    <sheet name="10-5" sheetId="13" r:id="rId6"/>
    <sheet name="10-6" sheetId="12" r:id="rId7"/>
  </sheets>
  <calcPr calcId="191029"/>
</workbook>
</file>

<file path=xl/calcChain.xml><?xml version="1.0" encoding="utf-8"?>
<calcChain xmlns="http://schemas.openxmlformats.org/spreadsheetml/2006/main">
  <c r="E5" i="11" l="1"/>
  <c r="E6" i="11"/>
  <c r="E7" i="11"/>
  <c r="E8" i="11"/>
  <c r="E9" i="11"/>
  <c r="E11" i="11"/>
  <c r="E12" i="11"/>
  <c r="E13" i="11"/>
  <c r="E14" i="11"/>
  <c r="E16" i="11"/>
  <c r="E17" i="11"/>
  <c r="E18" i="11"/>
  <c r="E19" i="11"/>
  <c r="E20" i="11"/>
  <c r="E21" i="11"/>
  <c r="E22" i="11"/>
  <c r="E23" i="11"/>
  <c r="E24" i="11"/>
  <c r="E4" i="11"/>
  <c r="E7" i="12"/>
  <c r="E8" i="12"/>
  <c r="E9" i="12"/>
  <c r="E10" i="12"/>
  <c r="E11" i="12"/>
  <c r="E12" i="12"/>
  <c r="E14" i="12"/>
  <c r="E15" i="12"/>
  <c r="E16" i="12"/>
  <c r="E17" i="12"/>
  <c r="E18" i="12"/>
  <c r="E19" i="12"/>
  <c r="E20" i="12"/>
  <c r="E21" i="12"/>
  <c r="E24" i="12"/>
  <c r="E25" i="12"/>
  <c r="E6" i="12"/>
</calcChain>
</file>

<file path=xl/sharedStrings.xml><?xml version="1.0" encoding="utf-8"?>
<sst xmlns="http://schemas.openxmlformats.org/spreadsheetml/2006/main" count="239" uniqueCount="155">
  <si>
    <t>10-1  历年公路客货运输量及汽车保有数量</t>
  </si>
  <si>
    <t>公路客运量</t>
  </si>
  <si>
    <t>公路客运周转量</t>
  </si>
  <si>
    <t>公路货运量</t>
  </si>
  <si>
    <t>公路货运周转量</t>
  </si>
  <si>
    <t>汽车保有量</t>
  </si>
  <si>
    <t>年份</t>
  </si>
  <si>
    <t>(万人)</t>
  </si>
  <si>
    <t>(万人公里)</t>
  </si>
  <si>
    <t>(万吨)</t>
  </si>
  <si>
    <t>(万吨公里)</t>
  </si>
  <si>
    <t>(辆)</t>
  </si>
  <si>
    <t>10-1续表</t>
  </si>
  <si>
    <t>注;2011起公路客运量口径改为营业性客运量，公路客运周转量口径改为营业性客运周转量。</t>
  </si>
  <si>
    <t>10-2  公路、铁路和民航生产运营情况</t>
  </si>
  <si>
    <t>单位</t>
  </si>
  <si>
    <t>2015年</t>
  </si>
  <si>
    <t>同比增长（%）</t>
  </si>
  <si>
    <t>一、公路</t>
  </si>
  <si>
    <r>
      <t xml:space="preserve">     </t>
    </r>
    <r>
      <rPr>
        <sz val="10"/>
        <rFont val="宋体"/>
        <charset val="134"/>
      </rPr>
      <t>公路货运量</t>
    </r>
  </si>
  <si>
    <t>万吨</t>
  </si>
  <si>
    <t xml:space="preserve">     #煤炭及制品</t>
  </si>
  <si>
    <r>
      <t xml:space="preserve">     </t>
    </r>
    <r>
      <rPr>
        <sz val="10"/>
        <rFont val="宋体"/>
        <charset val="134"/>
      </rPr>
      <t>公路货物周转量</t>
    </r>
  </si>
  <si>
    <t>万吨公里</t>
  </si>
  <si>
    <t xml:space="preserve">  营业性公路客运量</t>
  </si>
  <si>
    <t>万人</t>
  </si>
  <si>
    <r>
      <t xml:space="preserve">    </t>
    </r>
    <r>
      <rPr>
        <sz val="10"/>
        <rFont val="宋体"/>
        <charset val="134"/>
      </rPr>
      <t>营业性旅客周转量</t>
    </r>
  </si>
  <si>
    <t>万人公里</t>
  </si>
  <si>
    <t>二、铁路</t>
  </si>
  <si>
    <t xml:space="preserve">  通车里程</t>
  </si>
  <si>
    <t>公里</t>
  </si>
  <si>
    <t xml:space="preserve">  铁路货运量</t>
  </si>
  <si>
    <t xml:space="preserve">    #地方铁路</t>
  </si>
  <si>
    <t xml:space="preserve">  铁路客运量</t>
  </si>
  <si>
    <t>三、民航</t>
  </si>
  <si>
    <t xml:space="preserve">  旅客吞吐量</t>
  </si>
  <si>
    <t>万人次</t>
  </si>
  <si>
    <t xml:space="preserve">     锡林浩特机场</t>
  </si>
  <si>
    <t xml:space="preserve">     二连浩特机场</t>
  </si>
  <si>
    <t xml:space="preserve">  货邮吞吐量</t>
  </si>
  <si>
    <t>吨</t>
  </si>
  <si>
    <t xml:space="preserve">  飞行架次</t>
  </si>
  <si>
    <t>架次</t>
  </si>
  <si>
    <r>
      <t xml:space="preserve">10—3    </t>
    </r>
    <r>
      <rPr>
        <sz val="16"/>
        <rFont val="宋体"/>
        <charset val="134"/>
      </rPr>
      <t>公路线路基本情况</t>
    </r>
  </si>
  <si>
    <r>
      <t>单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位</t>
    </r>
  </si>
  <si>
    <t>一、公路年末到达数</t>
  </si>
  <si>
    <r>
      <t>公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里</t>
    </r>
  </si>
  <si>
    <r>
      <t xml:space="preserve">        </t>
    </r>
    <r>
      <rPr>
        <sz val="9"/>
        <rFont val="宋体"/>
        <charset val="134"/>
      </rPr>
      <t>（一）按行政等级分</t>
    </r>
  </si>
  <si>
    <r>
      <t xml:space="preserve">                        </t>
    </r>
    <r>
      <rPr>
        <sz val="9"/>
        <rFont val="宋体"/>
        <charset val="134"/>
      </rPr>
      <t>国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道</t>
    </r>
  </si>
  <si>
    <r>
      <t xml:space="preserve">                        </t>
    </r>
    <r>
      <rPr>
        <sz val="9"/>
        <rFont val="宋体"/>
        <charset val="134"/>
      </rPr>
      <t>省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道</t>
    </r>
  </si>
  <si>
    <r>
      <t xml:space="preserve">                        </t>
    </r>
    <r>
      <rPr>
        <sz val="9"/>
        <rFont val="宋体"/>
        <charset val="134"/>
      </rPr>
      <t>县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道</t>
    </r>
  </si>
  <si>
    <r>
      <t xml:space="preserve">                        </t>
    </r>
    <r>
      <rPr>
        <sz val="9"/>
        <rFont val="宋体"/>
        <charset val="134"/>
      </rPr>
      <t>边防公路</t>
    </r>
  </si>
  <si>
    <r>
      <t xml:space="preserve">                        </t>
    </r>
    <r>
      <rPr>
        <sz val="9"/>
        <rFont val="宋体"/>
        <charset val="134"/>
      </rPr>
      <t>乡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道</t>
    </r>
  </si>
  <si>
    <r>
      <t xml:space="preserve">       </t>
    </r>
    <r>
      <rPr>
        <b/>
        <sz val="9"/>
        <rFont val="Times New Roman"/>
        <family val="1"/>
      </rPr>
      <t xml:space="preserve">                 </t>
    </r>
    <r>
      <rPr>
        <sz val="9"/>
        <rFont val="宋体"/>
        <charset val="134"/>
      </rPr>
      <t>专用公路</t>
    </r>
  </si>
  <si>
    <r>
      <t xml:space="preserve">                        </t>
    </r>
    <r>
      <rPr>
        <sz val="9"/>
        <rFont val="宋体"/>
        <charset val="134"/>
      </rPr>
      <t>村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道</t>
    </r>
  </si>
  <si>
    <t>（二）按技术等级分</t>
  </si>
  <si>
    <r>
      <t xml:space="preserve">           </t>
    </r>
    <r>
      <rPr>
        <sz val="9"/>
        <rFont val="宋体"/>
        <charset val="134"/>
      </rPr>
      <t>1、等级公路</t>
    </r>
  </si>
  <si>
    <r>
      <t xml:space="preserve">               </t>
    </r>
    <r>
      <rPr>
        <sz val="9"/>
        <rFont val="宋体"/>
        <charset val="134"/>
      </rPr>
      <t>高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速</t>
    </r>
  </si>
  <si>
    <r>
      <t xml:space="preserve">                    </t>
    </r>
    <r>
      <rPr>
        <sz val="9"/>
        <rFont val="宋体"/>
        <charset val="134"/>
      </rPr>
      <t>四车道</t>
    </r>
  </si>
  <si>
    <r>
      <t xml:space="preserve">              </t>
    </r>
    <r>
      <rPr>
        <sz val="9"/>
        <rFont val="宋体"/>
        <charset val="134"/>
      </rPr>
      <t>一般公路</t>
    </r>
  </si>
  <si>
    <r>
      <t xml:space="preserve">                      </t>
    </r>
    <r>
      <rPr>
        <sz val="9"/>
        <rFont val="宋体"/>
        <charset val="134"/>
      </rPr>
      <t>一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级</t>
    </r>
  </si>
  <si>
    <r>
      <t xml:space="preserve">                      </t>
    </r>
    <r>
      <rPr>
        <sz val="9"/>
        <rFont val="宋体"/>
        <charset val="134"/>
      </rPr>
      <t>二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级</t>
    </r>
  </si>
  <si>
    <r>
      <t xml:space="preserve">                      </t>
    </r>
    <r>
      <rPr>
        <sz val="9"/>
        <rFont val="宋体"/>
        <charset val="134"/>
      </rPr>
      <t>三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级</t>
    </r>
  </si>
  <si>
    <r>
      <t xml:space="preserve">                      </t>
    </r>
    <r>
      <rPr>
        <sz val="9"/>
        <rFont val="宋体"/>
        <charset val="134"/>
      </rPr>
      <t>四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级</t>
    </r>
  </si>
  <si>
    <r>
      <t xml:space="preserve">          2 </t>
    </r>
    <r>
      <rPr>
        <sz val="9"/>
        <rFont val="宋体"/>
        <charset val="134"/>
      </rPr>
      <t>、</t>
    </r>
    <r>
      <rPr>
        <sz val="9"/>
        <rFont val="Times New Roman"/>
        <family val="1"/>
      </rPr>
      <t>.</t>
    </r>
    <r>
      <rPr>
        <sz val="9"/>
        <rFont val="宋体"/>
        <charset val="134"/>
      </rPr>
      <t>等外级</t>
    </r>
  </si>
  <si>
    <t>二、晴雨通车里程</t>
  </si>
  <si>
    <t>公  里</t>
  </si>
  <si>
    <t>三、公路桥梁</t>
  </si>
  <si>
    <r>
      <t>座</t>
    </r>
    <r>
      <rPr>
        <sz val="9"/>
        <rFont val="Times New Roman"/>
        <family val="1"/>
      </rPr>
      <t>/</t>
    </r>
    <r>
      <rPr>
        <sz val="9"/>
        <rFont val="宋体"/>
        <charset val="134"/>
      </rPr>
      <t>延米</t>
    </r>
  </si>
  <si>
    <t>671/21660</t>
  </si>
  <si>
    <r>
      <t xml:space="preserve">        </t>
    </r>
    <r>
      <rPr>
        <sz val="9"/>
        <rFont val="宋体"/>
        <charset val="134"/>
      </rPr>
      <t>（一）按使用年限分</t>
    </r>
  </si>
  <si>
    <r>
      <t xml:space="preserve">                   #</t>
    </r>
    <r>
      <rPr>
        <sz val="9"/>
        <rFont val="宋体"/>
        <charset val="134"/>
      </rPr>
      <t>永久式</t>
    </r>
  </si>
  <si>
    <r>
      <t xml:space="preserve">        </t>
    </r>
    <r>
      <rPr>
        <sz val="9"/>
        <rFont val="宋体"/>
        <charset val="134"/>
      </rPr>
      <t>（二）按跨径总长分</t>
    </r>
  </si>
  <si>
    <r>
      <t xml:space="preserve">                    </t>
    </r>
    <r>
      <rPr>
        <sz val="9"/>
        <rFont val="宋体"/>
        <charset val="134"/>
      </rPr>
      <t>1.大    桥</t>
    </r>
  </si>
  <si>
    <t>41/5462</t>
  </si>
  <si>
    <r>
      <t xml:space="preserve">                    </t>
    </r>
    <r>
      <rPr>
        <sz val="9"/>
        <rFont val="宋体"/>
        <charset val="134"/>
      </rPr>
      <t>2.中    桥</t>
    </r>
  </si>
  <si>
    <t>107/7190</t>
  </si>
  <si>
    <r>
      <t xml:space="preserve">                    </t>
    </r>
    <r>
      <rPr>
        <sz val="9"/>
        <rFont val="宋体"/>
        <charset val="134"/>
      </rPr>
      <t>3.小    桥</t>
    </r>
  </si>
  <si>
    <t>523/8948</t>
  </si>
  <si>
    <t>10-5 历年邮政电信业务总量</t>
  </si>
  <si>
    <t>邮政电信业务总量</t>
  </si>
  <si>
    <t>邮政业务总量</t>
  </si>
  <si>
    <t>电信业务总量</t>
  </si>
  <si>
    <t>注1：2000年及以前按1990年不变价格计算，2001-2010年按2000年不变价格计算，2011年及以后按2010年不变价格计算。</t>
  </si>
  <si>
    <t>注2：1999年以前分电信和邮政的业务总量数据不详。</t>
  </si>
  <si>
    <r>
      <t xml:space="preserve">10—6  </t>
    </r>
    <r>
      <rPr>
        <sz val="16"/>
        <rFont val="宋体"/>
        <charset val="134"/>
      </rPr>
      <t>邮政和电信基本情况</t>
    </r>
  </si>
  <si>
    <r>
      <t>同比增长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%</t>
    </r>
    <r>
      <rPr>
        <sz val="9"/>
        <rFont val="宋体"/>
        <charset val="134"/>
      </rPr>
      <t>）</t>
    </r>
  </si>
  <si>
    <t>一、邮政指标</t>
  </si>
  <si>
    <t>万元</t>
  </si>
  <si>
    <t>处</t>
  </si>
  <si>
    <t>条</t>
  </si>
  <si>
    <t>万件</t>
  </si>
  <si>
    <t>万份</t>
  </si>
  <si>
    <t>二、电信指标</t>
  </si>
  <si>
    <t>通信业务总量</t>
  </si>
  <si>
    <t xml:space="preserve">  通信业务收入</t>
  </si>
  <si>
    <t xml:space="preserve">    互联网宽带业务</t>
  </si>
  <si>
    <t xml:space="preserve">    移动通信业务</t>
  </si>
  <si>
    <t>移动电话用户数</t>
  </si>
  <si>
    <t xml:space="preserve">    3G用户</t>
  </si>
  <si>
    <t xml:space="preserve">    4G用户</t>
  </si>
  <si>
    <t>固定电话用户数</t>
  </si>
  <si>
    <t>万户</t>
  </si>
  <si>
    <t>互联网宽带接入户数</t>
  </si>
  <si>
    <t>光缆线路长度</t>
  </si>
  <si>
    <t>万公里</t>
  </si>
  <si>
    <t>2016年</t>
    <phoneticPr fontId="11" type="noConversion"/>
  </si>
  <si>
    <t xml:space="preserve">    邮政行业业务总量</t>
    <phoneticPr fontId="11" type="noConversion"/>
  </si>
  <si>
    <r>
      <t xml:space="preserve">        </t>
    </r>
    <r>
      <rPr>
        <sz val="9"/>
        <color indexed="8"/>
        <rFont val="宋体"/>
        <charset val="134"/>
      </rPr>
      <t>邮电局所数</t>
    </r>
  </si>
  <si>
    <r>
      <t xml:space="preserve">       </t>
    </r>
    <r>
      <rPr>
        <sz val="9"/>
        <color indexed="8"/>
        <rFont val="宋体"/>
        <charset val="134"/>
      </rPr>
      <t>邮路总条数</t>
    </r>
  </si>
  <si>
    <r>
      <t xml:space="preserve">       </t>
    </r>
    <r>
      <rPr>
        <sz val="9"/>
        <color indexed="8"/>
        <rFont val="宋体"/>
        <charset val="134"/>
      </rPr>
      <t>邮路总长度（单程）</t>
    </r>
  </si>
  <si>
    <r>
      <t xml:space="preserve">            </t>
    </r>
    <r>
      <rPr>
        <sz val="9"/>
        <color indexed="8"/>
        <rFont val="宋体"/>
        <charset val="134"/>
      </rPr>
      <t>函件</t>
    </r>
    <phoneticPr fontId="11" type="noConversion"/>
  </si>
  <si>
    <r>
      <t xml:space="preserve">            </t>
    </r>
    <r>
      <rPr>
        <sz val="9"/>
        <color indexed="8"/>
        <rFont val="宋体"/>
        <charset val="134"/>
      </rPr>
      <t>报刊期发数</t>
    </r>
    <phoneticPr fontId="11" type="noConversion"/>
  </si>
  <si>
    <r>
      <t xml:space="preserve">            </t>
    </r>
    <r>
      <rPr>
        <sz val="9"/>
        <color indexed="60"/>
        <rFont val="宋体"/>
        <charset val="134"/>
      </rPr>
      <t>快递</t>
    </r>
    <phoneticPr fontId="11" type="noConversion"/>
  </si>
  <si>
    <t xml:space="preserve">2016年 </t>
    <phoneticPr fontId="11" type="noConversion"/>
  </si>
  <si>
    <t>10-4 机动车保有量</t>
  </si>
  <si>
    <t>单位：辆</t>
  </si>
  <si>
    <t>总        计</t>
  </si>
  <si>
    <r>
      <t>一、营</t>
    </r>
    <r>
      <rPr>
        <sz val="10"/>
        <rFont val="Times New Roman"/>
        <family val="1"/>
      </rPr>
      <t xml:space="preserve">       </t>
    </r>
    <r>
      <rPr>
        <sz val="10"/>
        <rFont val="宋体"/>
        <charset val="134"/>
      </rPr>
      <t>运</t>
    </r>
  </si>
  <si>
    <t>#进口</t>
  </si>
  <si>
    <t>#个人</t>
  </si>
  <si>
    <t>合计</t>
  </si>
  <si>
    <t>公路客运</t>
  </si>
  <si>
    <t>公交客运</t>
  </si>
  <si>
    <t>出租客运</t>
  </si>
  <si>
    <t>旅游客运</t>
  </si>
  <si>
    <t>货运</t>
  </si>
  <si>
    <t>租赁</t>
  </si>
  <si>
    <t>机动车总计</t>
  </si>
  <si>
    <t>一、汽车</t>
  </si>
  <si>
    <t xml:space="preserve">  载客</t>
  </si>
  <si>
    <t xml:space="preserve">    大型</t>
  </si>
  <si>
    <t xml:space="preserve">    中型</t>
  </si>
  <si>
    <t xml:space="preserve">    小型</t>
  </si>
  <si>
    <t xml:space="preserve">    微型</t>
  </si>
  <si>
    <t xml:space="preserve">  载货</t>
  </si>
  <si>
    <t xml:space="preserve">    重型</t>
  </si>
  <si>
    <t xml:space="preserve">    轻型</t>
  </si>
  <si>
    <t xml:space="preserve">  其他</t>
  </si>
  <si>
    <t>二、摩托车</t>
  </si>
  <si>
    <t>三、挂车</t>
  </si>
  <si>
    <t xml:space="preserve">     #重型</t>
  </si>
  <si>
    <t>四、其他类型</t>
  </si>
  <si>
    <t>10-4 续表</t>
  </si>
  <si>
    <t>一、营  运</t>
  </si>
  <si>
    <t>二、非营运</t>
  </si>
  <si>
    <t>三、校车</t>
  </si>
  <si>
    <t>危化运输</t>
  </si>
  <si>
    <t>教练</t>
  </si>
  <si>
    <t>警用</t>
  </si>
  <si>
    <t>消防</t>
  </si>
  <si>
    <t>救护</t>
  </si>
  <si>
    <t>工程救险</t>
  </si>
  <si>
    <t>营转非</t>
  </si>
  <si>
    <t>出租营转非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</si>
</sst>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0" formatCode="0.0_ "/>
    <numFmt numFmtId="181" formatCode="0.0_);[Red]\(0.0\)"/>
    <numFmt numFmtId="182" formatCode="0.00_ "/>
    <numFmt numFmtId="183" formatCode="0_ "/>
  </numFmts>
  <fonts count="25" x14ac:knownFonts="1">
    <font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b/>
      <sz val="11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宋体"/>
      <charset val="134"/>
    </font>
    <font>
      <sz val="9"/>
      <color indexed="8"/>
      <name val="宋体"/>
      <charset val="134"/>
    </font>
    <font>
      <sz val="9"/>
      <color indexed="6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8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12"/>
      <color rgb="FFFF0000"/>
      <name val="宋体"/>
      <charset val="134"/>
    </font>
    <font>
      <sz val="9"/>
      <color theme="1"/>
      <name val="Times New Roman"/>
      <family val="1"/>
    </font>
    <font>
      <sz val="9"/>
      <color rgb="FFC00000"/>
      <name val="Times New Roman"/>
      <family val="1"/>
    </font>
    <font>
      <sz val="11"/>
      <color rgb="FFFF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180" fontId="0" fillId="0" borderId="0" xfId="0" applyNumberFormat="1" applyFill="1"/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80" fontId="2" fillId="0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80" fontId="2" fillId="0" borderId="0" xfId="0" applyNumberFormat="1" applyFont="1" applyFill="1" applyBorder="1"/>
    <xf numFmtId="0" fontId="2" fillId="0" borderId="0" xfId="0" applyFont="1" applyFill="1" applyBorder="1"/>
    <xf numFmtId="0" fontId="2" fillId="0" borderId="4" xfId="0" applyFont="1" applyFill="1" applyBorder="1" applyAlignment="1">
      <alignment horizontal="center"/>
    </xf>
    <xf numFmtId="180" fontId="2" fillId="0" borderId="0" xfId="0" applyNumberFormat="1" applyFont="1"/>
    <xf numFmtId="181" fontId="2" fillId="0" borderId="0" xfId="0" applyNumberFormat="1" applyFont="1"/>
    <xf numFmtId="0" fontId="5" fillId="0" borderId="5" xfId="0" applyFont="1" applyFill="1" applyBorder="1" applyAlignment="1">
      <alignment horizontal="left" vertical="center"/>
    </xf>
    <xf numFmtId="183" fontId="19" fillId="0" borderId="4" xfId="0" applyNumberFormat="1" applyFont="1" applyFill="1" applyBorder="1" applyAlignment="1">
      <alignment horizontal="center"/>
    </xf>
    <xf numFmtId="183" fontId="2" fillId="0" borderId="4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182" fontId="6" fillId="0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182" fontId="6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Fill="1"/>
    <xf numFmtId="0" fontId="2" fillId="0" borderId="0" xfId="0" applyFont="1" applyFill="1" applyAlignment="1">
      <alignment horizontal="center"/>
    </xf>
    <xf numFmtId="180" fontId="2" fillId="0" borderId="0" xfId="0" applyNumberFormat="1" applyFont="1" applyFill="1"/>
    <xf numFmtId="0" fontId="2" fillId="0" borderId="0" xfId="0" applyFont="1" applyFill="1"/>
    <xf numFmtId="182" fontId="7" fillId="0" borderId="0" xfId="0" applyNumberFormat="1" applyFont="1" applyAlignment="1">
      <alignment wrapText="1"/>
    </xf>
    <xf numFmtId="183" fontId="0" fillId="0" borderId="0" xfId="0" applyNumberFormat="1"/>
    <xf numFmtId="0" fontId="0" fillId="0" borderId="3" xfId="0" applyBorder="1"/>
    <xf numFmtId="0" fontId="0" fillId="0" borderId="6" xfId="0" applyBorder="1"/>
    <xf numFmtId="0" fontId="8" fillId="0" borderId="7" xfId="0" applyFont="1" applyFill="1" applyBorder="1" applyAlignment="1">
      <alignment horizontal="center" vertical="center" wrapText="1"/>
    </xf>
    <xf numFmtId="183" fontId="8" fillId="0" borderId="5" xfId="0" applyNumberFormat="1" applyFont="1" applyBorder="1" applyAlignment="1">
      <alignment vertical="center" wrapText="1"/>
    </xf>
    <xf numFmtId="0" fontId="0" fillId="0" borderId="5" xfId="0" applyBorder="1"/>
    <xf numFmtId="0" fontId="0" fillId="0" borderId="4" xfId="0" applyBorder="1"/>
    <xf numFmtId="183" fontId="0" fillId="0" borderId="5" xfId="0" applyNumberFormat="1" applyBorder="1"/>
    <xf numFmtId="0" fontId="8" fillId="0" borderId="2" xfId="0" applyFont="1" applyFill="1" applyBorder="1" applyAlignment="1">
      <alignment horizontal="center" vertical="center" wrapText="1"/>
    </xf>
    <xf numFmtId="183" fontId="0" fillId="0" borderId="3" xfId="0" applyNumberFormat="1" applyBorder="1"/>
    <xf numFmtId="0" fontId="8" fillId="0" borderId="0" xfId="0" applyFont="1" applyFill="1" applyBorder="1" applyAlignment="1">
      <alignment horizontal="center" vertical="center" wrapText="1"/>
    </xf>
    <xf numFmtId="183" fontId="0" fillId="0" borderId="0" xfId="0" applyNumberFormat="1" applyBorder="1"/>
    <xf numFmtId="0" fontId="0" fillId="0" borderId="5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Fill="1" applyBorder="1"/>
    <xf numFmtId="0" fontId="2" fillId="0" borderId="3" xfId="0" applyFont="1" applyFill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9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Fill="1" applyAlignment="1">
      <alignment horizontal="left"/>
    </xf>
    <xf numFmtId="0" fontId="4" fillId="0" borderId="1" xfId="0" applyFont="1" applyFill="1" applyBorder="1"/>
    <xf numFmtId="0" fontId="2" fillId="0" borderId="6" xfId="0" applyFont="1" applyFill="1" applyBorder="1" applyAlignment="1">
      <alignment horizontal="center"/>
    </xf>
    <xf numFmtId="0" fontId="0" fillId="0" borderId="0" xfId="0" applyAlignment="1">
      <alignment wrapText="1"/>
    </xf>
    <xf numFmtId="180" fontId="7" fillId="0" borderId="0" xfId="0" applyNumberFormat="1" applyFont="1" applyAlignment="1">
      <alignment horizontal="right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right" wrapText="1"/>
    </xf>
    <xf numFmtId="180" fontId="7" fillId="0" borderId="8" xfId="0" applyNumberFormat="1" applyFont="1" applyBorder="1" applyAlignment="1">
      <alignment horizontal="right" wrapText="1"/>
    </xf>
    <xf numFmtId="0" fontId="0" fillId="0" borderId="7" xfId="0" applyBorder="1"/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180" fontId="7" fillId="0" borderId="12" xfId="0" applyNumberFormat="1" applyFont="1" applyBorder="1" applyAlignment="1">
      <alignment horizontal="right"/>
    </xf>
    <xf numFmtId="0" fontId="9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80" fontId="7" fillId="0" borderId="0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9" fillId="0" borderId="7" xfId="0" applyFont="1" applyBorder="1"/>
    <xf numFmtId="0" fontId="7" fillId="0" borderId="5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7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3" borderId="0" xfId="0" applyFill="1"/>
    <xf numFmtId="180" fontId="0" fillId="0" borderId="0" xfId="0" applyNumberFormat="1"/>
    <xf numFmtId="0" fontId="0" fillId="4" borderId="0" xfId="0" applyFill="1"/>
    <xf numFmtId="180" fontId="0" fillId="4" borderId="0" xfId="0" applyNumberFormat="1" applyFill="1"/>
    <xf numFmtId="0" fontId="2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 vertical="center"/>
    </xf>
    <xf numFmtId="0" fontId="20" fillId="0" borderId="4" xfId="0" applyFont="1" applyFill="1" applyBorder="1" applyAlignment="1">
      <alignment horizontal="center" vertical="center"/>
    </xf>
    <xf numFmtId="180" fontId="20" fillId="0" borderId="0" xfId="0" applyNumberFormat="1" applyFont="1" applyFill="1" applyBorder="1"/>
    <xf numFmtId="0" fontId="20" fillId="0" borderId="0" xfId="0" applyFont="1"/>
    <xf numFmtId="0" fontId="20" fillId="0" borderId="0" xfId="0" applyFont="1" applyFill="1" applyBorder="1"/>
    <xf numFmtId="0" fontId="20" fillId="0" borderId="4" xfId="0" applyFont="1" applyFill="1" applyBorder="1" applyAlignment="1">
      <alignment horizontal="center"/>
    </xf>
    <xf numFmtId="181" fontId="20" fillId="0" borderId="0" xfId="0" applyNumberFormat="1" applyFont="1"/>
    <xf numFmtId="182" fontId="20" fillId="0" borderId="0" xfId="0" applyNumberFormat="1" applyFont="1"/>
    <xf numFmtId="0" fontId="21" fillId="0" borderId="0" xfId="0" applyFont="1"/>
    <xf numFmtId="0" fontId="22" fillId="0" borderId="0" xfId="0" applyFont="1" applyFill="1" applyBorder="1"/>
    <xf numFmtId="0" fontId="19" fillId="0" borderId="4" xfId="0" applyFont="1" applyFill="1" applyBorder="1" applyAlignment="1">
      <alignment horizontal="center"/>
    </xf>
    <xf numFmtId="0" fontId="19" fillId="0" borderId="0" xfId="0" applyFont="1"/>
    <xf numFmtId="180" fontId="19" fillId="0" borderId="0" xfId="0" applyNumberFormat="1" applyFont="1"/>
    <xf numFmtId="181" fontId="19" fillId="0" borderId="0" xfId="0" applyNumberFormat="1" applyFont="1"/>
    <xf numFmtId="0" fontId="23" fillId="0" borderId="0" xfId="0" applyFont="1" applyFill="1" applyBorder="1"/>
    <xf numFmtId="182" fontId="24" fillId="0" borderId="3" xfId="0" applyNumberFormat="1" applyFont="1" applyBorder="1" applyAlignment="1">
      <alignment horizontal="center" vertical="center"/>
    </xf>
    <xf numFmtId="0" fontId="15" fillId="0" borderId="4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center" vertical="center"/>
    </xf>
    <xf numFmtId="0" fontId="16" fillId="0" borderId="0" xfId="0" applyFont="1"/>
    <xf numFmtId="180" fontId="16" fillId="0" borderId="0" xfId="0" applyNumberFormat="1" applyFont="1"/>
    <xf numFmtId="0" fontId="17" fillId="0" borderId="0" xfId="0" applyFont="1"/>
    <xf numFmtId="180" fontId="19" fillId="0" borderId="0" xfId="0" applyNumberFormat="1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83" fontId="0" fillId="0" borderId="9" xfId="0" applyNumberFormat="1" applyBorder="1" applyAlignment="1">
      <alignment horizontal="center"/>
    </xf>
    <xf numFmtId="183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182" fontId="7" fillId="0" borderId="12" xfId="0" applyNumberFormat="1" applyFont="1" applyBorder="1" applyAlignment="1">
      <alignment horizontal="left" wrapText="1"/>
    </xf>
    <xf numFmtId="0" fontId="7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13" workbookViewId="0">
      <selection activeCell="E13" sqref="E13"/>
    </sheetView>
  </sheetViews>
  <sheetFormatPr defaultColWidth="9" defaultRowHeight="15" x14ac:dyDescent="0.3"/>
  <cols>
    <col min="1" max="1" width="9.85546875" customWidth="1"/>
    <col min="2" max="2" width="11" customWidth="1"/>
    <col min="3" max="3" width="15.35546875" customWidth="1"/>
    <col min="4" max="4" width="11" customWidth="1"/>
    <col min="5" max="5" width="14.7109375" customWidth="1"/>
    <col min="6" max="6" width="12.5" customWidth="1"/>
  </cols>
  <sheetData>
    <row r="1" spans="1:6" x14ac:dyDescent="0.3">
      <c r="A1" s="138" t="s">
        <v>0</v>
      </c>
      <c r="B1" s="138"/>
      <c r="C1" s="138"/>
      <c r="D1" s="138"/>
      <c r="E1" s="138"/>
      <c r="F1" s="138"/>
    </row>
    <row r="3" spans="1:6" x14ac:dyDescent="0.3">
      <c r="A3" s="83"/>
      <c r="B3" s="83" t="s">
        <v>1</v>
      </c>
      <c r="C3" s="83" t="s">
        <v>2</v>
      </c>
      <c r="D3" s="83" t="s">
        <v>3</v>
      </c>
      <c r="E3" s="83" t="s">
        <v>4</v>
      </c>
      <c r="F3" s="83" t="s">
        <v>5</v>
      </c>
    </row>
    <row r="4" spans="1:6" x14ac:dyDescent="0.3">
      <c r="A4" s="83" t="s">
        <v>6</v>
      </c>
      <c r="B4" s="83" t="s">
        <v>7</v>
      </c>
      <c r="C4" s="83" t="s">
        <v>8</v>
      </c>
      <c r="D4" s="83" t="s">
        <v>9</v>
      </c>
      <c r="E4" s="83" t="s">
        <v>10</v>
      </c>
      <c r="F4" s="83" t="s">
        <v>11</v>
      </c>
    </row>
    <row r="5" spans="1:6" x14ac:dyDescent="0.3">
      <c r="A5" s="83">
        <v>1947</v>
      </c>
    </row>
    <row r="6" spans="1:6" x14ac:dyDescent="0.3">
      <c r="A6" s="83">
        <v>1948</v>
      </c>
    </row>
    <row r="7" spans="1:6" x14ac:dyDescent="0.3">
      <c r="A7" s="83">
        <v>1949</v>
      </c>
      <c r="F7">
        <v>13</v>
      </c>
    </row>
    <row r="8" spans="1:6" x14ac:dyDescent="0.3">
      <c r="A8" s="83">
        <v>1950</v>
      </c>
      <c r="F8">
        <v>13</v>
      </c>
    </row>
    <row r="9" spans="1:6" x14ac:dyDescent="0.3">
      <c r="A9" s="83">
        <v>1951</v>
      </c>
      <c r="B9" s="84"/>
      <c r="C9" s="84"/>
      <c r="D9" s="84"/>
      <c r="E9" s="84"/>
      <c r="F9">
        <v>17</v>
      </c>
    </row>
    <row r="10" spans="1:6" x14ac:dyDescent="0.3">
      <c r="A10" s="83">
        <v>1952</v>
      </c>
      <c r="B10" s="84"/>
      <c r="C10" s="84"/>
      <c r="D10" s="84">
        <v>1</v>
      </c>
      <c r="E10" s="84">
        <v>173.9</v>
      </c>
      <c r="F10">
        <v>44</v>
      </c>
    </row>
    <row r="11" spans="1:6" s="85" customFormat="1" x14ac:dyDescent="0.3">
      <c r="A11" s="85">
        <v>1953</v>
      </c>
      <c r="B11" s="86">
        <v>0.1</v>
      </c>
      <c r="C11" s="86">
        <v>80.8</v>
      </c>
      <c r="D11" s="86">
        <v>2</v>
      </c>
      <c r="E11" s="86">
        <v>471.8</v>
      </c>
      <c r="F11" s="85">
        <v>69</v>
      </c>
    </row>
    <row r="12" spans="1:6" x14ac:dyDescent="0.3">
      <c r="A12" s="83">
        <v>1954</v>
      </c>
      <c r="B12" s="84">
        <v>2.2000000000000002</v>
      </c>
      <c r="C12" s="84">
        <v>483.5</v>
      </c>
      <c r="D12" s="84">
        <v>6.6</v>
      </c>
      <c r="E12" s="84">
        <v>661.5</v>
      </c>
      <c r="F12">
        <v>104</v>
      </c>
    </row>
    <row r="13" spans="1:6" x14ac:dyDescent="0.3">
      <c r="A13" s="83">
        <v>1955</v>
      </c>
      <c r="B13" s="84">
        <v>2.4</v>
      </c>
      <c r="C13" s="84">
        <v>522.29999999999995</v>
      </c>
      <c r="D13" s="84">
        <v>20.3</v>
      </c>
      <c r="E13" s="84">
        <v>1510.3</v>
      </c>
      <c r="F13">
        <v>139</v>
      </c>
    </row>
    <row r="14" spans="1:6" x14ac:dyDescent="0.3">
      <c r="A14" s="83">
        <v>1956</v>
      </c>
      <c r="B14" s="84">
        <v>5.4</v>
      </c>
      <c r="C14" s="84">
        <v>1142.0999999999999</v>
      </c>
      <c r="D14" s="84">
        <v>26.2</v>
      </c>
      <c r="E14" s="84">
        <v>2073.6999999999998</v>
      </c>
      <c r="F14">
        <v>152</v>
      </c>
    </row>
    <row r="15" spans="1:6" x14ac:dyDescent="0.3">
      <c r="A15" s="83">
        <v>1957</v>
      </c>
      <c r="B15" s="84">
        <v>10.5</v>
      </c>
      <c r="C15" s="84">
        <v>1500.8</v>
      </c>
      <c r="D15" s="84">
        <v>32.4</v>
      </c>
      <c r="E15" s="84">
        <v>2394.4</v>
      </c>
      <c r="F15">
        <v>185</v>
      </c>
    </row>
    <row r="16" spans="1:6" x14ac:dyDescent="0.3">
      <c r="A16" s="83">
        <v>1958</v>
      </c>
      <c r="B16" s="84">
        <v>13.9</v>
      </c>
      <c r="C16" s="84">
        <v>2286.4</v>
      </c>
      <c r="D16" s="84">
        <v>36.700000000000003</v>
      </c>
      <c r="E16" s="84">
        <v>3097.4</v>
      </c>
      <c r="F16">
        <v>287</v>
      </c>
    </row>
    <row r="17" spans="1:6" x14ac:dyDescent="0.3">
      <c r="A17" s="83">
        <v>1959</v>
      </c>
      <c r="B17" s="84">
        <v>18.100000000000001</v>
      </c>
      <c r="C17" s="84">
        <v>3157.2</v>
      </c>
      <c r="D17" s="84">
        <v>127.7</v>
      </c>
      <c r="E17" s="84">
        <v>6155.7</v>
      </c>
      <c r="F17">
        <v>305</v>
      </c>
    </row>
    <row r="18" spans="1:6" x14ac:dyDescent="0.3">
      <c r="A18" s="83">
        <v>1960</v>
      </c>
      <c r="B18" s="84">
        <v>23.6</v>
      </c>
      <c r="C18" s="84">
        <v>4210.1000000000004</v>
      </c>
      <c r="D18" s="84">
        <v>134.19999999999999</v>
      </c>
      <c r="E18" s="84">
        <v>6221.9</v>
      </c>
      <c r="F18">
        <v>394</v>
      </c>
    </row>
    <row r="19" spans="1:6" x14ac:dyDescent="0.3">
      <c r="A19" s="83">
        <v>1961</v>
      </c>
      <c r="B19" s="84">
        <v>17.3</v>
      </c>
      <c r="C19" s="84">
        <v>3227</v>
      </c>
      <c r="D19" s="84">
        <v>82.2</v>
      </c>
      <c r="E19" s="84">
        <v>4194.6000000000004</v>
      </c>
      <c r="F19">
        <v>413</v>
      </c>
    </row>
    <row r="20" spans="1:6" x14ac:dyDescent="0.3">
      <c r="A20" s="83">
        <v>1962</v>
      </c>
      <c r="B20" s="84">
        <v>16.3</v>
      </c>
      <c r="C20" s="84">
        <v>2849.2</v>
      </c>
      <c r="D20" s="84">
        <v>43.6</v>
      </c>
      <c r="E20" s="84">
        <v>2766.5</v>
      </c>
      <c r="F20">
        <v>357</v>
      </c>
    </row>
    <row r="21" spans="1:6" x14ac:dyDescent="0.3">
      <c r="A21" s="83">
        <v>1963</v>
      </c>
      <c r="B21" s="84">
        <v>18.3</v>
      </c>
      <c r="C21" s="84">
        <v>2882.1</v>
      </c>
      <c r="D21" s="84">
        <v>32.799999999999997</v>
      </c>
      <c r="E21" s="84">
        <v>3191.2</v>
      </c>
      <c r="F21">
        <v>477</v>
      </c>
    </row>
    <row r="22" spans="1:6" x14ac:dyDescent="0.3">
      <c r="A22" s="83">
        <v>1964</v>
      </c>
      <c r="B22" s="84">
        <v>24</v>
      </c>
      <c r="C22" s="84">
        <v>3541.9</v>
      </c>
      <c r="D22" s="84">
        <v>53.8</v>
      </c>
      <c r="E22" s="84">
        <v>3677.4</v>
      </c>
      <c r="F22">
        <v>575</v>
      </c>
    </row>
    <row r="23" spans="1:6" x14ac:dyDescent="0.3">
      <c r="A23" s="83">
        <v>1965</v>
      </c>
      <c r="B23" s="84">
        <v>44.7</v>
      </c>
      <c r="C23" s="84">
        <v>4728.2</v>
      </c>
      <c r="D23" s="84">
        <v>59.2</v>
      </c>
      <c r="E23" s="84">
        <v>4682.3</v>
      </c>
      <c r="F23">
        <v>513</v>
      </c>
    </row>
    <row r="24" spans="1:6" x14ac:dyDescent="0.3">
      <c r="A24" s="83">
        <v>1966</v>
      </c>
      <c r="B24" s="84">
        <v>51.3</v>
      </c>
      <c r="C24" s="84">
        <v>5362.7</v>
      </c>
      <c r="D24" s="84">
        <v>71.3</v>
      </c>
      <c r="E24" s="84">
        <v>5106.8</v>
      </c>
      <c r="F24">
        <v>536</v>
      </c>
    </row>
    <row r="25" spans="1:6" x14ac:dyDescent="0.3">
      <c r="A25" s="83">
        <v>1967</v>
      </c>
      <c r="B25" s="84">
        <v>50.2</v>
      </c>
      <c r="C25" s="84">
        <v>5209.7</v>
      </c>
      <c r="D25" s="84">
        <v>67.599999999999994</v>
      </c>
      <c r="E25" s="84">
        <v>4506.8</v>
      </c>
      <c r="F25">
        <v>620</v>
      </c>
    </row>
    <row r="26" spans="1:6" x14ac:dyDescent="0.3">
      <c r="A26" s="83">
        <v>1968</v>
      </c>
      <c r="B26" s="84">
        <v>32.6</v>
      </c>
      <c r="C26" s="84">
        <v>4249.3</v>
      </c>
      <c r="D26" s="84">
        <v>56.7</v>
      </c>
      <c r="E26" s="84">
        <v>5044</v>
      </c>
      <c r="F26">
        <v>622</v>
      </c>
    </row>
    <row r="27" spans="1:6" x14ac:dyDescent="0.3">
      <c r="A27" s="83">
        <v>1969</v>
      </c>
      <c r="B27" s="84">
        <v>23.1</v>
      </c>
      <c r="C27" s="84">
        <v>2906.6</v>
      </c>
      <c r="D27" s="84">
        <v>40.5</v>
      </c>
      <c r="E27" s="84">
        <v>3862.2</v>
      </c>
      <c r="F27">
        <v>608</v>
      </c>
    </row>
    <row r="28" spans="1:6" x14ac:dyDescent="0.3">
      <c r="A28" s="83">
        <v>1970</v>
      </c>
      <c r="B28" s="84">
        <v>35.6</v>
      </c>
      <c r="C28" s="84">
        <v>4986.3</v>
      </c>
      <c r="D28" s="84">
        <v>63.8</v>
      </c>
      <c r="E28" s="84">
        <v>6939.4</v>
      </c>
      <c r="F28">
        <v>766</v>
      </c>
    </row>
    <row r="29" spans="1:6" x14ac:dyDescent="0.3">
      <c r="A29" s="83">
        <v>1971</v>
      </c>
      <c r="B29" s="84">
        <v>44.3</v>
      </c>
      <c r="C29" s="84">
        <v>5120</v>
      </c>
      <c r="D29" s="84">
        <v>78.900000000000006</v>
      </c>
      <c r="E29" s="84">
        <v>7721</v>
      </c>
      <c r="F29">
        <v>828</v>
      </c>
    </row>
    <row r="30" spans="1:6" x14ac:dyDescent="0.3">
      <c r="A30" s="83">
        <v>1972</v>
      </c>
      <c r="B30" s="84">
        <v>54</v>
      </c>
      <c r="C30" s="84">
        <v>5622.1</v>
      </c>
      <c r="D30" s="84">
        <v>121.7</v>
      </c>
      <c r="E30" s="84">
        <v>7328.1</v>
      </c>
      <c r="F30">
        <v>1048</v>
      </c>
    </row>
    <row r="31" spans="1:6" x14ac:dyDescent="0.3">
      <c r="A31" s="83">
        <v>1973</v>
      </c>
      <c r="B31" s="84">
        <v>53.8</v>
      </c>
      <c r="C31" s="84">
        <v>5386.8</v>
      </c>
      <c r="D31" s="84">
        <v>104.2</v>
      </c>
      <c r="E31" s="84">
        <v>7153.4</v>
      </c>
      <c r="F31">
        <v>1421</v>
      </c>
    </row>
    <row r="32" spans="1:6" x14ac:dyDescent="0.3">
      <c r="A32" s="83">
        <v>1974</v>
      </c>
      <c r="B32" s="84">
        <v>60.1</v>
      </c>
      <c r="C32" s="84">
        <v>6237.6</v>
      </c>
      <c r="D32" s="84">
        <v>182.6</v>
      </c>
      <c r="E32" s="84">
        <v>7175.3</v>
      </c>
      <c r="F32">
        <v>1514</v>
      </c>
    </row>
    <row r="33" spans="1:6" x14ac:dyDescent="0.3">
      <c r="A33" s="83">
        <v>1975</v>
      </c>
      <c r="B33" s="84">
        <v>60.5</v>
      </c>
      <c r="C33" s="84">
        <v>5926.9</v>
      </c>
      <c r="D33" s="84">
        <v>147.69999999999999</v>
      </c>
      <c r="E33" s="84">
        <v>8387.7999999999993</v>
      </c>
      <c r="F33">
        <v>1868</v>
      </c>
    </row>
    <row r="34" spans="1:6" x14ac:dyDescent="0.3">
      <c r="A34" s="83">
        <v>1976</v>
      </c>
      <c r="B34" s="84">
        <v>61</v>
      </c>
      <c r="C34" s="84">
        <v>6697</v>
      </c>
      <c r="D34" s="84">
        <v>111.8</v>
      </c>
      <c r="E34" s="84">
        <v>8667.7000000000007</v>
      </c>
      <c r="F34">
        <v>2700</v>
      </c>
    </row>
    <row r="35" spans="1:6" x14ac:dyDescent="0.3">
      <c r="A35" s="83">
        <v>1977</v>
      </c>
      <c r="B35" s="84">
        <v>59.4</v>
      </c>
      <c r="C35" s="84">
        <v>6488.9</v>
      </c>
      <c r="D35" s="84">
        <v>145.4</v>
      </c>
      <c r="E35" s="84">
        <v>11099</v>
      </c>
      <c r="F35">
        <v>3106</v>
      </c>
    </row>
  </sheetData>
  <mergeCells count="1">
    <mergeCell ref="A1:F1"/>
  </mergeCells>
  <phoneticPr fontId="1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0" workbookViewId="0">
      <selection activeCell="A44" sqref="A44:F44"/>
    </sheetView>
  </sheetViews>
  <sheetFormatPr defaultColWidth="9" defaultRowHeight="15" x14ac:dyDescent="0.3"/>
  <cols>
    <col min="2" max="2" width="12.140625" customWidth="1"/>
    <col min="3" max="3" width="15.35546875" customWidth="1"/>
    <col min="4" max="4" width="11.35546875" customWidth="1"/>
    <col min="5" max="5" width="14.85546875" customWidth="1"/>
    <col min="6" max="6" width="13" customWidth="1"/>
  </cols>
  <sheetData>
    <row r="1" spans="1:6" x14ac:dyDescent="0.3">
      <c r="A1" s="139" t="s">
        <v>12</v>
      </c>
      <c r="B1" s="139"/>
      <c r="C1" s="139"/>
      <c r="D1" s="139"/>
      <c r="E1" s="139"/>
      <c r="F1" s="139"/>
    </row>
    <row r="3" spans="1:6" x14ac:dyDescent="0.3">
      <c r="A3" s="83"/>
      <c r="B3" s="83" t="s">
        <v>1</v>
      </c>
      <c r="C3" s="83" t="s">
        <v>2</v>
      </c>
      <c r="D3" s="83" t="s">
        <v>3</v>
      </c>
      <c r="E3" s="83" t="s">
        <v>4</v>
      </c>
      <c r="F3" s="83" t="s">
        <v>5</v>
      </c>
    </row>
    <row r="4" spans="1:6" x14ac:dyDescent="0.3">
      <c r="A4" s="83" t="s">
        <v>6</v>
      </c>
      <c r="B4" s="83" t="s">
        <v>7</v>
      </c>
      <c r="C4" s="83" t="s">
        <v>8</v>
      </c>
      <c r="D4" s="83" t="s">
        <v>9</v>
      </c>
      <c r="E4" s="83" t="s">
        <v>10</v>
      </c>
      <c r="F4" s="83" t="s">
        <v>11</v>
      </c>
    </row>
    <row r="5" spans="1:6" x14ac:dyDescent="0.3">
      <c r="A5" s="83">
        <v>1978</v>
      </c>
      <c r="B5" s="35">
        <v>69.3</v>
      </c>
      <c r="C5" s="35">
        <v>6930.3</v>
      </c>
      <c r="D5" s="35">
        <v>197</v>
      </c>
      <c r="E5" s="35">
        <v>13999.2</v>
      </c>
      <c r="F5" s="35">
        <v>3673</v>
      </c>
    </row>
    <row r="6" spans="1:6" x14ac:dyDescent="0.3">
      <c r="A6" s="83">
        <v>1979</v>
      </c>
      <c r="B6" s="35">
        <v>68</v>
      </c>
      <c r="C6" s="35">
        <v>7985.9</v>
      </c>
      <c r="D6" s="35">
        <v>212.4</v>
      </c>
      <c r="E6" s="35">
        <v>13682.7</v>
      </c>
      <c r="F6" s="35">
        <v>4075</v>
      </c>
    </row>
    <row r="7" spans="1:6" x14ac:dyDescent="0.3">
      <c r="A7" s="83">
        <v>1980</v>
      </c>
      <c r="B7" s="35">
        <v>82.9</v>
      </c>
      <c r="C7" s="35">
        <v>8826.5</v>
      </c>
      <c r="D7" s="35">
        <v>185.3</v>
      </c>
      <c r="E7" s="35">
        <v>11840.4</v>
      </c>
      <c r="F7" s="35">
        <v>4394</v>
      </c>
    </row>
    <row r="8" spans="1:6" x14ac:dyDescent="0.3">
      <c r="A8" s="83">
        <v>1981</v>
      </c>
      <c r="B8" s="35">
        <v>70.3</v>
      </c>
      <c r="C8" s="35">
        <v>7792</v>
      </c>
      <c r="D8" s="35">
        <v>159.19999999999999</v>
      </c>
      <c r="E8" s="35">
        <v>10150.799999999999</v>
      </c>
      <c r="F8" s="35">
        <v>4615</v>
      </c>
    </row>
    <row r="9" spans="1:6" x14ac:dyDescent="0.3">
      <c r="A9" s="83">
        <v>1982</v>
      </c>
      <c r="B9" s="35">
        <v>98</v>
      </c>
      <c r="C9" s="35">
        <v>11415.3</v>
      </c>
      <c r="D9" s="35">
        <v>189.2</v>
      </c>
      <c r="E9" s="35">
        <v>12321.2</v>
      </c>
      <c r="F9" s="35">
        <v>4959</v>
      </c>
    </row>
    <row r="10" spans="1:6" x14ac:dyDescent="0.3">
      <c r="A10" s="83">
        <v>1983</v>
      </c>
      <c r="B10" s="35">
        <v>129.5</v>
      </c>
      <c r="C10" s="35">
        <v>15289.4</v>
      </c>
      <c r="D10" s="35">
        <v>192.1</v>
      </c>
      <c r="E10" s="35">
        <v>14450.3</v>
      </c>
      <c r="F10" s="35">
        <v>4751</v>
      </c>
    </row>
    <row r="11" spans="1:6" x14ac:dyDescent="0.3">
      <c r="A11" s="83">
        <v>1984</v>
      </c>
      <c r="B11" s="35">
        <v>171.9</v>
      </c>
      <c r="C11" s="35">
        <v>20249.400000000001</v>
      </c>
      <c r="D11" s="35">
        <v>229.5</v>
      </c>
      <c r="E11" s="35">
        <v>16151.2</v>
      </c>
      <c r="F11" s="35">
        <v>4965</v>
      </c>
    </row>
    <row r="12" spans="1:6" x14ac:dyDescent="0.3">
      <c r="A12" s="83">
        <v>1985</v>
      </c>
      <c r="B12" s="35">
        <v>201.8</v>
      </c>
      <c r="C12" s="35">
        <v>25722</v>
      </c>
      <c r="D12" s="35">
        <v>293.3</v>
      </c>
      <c r="E12" s="35">
        <v>18765</v>
      </c>
      <c r="F12" s="35">
        <v>5552</v>
      </c>
    </row>
    <row r="13" spans="1:6" x14ac:dyDescent="0.3">
      <c r="A13" s="83">
        <v>1986</v>
      </c>
      <c r="B13" s="35">
        <v>207.8</v>
      </c>
      <c r="C13" s="35">
        <v>27563.1</v>
      </c>
      <c r="D13" s="35">
        <v>358.8</v>
      </c>
      <c r="E13" s="35">
        <v>21173.200000000001</v>
      </c>
      <c r="F13" s="35">
        <v>6267</v>
      </c>
    </row>
    <row r="14" spans="1:6" x14ac:dyDescent="0.3">
      <c r="A14" s="83">
        <v>1987</v>
      </c>
      <c r="B14" s="35">
        <v>232</v>
      </c>
      <c r="C14" s="35">
        <v>29674</v>
      </c>
      <c r="D14" s="35">
        <v>306</v>
      </c>
      <c r="E14" s="35">
        <v>24786</v>
      </c>
      <c r="F14" s="35">
        <v>6773</v>
      </c>
    </row>
    <row r="15" spans="1:6" x14ac:dyDescent="0.3">
      <c r="A15" s="83">
        <v>1988</v>
      </c>
      <c r="B15" s="35">
        <v>265</v>
      </c>
      <c r="C15" s="35">
        <v>34198</v>
      </c>
      <c r="D15" s="35">
        <v>278</v>
      </c>
      <c r="E15" s="35">
        <v>23267</v>
      </c>
      <c r="F15" s="35">
        <v>7348</v>
      </c>
    </row>
    <row r="16" spans="1:6" x14ac:dyDescent="0.3">
      <c r="A16" s="83">
        <v>1989</v>
      </c>
      <c r="B16" s="35">
        <v>268</v>
      </c>
      <c r="C16" s="35">
        <v>33166</v>
      </c>
      <c r="D16" s="35">
        <v>201</v>
      </c>
      <c r="E16" s="35">
        <v>25798</v>
      </c>
      <c r="F16" s="35">
        <v>7210</v>
      </c>
    </row>
    <row r="17" spans="1:6" x14ac:dyDescent="0.3">
      <c r="A17" s="83">
        <v>1990</v>
      </c>
      <c r="B17" s="35">
        <v>269</v>
      </c>
      <c r="C17" s="35">
        <v>30762</v>
      </c>
      <c r="D17" s="35">
        <v>320</v>
      </c>
      <c r="E17" s="35">
        <v>29953</v>
      </c>
      <c r="F17" s="35">
        <v>8059</v>
      </c>
    </row>
    <row r="18" spans="1:6" x14ac:dyDescent="0.3">
      <c r="A18" s="83">
        <v>1991</v>
      </c>
      <c r="B18" s="35">
        <v>285</v>
      </c>
      <c r="C18" s="35">
        <v>32963</v>
      </c>
      <c r="D18" s="35">
        <v>321</v>
      </c>
      <c r="E18" s="35">
        <v>27431</v>
      </c>
      <c r="F18" s="35">
        <v>8874</v>
      </c>
    </row>
    <row r="19" spans="1:6" x14ac:dyDescent="0.3">
      <c r="A19" s="83">
        <v>1992</v>
      </c>
      <c r="B19" s="35">
        <v>307.8</v>
      </c>
      <c r="C19" s="35">
        <v>35880.1</v>
      </c>
      <c r="D19" s="35">
        <v>351</v>
      </c>
      <c r="E19" s="35">
        <v>29992</v>
      </c>
      <c r="F19" s="35">
        <v>9501</v>
      </c>
    </row>
    <row r="20" spans="1:6" x14ac:dyDescent="0.3">
      <c r="A20" s="83">
        <v>1993</v>
      </c>
      <c r="B20" s="35">
        <v>257.10000000000002</v>
      </c>
      <c r="C20" s="35">
        <v>30995</v>
      </c>
      <c r="D20" s="35">
        <v>361</v>
      </c>
      <c r="E20" s="35">
        <v>32138</v>
      </c>
      <c r="F20" s="35">
        <v>11072</v>
      </c>
    </row>
    <row r="21" spans="1:6" x14ac:dyDescent="0.3">
      <c r="A21" s="83">
        <v>1994</v>
      </c>
      <c r="B21" s="35">
        <v>258.7</v>
      </c>
      <c r="C21" s="35">
        <v>30535.9</v>
      </c>
      <c r="D21" s="35">
        <v>341.6</v>
      </c>
      <c r="E21" s="35">
        <v>35360.5</v>
      </c>
      <c r="F21" s="35">
        <v>10637</v>
      </c>
    </row>
    <row r="22" spans="1:6" x14ac:dyDescent="0.3">
      <c r="A22" s="83">
        <v>1995</v>
      </c>
      <c r="B22" s="35">
        <v>252.8</v>
      </c>
      <c r="C22" s="35">
        <v>31542.2</v>
      </c>
      <c r="D22" s="35">
        <v>454.2</v>
      </c>
      <c r="E22" s="35">
        <v>43350</v>
      </c>
      <c r="F22" s="35">
        <v>11314</v>
      </c>
    </row>
    <row r="23" spans="1:6" x14ac:dyDescent="0.3">
      <c r="A23" s="83">
        <v>1996</v>
      </c>
      <c r="B23" s="35">
        <v>270.89999999999998</v>
      </c>
      <c r="C23" s="35">
        <v>36627.5</v>
      </c>
      <c r="D23" s="35">
        <v>490.9</v>
      </c>
      <c r="E23" s="35">
        <v>48566.2</v>
      </c>
      <c r="F23" s="35">
        <v>12132</v>
      </c>
    </row>
    <row r="24" spans="1:6" x14ac:dyDescent="0.3">
      <c r="A24" s="83">
        <v>1997</v>
      </c>
      <c r="B24" s="35">
        <v>464</v>
      </c>
      <c r="C24" s="35">
        <v>61079</v>
      </c>
      <c r="D24" s="35">
        <v>466</v>
      </c>
      <c r="E24" s="35">
        <v>56386</v>
      </c>
      <c r="F24" s="35">
        <v>11684</v>
      </c>
    </row>
    <row r="25" spans="1:6" x14ac:dyDescent="0.3">
      <c r="A25" s="83">
        <v>1998</v>
      </c>
      <c r="B25" s="35">
        <v>484</v>
      </c>
      <c r="C25" s="35">
        <v>63286</v>
      </c>
      <c r="D25" s="35">
        <v>494</v>
      </c>
      <c r="E25" s="35">
        <v>65464</v>
      </c>
      <c r="F25" s="35">
        <v>11949</v>
      </c>
    </row>
    <row r="26" spans="1:6" x14ac:dyDescent="0.3">
      <c r="A26" s="83">
        <v>1999</v>
      </c>
      <c r="B26" s="35">
        <v>490</v>
      </c>
      <c r="C26" s="35">
        <v>63300</v>
      </c>
      <c r="D26" s="35">
        <v>499</v>
      </c>
      <c r="E26" s="35">
        <v>78610</v>
      </c>
      <c r="F26" s="35">
        <v>14041</v>
      </c>
    </row>
    <row r="27" spans="1:6" x14ac:dyDescent="0.3">
      <c r="A27" s="83">
        <v>2000</v>
      </c>
      <c r="B27" s="35">
        <v>587</v>
      </c>
      <c r="C27" s="35">
        <v>87006</v>
      </c>
      <c r="D27" s="35">
        <v>726</v>
      </c>
      <c r="E27" s="35">
        <v>87521</v>
      </c>
      <c r="F27" s="35">
        <v>16564</v>
      </c>
    </row>
    <row r="28" spans="1:6" x14ac:dyDescent="0.3">
      <c r="A28" s="83">
        <v>2001</v>
      </c>
      <c r="B28" s="35">
        <v>629</v>
      </c>
      <c r="C28" s="35">
        <v>90389</v>
      </c>
      <c r="D28" s="35">
        <v>729</v>
      </c>
      <c r="E28" s="35">
        <v>93055</v>
      </c>
      <c r="F28" s="35">
        <v>19571</v>
      </c>
    </row>
    <row r="29" spans="1:6" x14ac:dyDescent="0.3">
      <c r="A29" s="83">
        <v>2002</v>
      </c>
      <c r="B29" s="35">
        <v>653</v>
      </c>
      <c r="C29" s="35">
        <v>96470</v>
      </c>
      <c r="D29" s="35">
        <v>746</v>
      </c>
      <c r="E29" s="35">
        <v>101360</v>
      </c>
      <c r="F29" s="35">
        <v>21769</v>
      </c>
    </row>
    <row r="30" spans="1:6" x14ac:dyDescent="0.3">
      <c r="A30" s="83">
        <v>2003</v>
      </c>
      <c r="B30" s="35">
        <v>680</v>
      </c>
      <c r="C30" s="35">
        <v>99933</v>
      </c>
      <c r="D30" s="35">
        <v>803</v>
      </c>
      <c r="E30" s="35">
        <v>111692</v>
      </c>
      <c r="F30" s="35">
        <v>24585</v>
      </c>
    </row>
    <row r="31" spans="1:6" x14ac:dyDescent="0.3">
      <c r="A31" s="83">
        <v>2004</v>
      </c>
      <c r="B31" s="35">
        <v>781</v>
      </c>
      <c r="C31" s="35">
        <v>116360</v>
      </c>
      <c r="D31" s="35">
        <v>1040</v>
      </c>
      <c r="E31" s="35">
        <v>161950</v>
      </c>
      <c r="F31" s="35">
        <v>37708</v>
      </c>
    </row>
    <row r="32" spans="1:6" x14ac:dyDescent="0.3">
      <c r="A32" s="83">
        <v>2005</v>
      </c>
      <c r="B32" s="35">
        <v>985</v>
      </c>
      <c r="C32" s="35">
        <v>159888</v>
      </c>
      <c r="D32" s="35">
        <v>1760</v>
      </c>
      <c r="E32" s="35">
        <v>286597</v>
      </c>
      <c r="F32" s="35">
        <v>44872</v>
      </c>
    </row>
    <row r="33" spans="1:6" x14ac:dyDescent="0.3">
      <c r="A33" s="83">
        <v>2006</v>
      </c>
      <c r="B33" s="35">
        <v>1443</v>
      </c>
      <c r="C33" s="35">
        <v>231516</v>
      </c>
      <c r="D33" s="35">
        <v>3093</v>
      </c>
      <c r="E33" s="35">
        <v>522813</v>
      </c>
      <c r="F33" s="35">
        <v>53513</v>
      </c>
    </row>
    <row r="34" spans="1:6" x14ac:dyDescent="0.3">
      <c r="A34" s="83">
        <v>2007</v>
      </c>
      <c r="B34" s="35">
        <v>1891</v>
      </c>
      <c r="C34" s="35">
        <v>315890</v>
      </c>
      <c r="D34" s="35">
        <v>5297</v>
      </c>
      <c r="E34" s="35">
        <v>903931</v>
      </c>
      <c r="F34" s="35">
        <v>63691</v>
      </c>
    </row>
    <row r="35" spans="1:6" x14ac:dyDescent="0.3">
      <c r="A35" s="83">
        <v>2008</v>
      </c>
      <c r="B35" s="35">
        <v>2371</v>
      </c>
      <c r="C35" s="35">
        <v>398186</v>
      </c>
      <c r="D35" s="35">
        <v>9129</v>
      </c>
      <c r="E35" s="35">
        <v>1551427</v>
      </c>
      <c r="F35" s="35">
        <v>74192</v>
      </c>
    </row>
    <row r="36" spans="1:6" x14ac:dyDescent="0.3">
      <c r="A36" s="83">
        <v>2009</v>
      </c>
      <c r="B36" s="35">
        <v>2709</v>
      </c>
      <c r="C36" s="35">
        <v>456519</v>
      </c>
      <c r="D36" s="35">
        <v>12918</v>
      </c>
      <c r="E36" s="35">
        <v>2197662</v>
      </c>
      <c r="F36" s="35">
        <v>72999</v>
      </c>
    </row>
    <row r="37" spans="1:6" x14ac:dyDescent="0.3">
      <c r="A37" s="83">
        <v>2010</v>
      </c>
      <c r="B37" s="35">
        <v>3390</v>
      </c>
      <c r="C37" s="35">
        <v>578879</v>
      </c>
      <c r="D37" s="35">
        <v>15778</v>
      </c>
      <c r="E37" s="35">
        <v>3248276</v>
      </c>
      <c r="F37" s="35">
        <v>90468</v>
      </c>
    </row>
    <row r="38" spans="1:6" x14ac:dyDescent="0.3">
      <c r="A38" s="83">
        <v>2011</v>
      </c>
      <c r="B38" s="35">
        <v>1179</v>
      </c>
      <c r="C38" s="35">
        <v>273685</v>
      </c>
      <c r="D38" s="35">
        <v>19660</v>
      </c>
      <c r="E38" s="35">
        <v>4037600</v>
      </c>
      <c r="F38" s="35">
        <v>104687</v>
      </c>
    </row>
    <row r="39" spans="1:6" x14ac:dyDescent="0.3">
      <c r="A39" s="83">
        <v>2012</v>
      </c>
      <c r="B39" s="35">
        <v>1322</v>
      </c>
      <c r="C39" s="35">
        <v>308614</v>
      </c>
      <c r="D39" s="35">
        <v>23641</v>
      </c>
      <c r="E39" s="35">
        <v>4893572</v>
      </c>
      <c r="F39" s="35">
        <v>125501</v>
      </c>
    </row>
    <row r="40" spans="1:6" x14ac:dyDescent="0.3">
      <c r="A40" s="83">
        <v>2013</v>
      </c>
      <c r="B40" s="35">
        <v>1343</v>
      </c>
      <c r="C40" s="35">
        <v>322167</v>
      </c>
      <c r="D40" s="35">
        <v>25063</v>
      </c>
      <c r="E40" s="35">
        <v>5298177</v>
      </c>
      <c r="F40" s="35">
        <v>156108</v>
      </c>
    </row>
    <row r="41" spans="1:6" x14ac:dyDescent="0.3">
      <c r="A41" s="83">
        <v>2014</v>
      </c>
      <c r="B41" s="35">
        <v>1373</v>
      </c>
      <c r="C41" s="35">
        <v>330941</v>
      </c>
      <c r="D41" s="35">
        <v>26140</v>
      </c>
      <c r="E41" s="35">
        <v>5543157</v>
      </c>
      <c r="F41" s="35"/>
    </row>
    <row r="42" spans="1:6" x14ac:dyDescent="0.3">
      <c r="A42" s="83">
        <v>2015</v>
      </c>
      <c r="B42" s="35">
        <v>1405</v>
      </c>
      <c r="C42" s="35">
        <v>339545</v>
      </c>
      <c r="D42" s="35">
        <v>27760</v>
      </c>
      <c r="E42" s="35">
        <v>5897919</v>
      </c>
      <c r="F42" s="35">
        <v>236651</v>
      </c>
    </row>
    <row r="43" spans="1:6" x14ac:dyDescent="0.3">
      <c r="A43" s="83">
        <v>2016</v>
      </c>
      <c r="B43" s="35">
        <v>1500</v>
      </c>
      <c r="C43" s="35">
        <v>367338</v>
      </c>
      <c r="D43" s="35">
        <v>30730</v>
      </c>
      <c r="E43" s="35">
        <v>6695980</v>
      </c>
      <c r="F43" s="35">
        <v>258213</v>
      </c>
    </row>
    <row r="44" spans="1:6" ht="28.95" customHeight="1" x14ac:dyDescent="0.3">
      <c r="A44" s="140" t="s">
        <v>13</v>
      </c>
      <c r="B44" s="140"/>
      <c r="C44" s="140"/>
      <c r="D44" s="140"/>
      <c r="E44" s="140"/>
      <c r="F44" s="140"/>
    </row>
  </sheetData>
  <mergeCells count="2">
    <mergeCell ref="A1:F1"/>
    <mergeCell ref="A44:F44"/>
  </mergeCells>
  <phoneticPr fontId="11" type="noConversion"/>
  <pageMargins left="0.75" right="0.75" top="1" bottom="1" header="0.5" footer="0.5"/>
  <pageSetup paperSize="9" orientation="portrait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I10" sqref="I10"/>
    </sheetView>
  </sheetViews>
  <sheetFormatPr defaultColWidth="9" defaultRowHeight="15" x14ac:dyDescent="0.3"/>
  <cols>
    <col min="1" max="1" width="20.85546875" customWidth="1"/>
    <col min="2" max="4" width="10.2109375" style="50" customWidth="1"/>
    <col min="5" max="5" width="13.7109375" style="61" customWidth="1"/>
  </cols>
  <sheetData>
    <row r="1" spans="1:5" x14ac:dyDescent="0.3">
      <c r="A1" s="138" t="s">
        <v>14</v>
      </c>
      <c r="B1" s="138"/>
      <c r="C1" s="138"/>
      <c r="D1" s="138"/>
      <c r="E1" s="138"/>
    </row>
    <row r="2" spans="1:5" s="60" customFormat="1" ht="37.950000000000003" customHeight="1" x14ac:dyDescent="0.3">
      <c r="A2" s="62"/>
      <c r="B2" s="63" t="s">
        <v>15</v>
      </c>
      <c r="C2" s="63" t="s">
        <v>106</v>
      </c>
      <c r="D2" s="63" t="s">
        <v>16</v>
      </c>
      <c r="E2" s="64" t="s">
        <v>17</v>
      </c>
    </row>
    <row r="3" spans="1:5" x14ac:dyDescent="0.3">
      <c r="A3" s="65" t="s">
        <v>18</v>
      </c>
      <c r="B3" s="66"/>
      <c r="C3" s="67"/>
      <c r="D3" s="67"/>
      <c r="E3" s="68"/>
    </row>
    <row r="4" spans="1:5" x14ac:dyDescent="0.3">
      <c r="A4" s="69" t="s">
        <v>19</v>
      </c>
      <c r="B4" s="70" t="s">
        <v>20</v>
      </c>
      <c r="C4" s="71">
        <v>30730</v>
      </c>
      <c r="D4" s="71">
        <v>27760</v>
      </c>
      <c r="E4" s="72">
        <f>(C4-D4)/D4*100</f>
        <v>10.698847262247838</v>
      </c>
    </row>
    <row r="5" spans="1:5" x14ac:dyDescent="0.3">
      <c r="A5" s="73" t="s">
        <v>21</v>
      </c>
      <c r="B5" s="70" t="s">
        <v>20</v>
      </c>
      <c r="C5" s="71">
        <v>12520</v>
      </c>
      <c r="D5" s="71">
        <v>11326</v>
      </c>
      <c r="E5" s="72">
        <f t="shared" ref="E5:E24" si="0">(C5-D5)/D5*100</f>
        <v>10.542115486491259</v>
      </c>
    </row>
    <row r="6" spans="1:5" x14ac:dyDescent="0.3">
      <c r="A6" s="69" t="s">
        <v>22</v>
      </c>
      <c r="B6" s="70" t="s">
        <v>23</v>
      </c>
      <c r="C6" s="71">
        <v>6695680</v>
      </c>
      <c r="D6" s="71">
        <v>5897919</v>
      </c>
      <c r="E6" s="72">
        <f t="shared" si="0"/>
        <v>13.526143712723082</v>
      </c>
    </row>
    <row r="7" spans="1:5" x14ac:dyDescent="0.3">
      <c r="A7" s="73" t="s">
        <v>21</v>
      </c>
      <c r="B7" s="70" t="s">
        <v>23</v>
      </c>
      <c r="C7" s="71">
        <v>2756586</v>
      </c>
      <c r="D7" s="71">
        <v>2480470</v>
      </c>
      <c r="E7" s="72">
        <f t="shared" si="0"/>
        <v>11.131600059666113</v>
      </c>
    </row>
    <row r="8" spans="1:5" x14ac:dyDescent="0.3">
      <c r="A8" s="73" t="s">
        <v>24</v>
      </c>
      <c r="B8" s="70" t="s">
        <v>25</v>
      </c>
      <c r="C8" s="71">
        <v>1500</v>
      </c>
      <c r="D8" s="71">
        <v>1405</v>
      </c>
      <c r="E8" s="72">
        <f t="shared" si="0"/>
        <v>6.7615658362989333</v>
      </c>
    </row>
    <row r="9" spans="1:5" ht="15.45" x14ac:dyDescent="0.35">
      <c r="A9" s="74" t="s">
        <v>26</v>
      </c>
      <c r="B9" s="75" t="s">
        <v>27</v>
      </c>
      <c r="C9" s="76">
        <v>367338</v>
      </c>
      <c r="D9" s="76">
        <v>339545</v>
      </c>
      <c r="E9" s="72">
        <f t="shared" si="0"/>
        <v>8.1853657099942563</v>
      </c>
    </row>
    <row r="10" spans="1:5" x14ac:dyDescent="0.3">
      <c r="A10" s="77" t="s">
        <v>28</v>
      </c>
      <c r="B10" s="66"/>
      <c r="C10" s="67"/>
      <c r="D10" s="67"/>
      <c r="E10" s="72"/>
    </row>
    <row r="11" spans="1:5" x14ac:dyDescent="0.3">
      <c r="A11" s="77" t="s">
        <v>29</v>
      </c>
      <c r="B11" s="78" t="s">
        <v>30</v>
      </c>
      <c r="C11" s="79">
        <v>2294</v>
      </c>
      <c r="D11" s="79">
        <v>1891</v>
      </c>
      <c r="E11" s="72">
        <f t="shared" si="0"/>
        <v>21.311475409836063</v>
      </c>
    </row>
    <row r="12" spans="1:5" x14ac:dyDescent="0.3">
      <c r="A12" s="77" t="s">
        <v>31</v>
      </c>
      <c r="B12" s="78" t="s">
        <v>20</v>
      </c>
      <c r="C12" s="79">
        <v>7149</v>
      </c>
      <c r="D12" s="79">
        <v>8191</v>
      </c>
      <c r="E12" s="72">
        <f t="shared" si="0"/>
        <v>-12.721279453058235</v>
      </c>
    </row>
    <row r="13" spans="1:5" x14ac:dyDescent="0.3">
      <c r="A13" s="77" t="s">
        <v>32</v>
      </c>
      <c r="B13" s="78" t="s">
        <v>20</v>
      </c>
      <c r="C13" s="79">
        <v>340</v>
      </c>
      <c r="D13" s="79">
        <v>632</v>
      </c>
      <c r="E13" s="72">
        <f t="shared" si="0"/>
        <v>-46.202531645569621</v>
      </c>
    </row>
    <row r="14" spans="1:5" x14ac:dyDescent="0.3">
      <c r="A14" s="77" t="s">
        <v>33</v>
      </c>
      <c r="B14" s="78" t="s">
        <v>25</v>
      </c>
      <c r="C14" s="79">
        <v>93.35</v>
      </c>
      <c r="D14" s="79">
        <v>80.5</v>
      </c>
      <c r="E14" s="72">
        <f t="shared" si="0"/>
        <v>15.962732919254652</v>
      </c>
    </row>
    <row r="15" spans="1:5" x14ac:dyDescent="0.3">
      <c r="A15" s="77" t="s">
        <v>34</v>
      </c>
      <c r="B15" s="66"/>
      <c r="C15" s="67"/>
      <c r="D15" s="67"/>
      <c r="E15" s="72"/>
    </row>
    <row r="16" spans="1:5" x14ac:dyDescent="0.3">
      <c r="A16" s="77" t="s">
        <v>35</v>
      </c>
      <c r="B16" s="66" t="s">
        <v>36</v>
      </c>
      <c r="C16" s="67">
        <v>70.400000000000006</v>
      </c>
      <c r="D16" s="67">
        <v>60.32</v>
      </c>
      <c r="E16" s="72">
        <f t="shared" si="0"/>
        <v>16.710875331564996</v>
      </c>
    </row>
    <row r="17" spans="1:5" x14ac:dyDescent="0.3">
      <c r="A17" s="77" t="s">
        <v>37</v>
      </c>
      <c r="B17" s="66" t="s">
        <v>36</v>
      </c>
      <c r="C17" s="67">
        <v>58.22</v>
      </c>
      <c r="D17" s="67">
        <v>48.46</v>
      </c>
      <c r="E17" s="72">
        <f t="shared" si="0"/>
        <v>20.140321914981424</v>
      </c>
    </row>
    <row r="18" spans="1:5" x14ac:dyDescent="0.3">
      <c r="A18" s="77" t="s">
        <v>38</v>
      </c>
      <c r="B18" s="66" t="s">
        <v>36</v>
      </c>
      <c r="C18" s="67">
        <v>12.18</v>
      </c>
      <c r="D18" s="67">
        <v>11.86</v>
      </c>
      <c r="E18" s="72">
        <f t="shared" si="0"/>
        <v>2.698145025295112</v>
      </c>
    </row>
    <row r="19" spans="1:5" x14ac:dyDescent="0.3">
      <c r="A19" s="77" t="s">
        <v>39</v>
      </c>
      <c r="B19" s="66" t="s">
        <v>40</v>
      </c>
      <c r="C19" s="67">
        <v>2512.8000000000002</v>
      </c>
      <c r="D19" s="67">
        <v>2722.7</v>
      </c>
      <c r="E19" s="72">
        <f t="shared" si="0"/>
        <v>-7.7092591912439721</v>
      </c>
    </row>
    <row r="20" spans="1:5" x14ac:dyDescent="0.3">
      <c r="A20" s="77" t="s">
        <v>37</v>
      </c>
      <c r="B20" s="66" t="s">
        <v>40</v>
      </c>
      <c r="C20" s="67">
        <v>2015.9</v>
      </c>
      <c r="D20" s="67">
        <v>2248.8000000000002</v>
      </c>
      <c r="E20" s="72">
        <f t="shared" si="0"/>
        <v>-10.356634649590896</v>
      </c>
    </row>
    <row r="21" spans="1:5" x14ac:dyDescent="0.3">
      <c r="A21" s="77" t="s">
        <v>38</v>
      </c>
      <c r="B21" s="66" t="s">
        <v>40</v>
      </c>
      <c r="C21" s="67">
        <v>496.9</v>
      </c>
      <c r="D21" s="67">
        <v>473.9</v>
      </c>
      <c r="E21" s="72">
        <f t="shared" si="0"/>
        <v>4.8533445874657106</v>
      </c>
    </row>
    <row r="22" spans="1:5" x14ac:dyDescent="0.3">
      <c r="A22" s="77" t="s">
        <v>41</v>
      </c>
      <c r="B22" s="66" t="s">
        <v>42</v>
      </c>
      <c r="C22" s="67">
        <v>8367</v>
      </c>
      <c r="D22" s="67">
        <v>7202</v>
      </c>
      <c r="E22" s="72">
        <f t="shared" si="0"/>
        <v>16.176062204943069</v>
      </c>
    </row>
    <row r="23" spans="1:5" x14ac:dyDescent="0.3">
      <c r="A23" s="77" t="s">
        <v>37</v>
      </c>
      <c r="B23" s="66" t="s">
        <v>42</v>
      </c>
      <c r="C23" s="67">
        <v>6277</v>
      </c>
      <c r="D23" s="67">
        <v>5034</v>
      </c>
      <c r="E23" s="72">
        <f t="shared" si="0"/>
        <v>24.692093762415574</v>
      </c>
    </row>
    <row r="24" spans="1:5" x14ac:dyDescent="0.3">
      <c r="A24" s="80" t="s">
        <v>38</v>
      </c>
      <c r="B24" s="81" t="s">
        <v>42</v>
      </c>
      <c r="C24" s="82">
        <v>2090</v>
      </c>
      <c r="D24" s="82">
        <v>2168</v>
      </c>
      <c r="E24" s="72">
        <f t="shared" si="0"/>
        <v>-3.5977859778597785</v>
      </c>
    </row>
  </sheetData>
  <mergeCells count="1">
    <mergeCell ref="A1:E1"/>
  </mergeCells>
  <phoneticPr fontId="11" type="noConversion"/>
  <pageMargins left="0.75" right="0.75" top="1" bottom="1" header="0.5" footer="0.5"/>
  <pageSetup paperSize="9" orientation="portrait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opLeftCell="A13" workbookViewId="0">
      <selection activeCell="C3" sqref="C3"/>
    </sheetView>
  </sheetViews>
  <sheetFormatPr defaultColWidth="9" defaultRowHeight="15" x14ac:dyDescent="0.3"/>
  <cols>
    <col min="1" max="1" width="25.5" style="3" customWidth="1"/>
    <col min="2" max="3" width="9" style="4" customWidth="1"/>
    <col min="4" max="4" width="11.2109375" style="50" customWidth="1"/>
  </cols>
  <sheetData>
    <row r="1" spans="1:4" s="1" customFormat="1" ht="35.15" customHeight="1" x14ac:dyDescent="0.5">
      <c r="A1" s="141" t="s">
        <v>43</v>
      </c>
      <c r="B1" s="141"/>
      <c r="C1" s="141"/>
      <c r="D1" s="141"/>
    </row>
    <row r="2" spans="1:4" s="2" customFormat="1" ht="15" customHeight="1" x14ac:dyDescent="0.3">
      <c r="A2" s="6"/>
      <c r="B2" s="7"/>
      <c r="C2" s="7"/>
      <c r="D2" s="51"/>
    </row>
    <row r="3" spans="1:4" s="2" customFormat="1" ht="26.25" customHeight="1" x14ac:dyDescent="0.3">
      <c r="A3" s="52"/>
      <c r="B3" s="53" t="s">
        <v>44</v>
      </c>
      <c r="C3" s="59" t="s">
        <v>106</v>
      </c>
      <c r="D3" s="54" t="s">
        <v>16</v>
      </c>
    </row>
    <row r="4" spans="1:4" s="2" customFormat="1" ht="18.649999999999999" customHeight="1" x14ac:dyDescent="0.3">
      <c r="A4" s="33" t="s">
        <v>45</v>
      </c>
      <c r="B4" s="55" t="s">
        <v>46</v>
      </c>
      <c r="C4" s="87"/>
      <c r="D4" s="56">
        <v>19214</v>
      </c>
    </row>
    <row r="5" spans="1:4" s="2" customFormat="1" ht="18.649999999999999" customHeight="1" x14ac:dyDescent="0.3">
      <c r="A5" s="30" t="s">
        <v>47</v>
      </c>
      <c r="B5" s="16"/>
      <c r="C5" s="87"/>
      <c r="D5" s="56"/>
    </row>
    <row r="6" spans="1:4" s="2" customFormat="1" ht="18.649999999999999" customHeight="1" x14ac:dyDescent="0.3">
      <c r="A6" s="30" t="s">
        <v>48</v>
      </c>
      <c r="B6" s="16" t="s">
        <v>46</v>
      </c>
      <c r="C6" s="87"/>
      <c r="D6" s="56">
        <v>710</v>
      </c>
    </row>
    <row r="7" spans="1:4" s="2" customFormat="1" ht="18.649999999999999" customHeight="1" x14ac:dyDescent="0.3">
      <c r="A7" s="30" t="s">
        <v>49</v>
      </c>
      <c r="B7" s="16" t="s">
        <v>46</v>
      </c>
      <c r="C7" s="87"/>
      <c r="D7" s="56">
        <v>3042</v>
      </c>
    </row>
    <row r="8" spans="1:4" s="2" customFormat="1" ht="18.649999999999999" customHeight="1" x14ac:dyDescent="0.3">
      <c r="A8" s="30" t="s">
        <v>50</v>
      </c>
      <c r="B8" s="16" t="s">
        <v>46</v>
      </c>
      <c r="C8" s="87"/>
      <c r="D8" s="56">
        <v>1071</v>
      </c>
    </row>
    <row r="9" spans="1:4" s="2" customFormat="1" ht="18.649999999999999" customHeight="1" x14ac:dyDescent="0.3">
      <c r="A9" s="30" t="s">
        <v>51</v>
      </c>
      <c r="B9" s="16"/>
      <c r="C9" s="87"/>
      <c r="D9" s="56">
        <v>2084</v>
      </c>
    </row>
    <row r="10" spans="1:4" s="2" customFormat="1" ht="18.649999999999999" customHeight="1" x14ac:dyDescent="0.3">
      <c r="A10" s="30" t="s">
        <v>52</v>
      </c>
      <c r="B10" s="16" t="s">
        <v>46</v>
      </c>
      <c r="C10" s="87"/>
      <c r="D10" s="56">
        <v>3235</v>
      </c>
    </row>
    <row r="11" spans="1:4" s="2" customFormat="1" ht="18.649999999999999" customHeight="1" x14ac:dyDescent="0.3">
      <c r="A11" s="30" t="s">
        <v>53</v>
      </c>
      <c r="B11" s="16" t="s">
        <v>46</v>
      </c>
      <c r="C11" s="87"/>
      <c r="D11" s="56">
        <v>276</v>
      </c>
    </row>
    <row r="12" spans="1:4" s="2" customFormat="1" ht="18.649999999999999" customHeight="1" x14ac:dyDescent="0.3">
      <c r="A12" s="30" t="s">
        <v>54</v>
      </c>
      <c r="B12" s="16" t="s">
        <v>46</v>
      </c>
      <c r="C12" s="87"/>
      <c r="D12" s="56">
        <v>8796</v>
      </c>
    </row>
    <row r="13" spans="1:4" s="2" customFormat="1" ht="18.649999999999999" customHeight="1" x14ac:dyDescent="0.25">
      <c r="A13" s="33" t="s">
        <v>55</v>
      </c>
      <c r="B13" s="16"/>
      <c r="C13" s="87"/>
      <c r="D13" s="56"/>
    </row>
    <row r="14" spans="1:4" s="2" customFormat="1" ht="18.649999999999999" customHeight="1" x14ac:dyDescent="0.3">
      <c r="A14" s="30" t="s">
        <v>56</v>
      </c>
      <c r="B14" s="16" t="s">
        <v>46</v>
      </c>
      <c r="C14" s="87"/>
      <c r="D14" s="56">
        <v>18660</v>
      </c>
    </row>
    <row r="15" spans="1:4" s="2" customFormat="1" ht="18.649999999999999" customHeight="1" x14ac:dyDescent="0.3">
      <c r="A15" s="30" t="s">
        <v>57</v>
      </c>
      <c r="B15" s="16" t="s">
        <v>46</v>
      </c>
      <c r="C15" s="87"/>
      <c r="D15" s="56">
        <v>396</v>
      </c>
    </row>
    <row r="16" spans="1:4" s="2" customFormat="1" ht="18.649999999999999" customHeight="1" x14ac:dyDescent="0.3">
      <c r="A16" s="30" t="s">
        <v>58</v>
      </c>
      <c r="B16" s="16" t="s">
        <v>46</v>
      </c>
      <c r="C16" s="87"/>
      <c r="D16" s="56">
        <v>396</v>
      </c>
    </row>
    <row r="17" spans="1:4" s="2" customFormat="1" ht="18.649999999999999" customHeight="1" x14ac:dyDescent="0.3">
      <c r="A17" s="57" t="s">
        <v>59</v>
      </c>
      <c r="B17" s="16" t="s">
        <v>46</v>
      </c>
      <c r="C17" s="87"/>
      <c r="D17" s="56">
        <v>18264</v>
      </c>
    </row>
    <row r="18" spans="1:4" s="2" customFormat="1" ht="18.649999999999999" customHeight="1" x14ac:dyDescent="0.3">
      <c r="A18" s="30" t="s">
        <v>60</v>
      </c>
      <c r="B18" s="16" t="s">
        <v>46</v>
      </c>
      <c r="C18" s="87"/>
      <c r="D18" s="56">
        <v>729</v>
      </c>
    </row>
    <row r="19" spans="1:4" s="2" customFormat="1" ht="18.649999999999999" customHeight="1" x14ac:dyDescent="0.3">
      <c r="A19" s="30" t="s">
        <v>61</v>
      </c>
      <c r="B19" s="16" t="s">
        <v>46</v>
      </c>
      <c r="C19" s="87"/>
      <c r="D19" s="56">
        <v>2276</v>
      </c>
    </row>
    <row r="20" spans="1:4" s="2" customFormat="1" ht="18.649999999999999" customHeight="1" x14ac:dyDescent="0.3">
      <c r="A20" s="30" t="s">
        <v>62</v>
      </c>
      <c r="B20" s="16" t="s">
        <v>46</v>
      </c>
      <c r="C20" s="87"/>
      <c r="D20" s="56">
        <v>1699</v>
      </c>
    </row>
    <row r="21" spans="1:4" s="2" customFormat="1" ht="18.649999999999999" customHeight="1" x14ac:dyDescent="0.3">
      <c r="A21" s="30" t="s">
        <v>63</v>
      </c>
      <c r="B21" s="16" t="s">
        <v>46</v>
      </c>
      <c r="C21" s="87"/>
      <c r="D21" s="56">
        <v>13560</v>
      </c>
    </row>
    <row r="22" spans="1:4" s="2" customFormat="1" ht="18.649999999999999" customHeight="1" x14ac:dyDescent="0.3">
      <c r="A22" s="30" t="s">
        <v>64</v>
      </c>
      <c r="B22" s="16" t="s">
        <v>46</v>
      </c>
      <c r="C22" s="87"/>
      <c r="D22" s="56">
        <v>554</v>
      </c>
    </row>
    <row r="23" spans="1:4" s="2" customFormat="1" ht="18.649999999999999" customHeight="1" x14ac:dyDescent="0.25">
      <c r="A23" s="33" t="s">
        <v>65</v>
      </c>
      <c r="B23" s="16" t="s">
        <v>66</v>
      </c>
      <c r="C23" s="87"/>
      <c r="D23" s="56"/>
    </row>
    <row r="24" spans="1:4" s="2" customFormat="1" ht="18.649999999999999" customHeight="1" x14ac:dyDescent="0.3">
      <c r="A24" s="33" t="s">
        <v>67</v>
      </c>
      <c r="B24" s="16" t="s">
        <v>68</v>
      </c>
      <c r="C24" s="87"/>
      <c r="D24" s="56" t="s">
        <v>69</v>
      </c>
    </row>
    <row r="25" spans="1:4" s="2" customFormat="1" ht="18.649999999999999" customHeight="1" x14ac:dyDescent="0.3">
      <c r="A25" s="30" t="s">
        <v>70</v>
      </c>
      <c r="B25" s="16"/>
      <c r="C25" s="87"/>
      <c r="D25" s="56"/>
    </row>
    <row r="26" spans="1:4" s="2" customFormat="1" ht="18.649999999999999" customHeight="1" x14ac:dyDescent="0.3">
      <c r="A26" s="30" t="s">
        <v>71</v>
      </c>
      <c r="B26" s="16" t="s">
        <v>68</v>
      </c>
      <c r="C26" s="87"/>
      <c r="D26" s="56" t="s">
        <v>69</v>
      </c>
    </row>
    <row r="27" spans="1:4" s="2" customFormat="1" ht="18.649999999999999" customHeight="1" x14ac:dyDescent="0.3">
      <c r="A27" s="30" t="s">
        <v>72</v>
      </c>
      <c r="B27" s="16"/>
      <c r="C27" s="87"/>
      <c r="D27" s="56"/>
    </row>
    <row r="28" spans="1:4" s="2" customFormat="1" ht="18.649999999999999" customHeight="1" x14ac:dyDescent="0.3">
      <c r="A28" s="30" t="s">
        <v>73</v>
      </c>
      <c r="B28" s="16" t="s">
        <v>68</v>
      </c>
      <c r="C28" s="87"/>
      <c r="D28" s="56" t="s">
        <v>74</v>
      </c>
    </row>
    <row r="29" spans="1:4" s="2" customFormat="1" ht="18.649999999999999" customHeight="1" x14ac:dyDescent="0.3">
      <c r="A29" s="30" t="s">
        <v>75</v>
      </c>
      <c r="B29" s="16" t="s">
        <v>68</v>
      </c>
      <c r="C29" s="87"/>
      <c r="D29" s="56" t="s">
        <v>76</v>
      </c>
    </row>
    <row r="30" spans="1:4" s="2" customFormat="1" ht="18.649999999999999" customHeight="1" x14ac:dyDescent="0.3">
      <c r="A30" s="58" t="s">
        <v>77</v>
      </c>
      <c r="B30" s="59" t="s">
        <v>68</v>
      </c>
      <c r="C30" s="7"/>
      <c r="D30" s="51" t="s">
        <v>78</v>
      </c>
    </row>
    <row r="31" spans="1:4" s="2" customFormat="1" ht="11.6" x14ac:dyDescent="0.25">
      <c r="A31" s="33"/>
      <c r="B31" s="31"/>
      <c r="C31" s="31"/>
      <c r="D31" s="56"/>
    </row>
    <row r="32" spans="1:4" s="2" customFormat="1" ht="11.6" x14ac:dyDescent="0.25">
      <c r="A32" s="33"/>
      <c r="B32" s="31"/>
      <c r="C32" s="31"/>
      <c r="D32" s="56"/>
    </row>
    <row r="33" spans="1:4" s="2" customFormat="1" ht="11.6" x14ac:dyDescent="0.25">
      <c r="A33" s="33"/>
      <c r="B33" s="31"/>
      <c r="C33" s="31"/>
      <c r="D33" s="56"/>
    </row>
    <row r="34" spans="1:4" s="2" customFormat="1" ht="11.6" x14ac:dyDescent="0.25">
      <c r="A34" s="33"/>
      <c r="B34" s="31"/>
      <c r="C34" s="31"/>
      <c r="D34" s="56"/>
    </row>
    <row r="35" spans="1:4" s="2" customFormat="1" ht="11.6" x14ac:dyDescent="0.25">
      <c r="A35" s="33"/>
      <c r="B35" s="31"/>
      <c r="C35" s="31"/>
      <c r="D35" s="56"/>
    </row>
    <row r="36" spans="1:4" s="2" customFormat="1" ht="11.6" x14ac:dyDescent="0.25">
      <c r="A36" s="33"/>
      <c r="B36" s="31"/>
      <c r="C36" s="31"/>
      <c r="D36" s="56"/>
    </row>
    <row r="37" spans="1:4" s="2" customFormat="1" ht="11.6" x14ac:dyDescent="0.25">
      <c r="A37" s="33"/>
      <c r="B37" s="31"/>
      <c r="C37" s="31"/>
      <c r="D37" s="56"/>
    </row>
    <row r="38" spans="1:4" s="2" customFormat="1" ht="11.6" x14ac:dyDescent="0.25">
      <c r="A38" s="33"/>
      <c r="B38" s="31"/>
      <c r="C38" s="31"/>
      <c r="D38" s="56"/>
    </row>
    <row r="39" spans="1:4" s="2" customFormat="1" ht="11.6" x14ac:dyDescent="0.25">
      <c r="A39" s="33"/>
      <c r="B39" s="31"/>
      <c r="C39" s="31"/>
      <c r="D39" s="56"/>
    </row>
    <row r="40" spans="1:4" s="2" customFormat="1" ht="11.6" x14ac:dyDescent="0.25">
      <c r="A40" s="33"/>
      <c r="B40" s="31"/>
      <c r="C40" s="31"/>
      <c r="D40" s="56"/>
    </row>
    <row r="41" spans="1:4" s="2" customFormat="1" ht="11.6" x14ac:dyDescent="0.25">
      <c r="A41" s="33"/>
      <c r="B41" s="31"/>
      <c r="C41" s="31"/>
      <c r="D41" s="56"/>
    </row>
    <row r="42" spans="1:4" s="2" customFormat="1" ht="11.6" x14ac:dyDescent="0.25">
      <c r="A42" s="33"/>
      <c r="B42" s="31"/>
      <c r="C42" s="31"/>
      <c r="D42" s="56"/>
    </row>
    <row r="43" spans="1:4" s="2" customFormat="1" ht="11.6" x14ac:dyDescent="0.25">
      <c r="A43" s="33"/>
      <c r="B43" s="31"/>
      <c r="C43" s="31"/>
      <c r="D43" s="56"/>
    </row>
    <row r="44" spans="1:4" s="2" customFormat="1" ht="11.6" x14ac:dyDescent="0.25">
      <c r="A44" s="33"/>
      <c r="B44" s="31"/>
      <c r="C44" s="31"/>
      <c r="D44" s="56"/>
    </row>
    <row r="45" spans="1:4" s="2" customFormat="1" ht="11.6" x14ac:dyDescent="0.25">
      <c r="A45" s="33"/>
      <c r="B45" s="31"/>
      <c r="C45" s="31"/>
      <c r="D45" s="56"/>
    </row>
    <row r="46" spans="1:4" s="2" customFormat="1" ht="11.6" x14ac:dyDescent="0.25">
      <c r="A46" s="33"/>
      <c r="B46" s="31"/>
      <c r="C46" s="31"/>
      <c r="D46" s="56"/>
    </row>
    <row r="47" spans="1:4" s="2" customFormat="1" ht="11.6" x14ac:dyDescent="0.25">
      <c r="A47" s="33"/>
      <c r="B47" s="31"/>
      <c r="C47" s="31"/>
      <c r="D47" s="56"/>
    </row>
    <row r="48" spans="1:4" s="2" customFormat="1" ht="11.6" x14ac:dyDescent="0.25">
      <c r="A48" s="33"/>
      <c r="B48" s="31"/>
      <c r="C48" s="31"/>
      <c r="D48" s="56"/>
    </row>
    <row r="49" spans="1:4" s="2" customFormat="1" ht="11.6" x14ac:dyDescent="0.25">
      <c r="A49" s="33"/>
      <c r="B49" s="31"/>
      <c r="C49" s="31"/>
      <c r="D49" s="56"/>
    </row>
    <row r="50" spans="1:4" s="2" customFormat="1" ht="11.6" x14ac:dyDescent="0.25">
      <c r="A50" s="33"/>
      <c r="B50" s="31"/>
      <c r="C50" s="31"/>
      <c r="D50" s="56"/>
    </row>
    <row r="51" spans="1:4" s="2" customFormat="1" ht="11.6" x14ac:dyDescent="0.25">
      <c r="A51" s="33"/>
      <c r="B51" s="31"/>
      <c r="C51" s="31"/>
      <c r="D51" s="56"/>
    </row>
    <row r="52" spans="1:4" s="2" customFormat="1" ht="11.6" x14ac:dyDescent="0.25">
      <c r="A52" s="33"/>
      <c r="B52" s="31"/>
      <c r="C52" s="31"/>
      <c r="D52" s="56"/>
    </row>
    <row r="53" spans="1:4" s="2" customFormat="1" ht="11.6" x14ac:dyDescent="0.25">
      <c r="A53" s="33"/>
      <c r="B53" s="31"/>
      <c r="C53" s="31"/>
      <c r="D53" s="56"/>
    </row>
    <row r="54" spans="1:4" s="2" customFormat="1" ht="11.6" x14ac:dyDescent="0.25">
      <c r="A54" s="33"/>
      <c r="B54" s="31"/>
      <c r="C54" s="31"/>
      <c r="D54" s="56"/>
    </row>
    <row r="55" spans="1:4" s="2" customFormat="1" ht="11.6" x14ac:dyDescent="0.25">
      <c r="A55" s="33"/>
      <c r="B55" s="31"/>
      <c r="C55" s="31"/>
      <c r="D55" s="56"/>
    </row>
    <row r="56" spans="1:4" s="2" customFormat="1" ht="11.6" x14ac:dyDescent="0.25">
      <c r="A56" s="33"/>
      <c r="B56" s="31"/>
      <c r="C56" s="31"/>
      <c r="D56" s="56"/>
    </row>
    <row r="57" spans="1:4" s="2" customFormat="1" ht="11.6" x14ac:dyDescent="0.25">
      <c r="A57" s="33"/>
      <c r="B57" s="31"/>
      <c r="C57" s="31"/>
      <c r="D57" s="56"/>
    </row>
    <row r="58" spans="1:4" s="2" customFormat="1" ht="11.6" x14ac:dyDescent="0.25">
      <c r="A58" s="33"/>
      <c r="B58" s="31"/>
      <c r="C58" s="31"/>
      <c r="D58" s="56"/>
    </row>
    <row r="59" spans="1:4" s="2" customFormat="1" ht="11.6" x14ac:dyDescent="0.25">
      <c r="A59" s="33"/>
      <c r="B59" s="31"/>
      <c r="C59" s="31"/>
      <c r="D59" s="56"/>
    </row>
    <row r="60" spans="1:4" s="2" customFormat="1" ht="11.6" x14ac:dyDescent="0.25">
      <c r="A60" s="33"/>
      <c r="B60" s="31"/>
      <c r="C60" s="31"/>
      <c r="D60" s="56"/>
    </row>
    <row r="61" spans="1:4" s="2" customFormat="1" ht="11.6" x14ac:dyDescent="0.25">
      <c r="A61" s="33"/>
      <c r="B61" s="31"/>
      <c r="C61" s="31"/>
      <c r="D61" s="56"/>
    </row>
    <row r="62" spans="1:4" s="2" customFormat="1" ht="11.6" x14ac:dyDescent="0.25">
      <c r="A62" s="33"/>
      <c r="B62" s="31"/>
      <c r="C62" s="31"/>
      <c r="D62" s="56"/>
    </row>
    <row r="63" spans="1:4" s="2" customFormat="1" ht="11.6" x14ac:dyDescent="0.25">
      <c r="A63" s="33"/>
      <c r="B63" s="31"/>
      <c r="C63" s="31"/>
      <c r="D63" s="56"/>
    </row>
    <row r="64" spans="1:4" s="2" customFormat="1" ht="11.6" x14ac:dyDescent="0.25">
      <c r="A64" s="33"/>
      <c r="B64" s="31"/>
      <c r="C64" s="31"/>
      <c r="D64" s="56"/>
    </row>
    <row r="65" spans="1:4" s="2" customFormat="1" ht="11.6" x14ac:dyDescent="0.25">
      <c r="A65" s="33"/>
      <c r="B65" s="31"/>
      <c r="C65" s="31"/>
      <c r="D65" s="56"/>
    </row>
    <row r="66" spans="1:4" s="2" customFormat="1" ht="11.6" x14ac:dyDescent="0.25">
      <c r="A66" s="33"/>
      <c r="B66" s="31"/>
      <c r="C66" s="31"/>
      <c r="D66" s="56"/>
    </row>
    <row r="67" spans="1:4" s="2" customFormat="1" ht="11.6" x14ac:dyDescent="0.25">
      <c r="A67" s="33"/>
      <c r="B67" s="31"/>
      <c r="C67" s="31"/>
      <c r="D67" s="56"/>
    </row>
    <row r="68" spans="1:4" s="2" customFormat="1" ht="11.6" x14ac:dyDescent="0.25">
      <c r="A68" s="33"/>
      <c r="B68" s="31"/>
      <c r="C68" s="31"/>
      <c r="D68" s="56"/>
    </row>
    <row r="69" spans="1:4" s="2" customFormat="1" ht="11.6" x14ac:dyDescent="0.25">
      <c r="A69" s="33"/>
      <c r="B69" s="31"/>
      <c r="C69" s="31"/>
      <c r="D69" s="56"/>
    </row>
    <row r="70" spans="1:4" s="2" customFormat="1" ht="11.6" x14ac:dyDescent="0.25">
      <c r="A70" s="33"/>
      <c r="B70" s="31"/>
      <c r="C70" s="31"/>
      <c r="D70" s="56"/>
    </row>
    <row r="71" spans="1:4" s="2" customFormat="1" ht="11.6" x14ac:dyDescent="0.25">
      <c r="A71" s="33"/>
      <c r="B71" s="31"/>
      <c r="C71" s="31"/>
      <c r="D71" s="56"/>
    </row>
    <row r="72" spans="1:4" s="2" customFormat="1" ht="11.6" x14ac:dyDescent="0.25">
      <c r="A72" s="33"/>
      <c r="B72" s="31"/>
      <c r="C72" s="31"/>
      <c r="D72" s="56"/>
    </row>
    <row r="73" spans="1:4" s="2" customFormat="1" ht="11.6" x14ac:dyDescent="0.25">
      <c r="A73" s="33"/>
      <c r="B73" s="31"/>
      <c r="C73" s="31"/>
      <c r="D73" s="56"/>
    </row>
    <row r="74" spans="1:4" s="2" customFormat="1" ht="11.6" x14ac:dyDescent="0.25">
      <c r="A74" s="33"/>
      <c r="B74" s="31"/>
      <c r="C74" s="31"/>
      <c r="D74" s="56"/>
    </row>
    <row r="75" spans="1:4" s="2" customFormat="1" ht="11.6" x14ac:dyDescent="0.25">
      <c r="A75" s="33"/>
      <c r="B75" s="31"/>
      <c r="C75" s="31"/>
      <c r="D75" s="56"/>
    </row>
    <row r="76" spans="1:4" s="2" customFormat="1" ht="11.6" x14ac:dyDescent="0.25">
      <c r="A76" s="33"/>
      <c r="B76" s="31"/>
      <c r="C76" s="31"/>
      <c r="D76" s="56"/>
    </row>
    <row r="77" spans="1:4" s="2" customFormat="1" ht="11.6" x14ac:dyDescent="0.25">
      <c r="A77" s="33"/>
      <c r="B77" s="31"/>
      <c r="C77" s="31"/>
      <c r="D77" s="56"/>
    </row>
    <row r="78" spans="1:4" s="2" customFormat="1" ht="11.6" x14ac:dyDescent="0.25">
      <c r="A78" s="33"/>
      <c r="B78" s="31"/>
      <c r="C78" s="31"/>
      <c r="D78" s="56"/>
    </row>
    <row r="79" spans="1:4" s="2" customFormat="1" ht="11.6" x14ac:dyDescent="0.25">
      <c r="A79" s="33"/>
      <c r="B79" s="31"/>
      <c r="C79" s="31"/>
      <c r="D79" s="56"/>
    </row>
    <row r="80" spans="1:4" s="2" customFormat="1" ht="11.6" x14ac:dyDescent="0.25">
      <c r="A80" s="33"/>
      <c r="B80" s="31"/>
      <c r="C80" s="31"/>
      <c r="D80" s="56"/>
    </row>
    <row r="81" spans="1:4" s="2" customFormat="1" ht="11.6" x14ac:dyDescent="0.25">
      <c r="A81" s="33"/>
      <c r="B81" s="31"/>
      <c r="C81" s="31"/>
      <c r="D81" s="56"/>
    </row>
    <row r="82" spans="1:4" s="2" customFormat="1" ht="11.6" x14ac:dyDescent="0.25">
      <c r="A82" s="33"/>
      <c r="B82" s="31"/>
      <c r="C82" s="31"/>
      <c r="D82" s="56"/>
    </row>
    <row r="83" spans="1:4" s="2" customFormat="1" ht="11.6" x14ac:dyDescent="0.25">
      <c r="A83" s="33"/>
      <c r="B83" s="31"/>
      <c r="C83" s="31"/>
      <c r="D83" s="56"/>
    </row>
    <row r="84" spans="1:4" s="2" customFormat="1" ht="11.6" x14ac:dyDescent="0.25">
      <c r="A84" s="33"/>
      <c r="B84" s="31"/>
      <c r="C84" s="31"/>
      <c r="D84" s="56"/>
    </row>
    <row r="85" spans="1:4" s="2" customFormat="1" ht="11.6" x14ac:dyDescent="0.25">
      <c r="A85" s="33"/>
      <c r="B85" s="31"/>
      <c r="C85" s="31"/>
      <c r="D85" s="56"/>
    </row>
    <row r="86" spans="1:4" s="2" customFormat="1" ht="11.6" x14ac:dyDescent="0.25">
      <c r="A86" s="33"/>
      <c r="B86" s="31"/>
      <c r="C86" s="31"/>
      <c r="D86" s="56"/>
    </row>
    <row r="87" spans="1:4" s="2" customFormat="1" ht="11.6" x14ac:dyDescent="0.25">
      <c r="A87" s="33"/>
      <c r="B87" s="31"/>
      <c r="C87" s="31"/>
      <c r="D87" s="56"/>
    </row>
    <row r="88" spans="1:4" s="2" customFormat="1" ht="11.6" x14ac:dyDescent="0.25">
      <c r="A88" s="33"/>
      <c r="B88" s="31"/>
      <c r="C88" s="31"/>
      <c r="D88" s="56"/>
    </row>
  </sheetData>
  <mergeCells count="1">
    <mergeCell ref="A1:D1"/>
  </mergeCells>
  <phoneticPr fontId="11" type="noConversion"/>
  <pageMargins left="0.67" right="0.63" top="0.83" bottom="0.63" header="0.51" footer="0.51"/>
  <pageSetup paperSize="256" orientation="portrait" horizontalDpi="30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opLeftCell="A10" workbookViewId="0">
      <selection sqref="A1:IV45"/>
    </sheetView>
  </sheetViews>
  <sheetFormatPr defaultRowHeight="15" x14ac:dyDescent="0.3"/>
  <sheetData>
    <row r="1" spans="1:12" s="111" customFormat="1" ht="28.5" customHeight="1" x14ac:dyDescent="0.3">
      <c r="A1" s="142" t="s">
        <v>115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10"/>
    </row>
    <row r="2" spans="1:12" s="111" customFormat="1" ht="18" customHeight="1" x14ac:dyDescent="0.3">
      <c r="A2" s="112"/>
      <c r="B2" s="113"/>
      <c r="C2" s="113"/>
      <c r="D2" s="113"/>
      <c r="E2" s="113"/>
      <c r="F2" s="113"/>
      <c r="G2" s="113"/>
      <c r="H2" s="113"/>
      <c r="I2" s="113"/>
      <c r="J2" s="143" t="s">
        <v>116</v>
      </c>
      <c r="K2" s="143"/>
      <c r="L2" s="110"/>
    </row>
    <row r="3" spans="1:12" s="117" customFormat="1" ht="14.25" customHeight="1" x14ac:dyDescent="0.3">
      <c r="A3" s="114"/>
      <c r="B3" s="144" t="s">
        <v>117</v>
      </c>
      <c r="C3" s="145"/>
      <c r="D3" s="145"/>
      <c r="E3" s="146" t="s">
        <v>118</v>
      </c>
      <c r="F3" s="147"/>
      <c r="G3" s="147"/>
      <c r="H3" s="147"/>
      <c r="I3" s="147"/>
      <c r="J3" s="147"/>
      <c r="K3" s="147"/>
      <c r="L3" s="115"/>
    </row>
    <row r="4" spans="1:12" s="117" customFormat="1" ht="12.75" customHeight="1" x14ac:dyDescent="0.3">
      <c r="A4" s="118"/>
      <c r="B4" s="144"/>
      <c r="C4" s="145"/>
      <c r="D4" s="145"/>
      <c r="E4" s="148"/>
      <c r="F4" s="143"/>
      <c r="G4" s="143"/>
      <c r="H4" s="143"/>
      <c r="I4" s="143"/>
      <c r="J4" s="143"/>
      <c r="K4" s="143"/>
      <c r="L4" s="115"/>
    </row>
    <row r="5" spans="1:12" s="117" customFormat="1" ht="25.5" customHeight="1" x14ac:dyDescent="0.3">
      <c r="A5" s="118"/>
      <c r="B5" s="119"/>
      <c r="C5" s="120" t="s">
        <v>119</v>
      </c>
      <c r="D5" s="120" t="s">
        <v>120</v>
      </c>
      <c r="E5" s="121" t="s">
        <v>121</v>
      </c>
      <c r="F5" s="122" t="s">
        <v>122</v>
      </c>
      <c r="G5" s="122" t="s">
        <v>123</v>
      </c>
      <c r="H5" s="122" t="s">
        <v>124</v>
      </c>
      <c r="I5" s="122" t="s">
        <v>125</v>
      </c>
      <c r="J5" s="123" t="s">
        <v>126</v>
      </c>
      <c r="K5" s="116" t="s">
        <v>127</v>
      </c>
      <c r="L5" s="115"/>
    </row>
    <row r="6" spans="1:12" s="117" customFormat="1" ht="13" customHeight="1" x14ac:dyDescent="0.3">
      <c r="A6" s="124" t="s">
        <v>128</v>
      </c>
      <c r="B6" s="125">
        <v>258213</v>
      </c>
      <c r="C6" s="125">
        <v>9010</v>
      </c>
      <c r="D6" s="125">
        <v>237231</v>
      </c>
      <c r="E6" s="125">
        <v>34557</v>
      </c>
      <c r="F6" s="125">
        <v>527</v>
      </c>
      <c r="G6" s="125">
        <v>356</v>
      </c>
      <c r="H6" s="125">
        <v>6218</v>
      </c>
      <c r="I6" s="125">
        <v>46</v>
      </c>
      <c r="J6" s="125">
        <v>25899</v>
      </c>
      <c r="K6" s="126">
        <v>45</v>
      </c>
      <c r="L6" s="115"/>
    </row>
    <row r="7" spans="1:12" s="117" customFormat="1" ht="13" customHeight="1" x14ac:dyDescent="0.3">
      <c r="A7" s="124" t="s">
        <v>129</v>
      </c>
      <c r="B7" s="125">
        <v>238946</v>
      </c>
      <c r="C7" s="125">
        <v>8997</v>
      </c>
      <c r="D7" s="125">
        <v>219352</v>
      </c>
      <c r="E7" s="125">
        <v>28530</v>
      </c>
      <c r="F7" s="125">
        <v>526</v>
      </c>
      <c r="G7" s="125">
        <v>356</v>
      </c>
      <c r="H7" s="125">
        <v>6206</v>
      </c>
      <c r="I7" s="125">
        <v>45</v>
      </c>
      <c r="J7" s="125">
        <v>19970</v>
      </c>
      <c r="K7" s="126">
        <v>44</v>
      </c>
      <c r="L7" s="115"/>
    </row>
    <row r="8" spans="1:12" s="117" customFormat="1" ht="13" customHeight="1" x14ac:dyDescent="0.3">
      <c r="A8" s="124" t="s">
        <v>130</v>
      </c>
      <c r="B8" s="125">
        <v>190409</v>
      </c>
      <c r="C8" s="125">
        <v>8845</v>
      </c>
      <c r="D8" s="125">
        <v>178462</v>
      </c>
      <c r="E8" s="125">
        <v>7746</v>
      </c>
      <c r="F8" s="125">
        <v>526</v>
      </c>
      <c r="G8" s="125">
        <v>356</v>
      </c>
      <c r="H8" s="125">
        <v>6205</v>
      </c>
      <c r="I8" s="125">
        <v>45</v>
      </c>
      <c r="J8" s="125">
        <v>0</v>
      </c>
      <c r="K8" s="126">
        <v>16</v>
      </c>
      <c r="L8" s="115"/>
    </row>
    <row r="9" spans="1:12" s="117" customFormat="1" ht="13" customHeight="1" x14ac:dyDescent="0.3">
      <c r="A9" s="124" t="s">
        <v>131</v>
      </c>
      <c r="B9" s="125">
        <v>991</v>
      </c>
      <c r="C9" s="125">
        <v>16</v>
      </c>
      <c r="D9" s="125">
        <v>55</v>
      </c>
      <c r="E9" s="125">
        <v>581</v>
      </c>
      <c r="F9" s="125">
        <v>388</v>
      </c>
      <c r="G9" s="125">
        <v>136</v>
      </c>
      <c r="H9" s="125">
        <v>0</v>
      </c>
      <c r="I9" s="125">
        <v>41</v>
      </c>
      <c r="J9" s="125">
        <v>0</v>
      </c>
      <c r="K9" s="126">
        <v>6</v>
      </c>
      <c r="L9" s="115"/>
    </row>
    <row r="10" spans="1:12" s="117" customFormat="1" ht="13" customHeight="1" x14ac:dyDescent="0.3">
      <c r="A10" s="124" t="s">
        <v>132</v>
      </c>
      <c r="B10" s="125">
        <v>761</v>
      </c>
      <c r="C10" s="125">
        <v>16</v>
      </c>
      <c r="D10" s="125">
        <v>286</v>
      </c>
      <c r="E10" s="125">
        <v>212</v>
      </c>
      <c r="F10" s="125">
        <v>126</v>
      </c>
      <c r="G10" s="125">
        <v>80</v>
      </c>
      <c r="H10" s="125">
        <v>0</v>
      </c>
      <c r="I10" s="125">
        <v>3</v>
      </c>
      <c r="J10" s="125">
        <v>0</v>
      </c>
      <c r="K10" s="126">
        <v>1</v>
      </c>
      <c r="L10" s="115"/>
    </row>
    <row r="11" spans="1:12" s="117" customFormat="1" ht="13" customHeight="1" x14ac:dyDescent="0.3">
      <c r="A11" s="124" t="s">
        <v>133</v>
      </c>
      <c r="B11" s="125">
        <v>186173</v>
      </c>
      <c r="C11" s="125">
        <v>8787</v>
      </c>
      <c r="D11" s="125">
        <v>175679</v>
      </c>
      <c r="E11" s="125">
        <v>6948</v>
      </c>
      <c r="F11" s="125">
        <v>12</v>
      </c>
      <c r="G11" s="125">
        <v>140</v>
      </c>
      <c r="H11" s="125">
        <v>6200</v>
      </c>
      <c r="I11" s="125">
        <v>1</v>
      </c>
      <c r="J11" s="125">
        <v>0</v>
      </c>
      <c r="K11" s="126">
        <v>9</v>
      </c>
      <c r="L11" s="115"/>
    </row>
    <row r="12" spans="1:12" s="117" customFormat="1" ht="13" customHeight="1" x14ac:dyDescent="0.3">
      <c r="A12" s="124" t="s">
        <v>134</v>
      </c>
      <c r="B12" s="125">
        <v>2484</v>
      </c>
      <c r="C12" s="125">
        <v>26</v>
      </c>
      <c r="D12" s="125">
        <v>2442</v>
      </c>
      <c r="E12" s="125">
        <v>5</v>
      </c>
      <c r="F12" s="125">
        <v>0</v>
      </c>
      <c r="G12" s="125">
        <v>0</v>
      </c>
      <c r="H12" s="125">
        <v>5</v>
      </c>
      <c r="I12" s="125">
        <v>0</v>
      </c>
      <c r="J12" s="125">
        <v>0</v>
      </c>
      <c r="K12" s="126">
        <v>0</v>
      </c>
      <c r="L12" s="115"/>
    </row>
    <row r="13" spans="1:12" s="117" customFormat="1" ht="13" customHeight="1" x14ac:dyDescent="0.3">
      <c r="A13" s="124" t="s">
        <v>135</v>
      </c>
      <c r="B13" s="125">
        <v>30665</v>
      </c>
      <c r="C13" s="125">
        <v>125</v>
      </c>
      <c r="D13" s="125">
        <v>24717</v>
      </c>
      <c r="E13" s="125">
        <v>9407</v>
      </c>
      <c r="F13" s="125">
        <v>0</v>
      </c>
      <c r="G13" s="125">
        <v>0</v>
      </c>
      <c r="H13" s="125">
        <v>0</v>
      </c>
      <c r="I13" s="125">
        <v>0</v>
      </c>
      <c r="J13" s="125">
        <v>8691</v>
      </c>
      <c r="K13" s="126">
        <v>3</v>
      </c>
      <c r="L13" s="115"/>
    </row>
    <row r="14" spans="1:12" s="117" customFormat="1" ht="13" customHeight="1" x14ac:dyDescent="0.3">
      <c r="A14" s="124" t="s">
        <v>136</v>
      </c>
      <c r="B14" s="125">
        <v>6011</v>
      </c>
      <c r="C14" s="125">
        <v>7</v>
      </c>
      <c r="D14" s="125">
        <v>3813</v>
      </c>
      <c r="E14" s="125">
        <v>5758</v>
      </c>
      <c r="F14" s="125">
        <v>0</v>
      </c>
      <c r="G14" s="125">
        <v>0</v>
      </c>
      <c r="H14" s="125">
        <v>0</v>
      </c>
      <c r="I14" s="125">
        <v>0</v>
      </c>
      <c r="J14" s="125">
        <v>5388</v>
      </c>
      <c r="K14" s="126">
        <v>2</v>
      </c>
      <c r="L14" s="115"/>
    </row>
    <row r="15" spans="1:12" s="117" customFormat="1" ht="13" customHeight="1" x14ac:dyDescent="0.3">
      <c r="A15" s="124" t="s">
        <v>132</v>
      </c>
      <c r="B15" s="125">
        <v>1585</v>
      </c>
      <c r="C15" s="125">
        <v>2</v>
      </c>
      <c r="D15" s="125">
        <v>1350</v>
      </c>
      <c r="E15" s="125">
        <v>1338</v>
      </c>
      <c r="F15" s="125">
        <v>0</v>
      </c>
      <c r="G15" s="125">
        <v>0</v>
      </c>
      <c r="H15" s="125">
        <v>0</v>
      </c>
      <c r="I15" s="125">
        <v>0</v>
      </c>
      <c r="J15" s="125">
        <v>1305</v>
      </c>
      <c r="K15" s="126">
        <v>0</v>
      </c>
      <c r="L15" s="115"/>
    </row>
    <row r="16" spans="1:12" s="117" customFormat="1" ht="13" customHeight="1" x14ac:dyDescent="0.3">
      <c r="A16" s="124" t="s">
        <v>137</v>
      </c>
      <c r="B16" s="125">
        <v>23042</v>
      </c>
      <c r="C16" s="125">
        <v>116</v>
      </c>
      <c r="D16" s="125">
        <v>19528</v>
      </c>
      <c r="E16" s="125">
        <v>2304</v>
      </c>
      <c r="F16" s="125">
        <v>0</v>
      </c>
      <c r="G16" s="125">
        <v>0</v>
      </c>
      <c r="H16" s="125">
        <v>0</v>
      </c>
      <c r="I16" s="125">
        <v>0</v>
      </c>
      <c r="J16" s="125">
        <v>1991</v>
      </c>
      <c r="K16" s="126">
        <v>1</v>
      </c>
      <c r="L16" s="115"/>
    </row>
    <row r="17" spans="1:12" s="117" customFormat="1" ht="13" customHeight="1" x14ac:dyDescent="0.3">
      <c r="A17" s="124" t="s">
        <v>134</v>
      </c>
      <c r="B17" s="125">
        <v>27</v>
      </c>
      <c r="C17" s="125">
        <v>0</v>
      </c>
      <c r="D17" s="125">
        <v>26</v>
      </c>
      <c r="E17" s="125">
        <v>7</v>
      </c>
      <c r="F17" s="125">
        <v>0</v>
      </c>
      <c r="G17" s="125">
        <v>0</v>
      </c>
      <c r="H17" s="125">
        <v>0</v>
      </c>
      <c r="I17" s="125">
        <v>0</v>
      </c>
      <c r="J17" s="125">
        <v>7</v>
      </c>
      <c r="K17" s="126">
        <v>0</v>
      </c>
      <c r="L17" s="115"/>
    </row>
    <row r="18" spans="1:12" s="117" customFormat="1" ht="13" customHeight="1" x14ac:dyDescent="0.3">
      <c r="A18" s="127" t="s">
        <v>138</v>
      </c>
      <c r="B18" s="125">
        <v>17872</v>
      </c>
      <c r="C18" s="125">
        <v>27</v>
      </c>
      <c r="D18" s="125">
        <v>16173</v>
      </c>
      <c r="E18" s="125">
        <v>11377</v>
      </c>
      <c r="F18" s="125">
        <v>0</v>
      </c>
      <c r="G18" s="125">
        <v>0</v>
      </c>
      <c r="H18" s="125">
        <v>1</v>
      </c>
      <c r="I18" s="125">
        <v>0</v>
      </c>
      <c r="J18" s="125">
        <v>11279</v>
      </c>
      <c r="K18" s="126">
        <v>25</v>
      </c>
      <c r="L18" s="115"/>
    </row>
    <row r="19" spans="1:12" s="117" customFormat="1" ht="13" customHeight="1" x14ac:dyDescent="0.3">
      <c r="A19" s="128" t="s">
        <v>139</v>
      </c>
      <c r="B19" s="125">
        <v>16930</v>
      </c>
      <c r="C19" s="125">
        <v>13</v>
      </c>
      <c r="D19" s="125">
        <v>16863</v>
      </c>
      <c r="E19" s="125">
        <v>3720</v>
      </c>
      <c r="F19" s="125">
        <v>1</v>
      </c>
      <c r="G19" s="125">
        <v>0</v>
      </c>
      <c r="H19" s="125">
        <v>12</v>
      </c>
      <c r="I19" s="125">
        <v>1</v>
      </c>
      <c r="J19" s="125">
        <v>3705</v>
      </c>
      <c r="K19" s="126">
        <v>1</v>
      </c>
      <c r="L19" s="115"/>
    </row>
    <row r="20" spans="1:12" s="117" customFormat="1" ht="13" customHeight="1" x14ac:dyDescent="0.3">
      <c r="A20" s="128" t="s">
        <v>140</v>
      </c>
      <c r="B20" s="125">
        <v>2337</v>
      </c>
      <c r="C20" s="125">
        <v>0</v>
      </c>
      <c r="D20" s="125">
        <v>1016</v>
      </c>
      <c r="E20" s="125">
        <v>2307</v>
      </c>
      <c r="F20" s="125">
        <v>0</v>
      </c>
      <c r="G20" s="125">
        <v>0</v>
      </c>
      <c r="H20" s="125">
        <v>0</v>
      </c>
      <c r="I20" s="125">
        <v>0</v>
      </c>
      <c r="J20" s="125">
        <v>2224</v>
      </c>
      <c r="K20" s="126">
        <v>0</v>
      </c>
      <c r="L20" s="115"/>
    </row>
    <row r="21" spans="1:12" s="117" customFormat="1" ht="13" customHeight="1" x14ac:dyDescent="0.3">
      <c r="A21" s="128" t="s">
        <v>141</v>
      </c>
      <c r="B21" s="125">
        <v>2336</v>
      </c>
      <c r="C21" s="125">
        <v>0</v>
      </c>
      <c r="D21" s="125">
        <v>1015</v>
      </c>
      <c r="E21" s="125">
        <v>2306</v>
      </c>
      <c r="F21" s="125">
        <v>0</v>
      </c>
      <c r="G21" s="125">
        <v>0</v>
      </c>
      <c r="H21" s="125">
        <v>0</v>
      </c>
      <c r="I21" s="125">
        <v>0</v>
      </c>
      <c r="J21" s="125">
        <v>2223</v>
      </c>
      <c r="K21" s="126">
        <v>0</v>
      </c>
      <c r="L21" s="115"/>
    </row>
    <row r="22" spans="1:12" s="117" customFormat="1" ht="13" customHeight="1" thickBot="1" x14ac:dyDescent="0.35">
      <c r="A22" s="129" t="s">
        <v>142</v>
      </c>
      <c r="B22" s="130">
        <v>0</v>
      </c>
      <c r="C22" s="130">
        <v>0</v>
      </c>
      <c r="D22" s="130">
        <v>0</v>
      </c>
      <c r="E22" s="130">
        <v>0</v>
      </c>
      <c r="F22" s="130">
        <v>0</v>
      </c>
      <c r="G22" s="130">
        <v>0</v>
      </c>
      <c r="H22" s="130">
        <v>0</v>
      </c>
      <c r="I22" s="130">
        <v>0</v>
      </c>
      <c r="J22" s="130">
        <v>0</v>
      </c>
      <c r="K22" s="131">
        <v>0</v>
      </c>
      <c r="L22" s="115"/>
    </row>
    <row r="23" spans="1:12" s="111" customFormat="1" ht="27.75" customHeight="1" x14ac:dyDescent="0.3">
      <c r="A23" s="118"/>
      <c r="L23" s="110"/>
    </row>
    <row r="24" spans="1:12" s="111" customFormat="1" x14ac:dyDescent="0.3">
      <c r="A24" s="118"/>
      <c r="L24" s="110"/>
    </row>
    <row r="25" spans="1:12" s="111" customFormat="1" x14ac:dyDescent="0.3">
      <c r="A25" s="132" t="s">
        <v>143</v>
      </c>
      <c r="B25" s="133"/>
      <c r="C25" s="133"/>
      <c r="D25" s="133"/>
      <c r="E25" s="133"/>
      <c r="F25" s="133"/>
      <c r="G25" s="133"/>
      <c r="H25" s="133"/>
      <c r="I25" s="133"/>
      <c r="J25" s="149"/>
      <c r="K25" s="149"/>
      <c r="L25" s="110"/>
    </row>
    <row r="26" spans="1:12" s="111" customFormat="1" x14ac:dyDescent="0.3">
      <c r="A26" s="134"/>
      <c r="B26" s="146" t="s">
        <v>144</v>
      </c>
      <c r="C26" s="150"/>
      <c r="D26" s="152" t="s">
        <v>145</v>
      </c>
      <c r="E26" s="153"/>
      <c r="F26" s="153"/>
      <c r="G26" s="153"/>
      <c r="H26" s="153"/>
      <c r="I26" s="153"/>
      <c r="J26" s="154"/>
      <c r="K26" s="158" t="s">
        <v>146</v>
      </c>
      <c r="L26" s="110"/>
    </row>
    <row r="27" spans="1:12" s="111" customFormat="1" x14ac:dyDescent="0.3">
      <c r="A27" s="118"/>
      <c r="B27" s="148"/>
      <c r="C27" s="151"/>
      <c r="D27" s="155"/>
      <c r="E27" s="156"/>
      <c r="F27" s="156"/>
      <c r="G27" s="156"/>
      <c r="H27" s="156"/>
      <c r="I27" s="156"/>
      <c r="J27" s="157"/>
      <c r="K27" s="158"/>
      <c r="L27" s="110"/>
    </row>
    <row r="28" spans="1:12" s="111" customFormat="1" x14ac:dyDescent="0.3">
      <c r="A28" s="118"/>
      <c r="B28" s="122" t="s">
        <v>147</v>
      </c>
      <c r="C28" s="123" t="s">
        <v>148</v>
      </c>
      <c r="D28" s="121" t="s">
        <v>121</v>
      </c>
      <c r="E28" s="135" t="s">
        <v>149</v>
      </c>
      <c r="F28" s="135" t="s">
        <v>150</v>
      </c>
      <c r="G28" s="135" t="s">
        <v>151</v>
      </c>
      <c r="H28" s="135" t="s">
        <v>152</v>
      </c>
      <c r="I28" s="135" t="s">
        <v>153</v>
      </c>
      <c r="J28" s="135" t="s">
        <v>154</v>
      </c>
      <c r="K28" s="158"/>
      <c r="L28" s="110"/>
    </row>
    <row r="29" spans="1:12" s="111" customFormat="1" x14ac:dyDescent="0.3">
      <c r="A29" s="124" t="s">
        <v>128</v>
      </c>
      <c r="B29" s="125">
        <v>517</v>
      </c>
      <c r="C29" s="125">
        <v>949</v>
      </c>
      <c r="D29" s="125">
        <v>223644</v>
      </c>
      <c r="E29" s="125">
        <v>2</v>
      </c>
      <c r="F29" s="125">
        <v>5</v>
      </c>
      <c r="G29" s="125">
        <v>149</v>
      </c>
      <c r="H29" s="125">
        <v>64</v>
      </c>
      <c r="I29" s="125">
        <v>648</v>
      </c>
      <c r="J29" s="125">
        <v>475</v>
      </c>
      <c r="K29" s="136">
        <v>12</v>
      </c>
      <c r="L29" s="110"/>
    </row>
    <row r="30" spans="1:12" s="111" customFormat="1" x14ac:dyDescent="0.3">
      <c r="A30" s="124" t="s">
        <v>129</v>
      </c>
      <c r="B30" s="125">
        <v>440</v>
      </c>
      <c r="C30" s="125">
        <v>943</v>
      </c>
      <c r="D30" s="125">
        <v>210404</v>
      </c>
      <c r="E30" s="125">
        <v>2</v>
      </c>
      <c r="F30" s="125">
        <v>5</v>
      </c>
      <c r="G30" s="125">
        <v>149</v>
      </c>
      <c r="H30" s="125">
        <v>64</v>
      </c>
      <c r="I30" s="125">
        <v>648</v>
      </c>
      <c r="J30" s="125">
        <v>475</v>
      </c>
      <c r="K30" s="136">
        <v>12</v>
      </c>
      <c r="L30" s="110"/>
    </row>
    <row r="31" spans="1:12" s="111" customFormat="1" x14ac:dyDescent="0.3">
      <c r="A31" s="124" t="s">
        <v>130</v>
      </c>
      <c r="B31" s="125">
        <v>0</v>
      </c>
      <c r="C31" s="125">
        <v>598</v>
      </c>
      <c r="D31" s="125">
        <v>182651</v>
      </c>
      <c r="E31" s="125">
        <v>2</v>
      </c>
      <c r="F31" s="125">
        <v>2</v>
      </c>
      <c r="G31" s="125">
        <v>102</v>
      </c>
      <c r="H31" s="125">
        <v>12</v>
      </c>
      <c r="I31" s="125">
        <v>375</v>
      </c>
      <c r="J31" s="125">
        <v>475</v>
      </c>
      <c r="K31" s="136">
        <v>12</v>
      </c>
      <c r="L31" s="110"/>
    </row>
    <row r="32" spans="1:12" s="111" customFormat="1" x14ac:dyDescent="0.3">
      <c r="A32" s="124" t="s">
        <v>131</v>
      </c>
      <c r="B32" s="136">
        <v>0</v>
      </c>
      <c r="C32" s="125">
        <v>10</v>
      </c>
      <c r="D32" s="125">
        <v>402</v>
      </c>
      <c r="E32" s="125">
        <v>0</v>
      </c>
      <c r="F32" s="125">
        <v>0</v>
      </c>
      <c r="G32" s="125">
        <v>0</v>
      </c>
      <c r="H32" s="125">
        <v>1</v>
      </c>
      <c r="I32" s="125">
        <v>56</v>
      </c>
      <c r="J32" s="125">
        <v>0</v>
      </c>
      <c r="K32" s="136">
        <v>8</v>
      </c>
      <c r="L32" s="110"/>
    </row>
    <row r="33" spans="1:12" s="111" customFormat="1" x14ac:dyDescent="0.3">
      <c r="A33" s="124" t="s">
        <v>132</v>
      </c>
      <c r="B33" s="125">
        <v>0</v>
      </c>
      <c r="C33" s="125">
        <v>2</v>
      </c>
      <c r="D33" s="125">
        <v>545</v>
      </c>
      <c r="E33" s="125">
        <v>0</v>
      </c>
      <c r="F33" s="125">
        <v>0</v>
      </c>
      <c r="G33" s="125">
        <v>6</v>
      </c>
      <c r="H33" s="125">
        <v>0</v>
      </c>
      <c r="I33" s="125">
        <v>34</v>
      </c>
      <c r="J33" s="125">
        <v>0</v>
      </c>
      <c r="K33" s="136">
        <v>4</v>
      </c>
      <c r="L33" s="110"/>
    </row>
    <row r="34" spans="1:12" s="111" customFormat="1" x14ac:dyDescent="0.3">
      <c r="A34" s="124" t="s">
        <v>133</v>
      </c>
      <c r="B34" s="125">
        <v>0</v>
      </c>
      <c r="C34" s="125">
        <v>586</v>
      </c>
      <c r="D34" s="125">
        <v>179225</v>
      </c>
      <c r="E34" s="125">
        <v>2</v>
      </c>
      <c r="F34" s="125">
        <v>2</v>
      </c>
      <c r="G34" s="125">
        <v>96</v>
      </c>
      <c r="H34" s="125">
        <v>11</v>
      </c>
      <c r="I34" s="125">
        <v>283</v>
      </c>
      <c r="J34" s="125">
        <v>473</v>
      </c>
      <c r="K34" s="136">
        <v>0</v>
      </c>
      <c r="L34" s="110"/>
    </row>
    <row r="35" spans="1:12" s="111" customFormat="1" x14ac:dyDescent="0.3">
      <c r="A35" s="124" t="s">
        <v>134</v>
      </c>
      <c r="B35" s="125">
        <v>0</v>
      </c>
      <c r="C35" s="125">
        <v>0</v>
      </c>
      <c r="D35" s="125">
        <v>2479</v>
      </c>
      <c r="E35" s="125">
        <v>0</v>
      </c>
      <c r="F35" s="125">
        <v>0</v>
      </c>
      <c r="G35" s="125">
        <v>0</v>
      </c>
      <c r="H35" s="125">
        <v>0</v>
      </c>
      <c r="I35" s="125">
        <v>2</v>
      </c>
      <c r="J35" s="125">
        <v>2</v>
      </c>
      <c r="K35" s="136">
        <v>0</v>
      </c>
      <c r="L35" s="110"/>
    </row>
    <row r="36" spans="1:12" s="111" customFormat="1" x14ac:dyDescent="0.3">
      <c r="A36" s="124" t="s">
        <v>135</v>
      </c>
      <c r="B36" s="125">
        <v>390</v>
      </c>
      <c r="C36" s="125">
        <v>323</v>
      </c>
      <c r="D36" s="125">
        <v>21258</v>
      </c>
      <c r="E36" s="125">
        <v>0</v>
      </c>
      <c r="F36" s="125">
        <v>0</v>
      </c>
      <c r="G36" s="125">
        <v>0</v>
      </c>
      <c r="H36" s="125">
        <v>17</v>
      </c>
      <c r="I36" s="125">
        <v>224</v>
      </c>
      <c r="J36" s="125">
        <v>0</v>
      </c>
      <c r="K36" s="136">
        <v>0</v>
      </c>
      <c r="L36" s="110"/>
    </row>
    <row r="37" spans="1:12" s="111" customFormat="1" x14ac:dyDescent="0.3">
      <c r="A37" s="124" t="s">
        <v>136</v>
      </c>
      <c r="B37" s="125">
        <v>322</v>
      </c>
      <c r="C37" s="125">
        <v>46</v>
      </c>
      <c r="D37" s="125">
        <v>253</v>
      </c>
      <c r="E37" s="125">
        <v>0</v>
      </c>
      <c r="F37" s="125">
        <v>0</v>
      </c>
      <c r="G37" s="125">
        <v>0</v>
      </c>
      <c r="H37" s="125">
        <v>1</v>
      </c>
      <c r="I37" s="125">
        <v>4</v>
      </c>
      <c r="J37" s="125">
        <v>0</v>
      </c>
      <c r="K37" s="136">
        <v>0</v>
      </c>
      <c r="L37" s="110"/>
    </row>
    <row r="38" spans="1:12" s="111" customFormat="1" x14ac:dyDescent="0.3">
      <c r="A38" s="124" t="s">
        <v>132</v>
      </c>
      <c r="B38" s="125">
        <v>24</v>
      </c>
      <c r="C38" s="125">
        <v>9</v>
      </c>
      <c r="D38" s="125">
        <v>247</v>
      </c>
      <c r="E38" s="125">
        <v>0</v>
      </c>
      <c r="F38" s="125">
        <v>0</v>
      </c>
      <c r="G38" s="125">
        <v>0</v>
      </c>
      <c r="H38" s="125">
        <v>1</v>
      </c>
      <c r="I38" s="125">
        <v>3</v>
      </c>
      <c r="J38" s="125">
        <v>0</v>
      </c>
      <c r="K38" s="136">
        <v>0</v>
      </c>
      <c r="L38" s="110"/>
    </row>
    <row r="39" spans="1:12" s="111" customFormat="1" x14ac:dyDescent="0.3">
      <c r="A39" s="124" t="s">
        <v>137</v>
      </c>
      <c r="B39" s="125">
        <v>44</v>
      </c>
      <c r="C39" s="125">
        <v>268</v>
      </c>
      <c r="D39" s="125">
        <v>20738</v>
      </c>
      <c r="E39" s="125">
        <v>0</v>
      </c>
      <c r="F39" s="125">
        <v>0</v>
      </c>
      <c r="G39" s="125">
        <v>0</v>
      </c>
      <c r="H39" s="125">
        <v>15</v>
      </c>
      <c r="I39" s="125">
        <v>217</v>
      </c>
      <c r="J39" s="125">
        <v>0</v>
      </c>
      <c r="K39" s="136">
        <v>0</v>
      </c>
      <c r="L39" s="110"/>
    </row>
    <row r="40" spans="1:12" s="111" customFormat="1" x14ac:dyDescent="0.3">
      <c r="A40" s="124" t="s">
        <v>134</v>
      </c>
      <c r="B40" s="125">
        <v>0</v>
      </c>
      <c r="C40" s="125">
        <v>0</v>
      </c>
      <c r="D40" s="125">
        <v>20</v>
      </c>
      <c r="E40" s="125">
        <v>0</v>
      </c>
      <c r="F40" s="125">
        <v>0</v>
      </c>
      <c r="G40" s="125">
        <v>0</v>
      </c>
      <c r="H40" s="125">
        <v>0</v>
      </c>
      <c r="I40" s="125">
        <v>0</v>
      </c>
      <c r="J40" s="125">
        <v>0</v>
      </c>
      <c r="K40" s="136">
        <v>0</v>
      </c>
      <c r="L40" s="110"/>
    </row>
    <row r="41" spans="1:12" s="111" customFormat="1" x14ac:dyDescent="0.3">
      <c r="A41" s="127" t="s">
        <v>138</v>
      </c>
      <c r="B41" s="125">
        <v>50</v>
      </c>
      <c r="C41" s="125">
        <v>22</v>
      </c>
      <c r="D41" s="125">
        <v>6495</v>
      </c>
      <c r="E41" s="125">
        <v>0</v>
      </c>
      <c r="F41" s="125">
        <v>3</v>
      </c>
      <c r="G41" s="125">
        <v>47</v>
      </c>
      <c r="H41" s="125">
        <v>35</v>
      </c>
      <c r="I41" s="125">
        <v>49</v>
      </c>
      <c r="J41" s="125">
        <v>0</v>
      </c>
      <c r="K41" s="136">
        <v>0</v>
      </c>
      <c r="L41" s="110"/>
    </row>
    <row r="42" spans="1:12" s="111" customFormat="1" x14ac:dyDescent="0.3">
      <c r="A42" s="128" t="s">
        <v>139</v>
      </c>
      <c r="B42" s="125">
        <v>0</v>
      </c>
      <c r="C42" s="125">
        <v>0</v>
      </c>
      <c r="D42" s="125">
        <v>13210</v>
      </c>
      <c r="E42" s="125">
        <v>0</v>
      </c>
      <c r="F42" s="125">
        <v>0</v>
      </c>
      <c r="G42" s="125">
        <v>0</v>
      </c>
      <c r="H42" s="125">
        <v>0</v>
      </c>
      <c r="I42" s="125">
        <v>0</v>
      </c>
      <c r="J42" s="125">
        <v>0</v>
      </c>
      <c r="K42" s="136">
        <v>0</v>
      </c>
      <c r="L42" s="110"/>
    </row>
    <row r="43" spans="1:12" s="111" customFormat="1" x14ac:dyDescent="0.3">
      <c r="A43" s="128" t="s">
        <v>140</v>
      </c>
      <c r="B43" s="125">
        <v>77</v>
      </c>
      <c r="C43" s="125">
        <v>6</v>
      </c>
      <c r="D43" s="125">
        <v>30</v>
      </c>
      <c r="E43" s="125">
        <v>0</v>
      </c>
      <c r="F43" s="125">
        <v>0</v>
      </c>
      <c r="G43" s="125">
        <v>0</v>
      </c>
      <c r="H43" s="125">
        <v>0</v>
      </c>
      <c r="I43" s="125">
        <v>0</v>
      </c>
      <c r="J43" s="125">
        <v>0</v>
      </c>
      <c r="K43" s="136">
        <v>0</v>
      </c>
      <c r="L43" s="110"/>
    </row>
    <row r="44" spans="1:12" s="111" customFormat="1" x14ac:dyDescent="0.3">
      <c r="A44" s="128" t="s">
        <v>141</v>
      </c>
      <c r="B44" s="125">
        <v>77</v>
      </c>
      <c r="C44" s="125">
        <v>6</v>
      </c>
      <c r="D44" s="125">
        <v>30</v>
      </c>
      <c r="E44" s="125">
        <v>0</v>
      </c>
      <c r="F44" s="125">
        <v>0</v>
      </c>
      <c r="G44" s="125">
        <v>0</v>
      </c>
      <c r="H44" s="125">
        <v>0</v>
      </c>
      <c r="I44" s="125">
        <v>0</v>
      </c>
      <c r="J44" s="125">
        <v>0</v>
      </c>
      <c r="K44" s="136">
        <v>0</v>
      </c>
      <c r="L44" s="110"/>
    </row>
    <row r="45" spans="1:12" s="111" customFormat="1" ht="15.45" thickBot="1" x14ac:dyDescent="0.35">
      <c r="A45" s="129" t="s">
        <v>142</v>
      </c>
      <c r="B45" s="130">
        <v>0</v>
      </c>
      <c r="C45" s="130">
        <v>0</v>
      </c>
      <c r="D45" s="130">
        <v>0</v>
      </c>
      <c r="E45" s="130">
        <v>0</v>
      </c>
      <c r="F45" s="130">
        <v>0</v>
      </c>
      <c r="G45" s="130">
        <v>0</v>
      </c>
      <c r="H45" s="130">
        <v>0</v>
      </c>
      <c r="I45" s="130">
        <v>0</v>
      </c>
      <c r="J45" s="130">
        <v>0</v>
      </c>
      <c r="K45" s="137">
        <v>0</v>
      </c>
      <c r="L45" s="110"/>
    </row>
  </sheetData>
  <mergeCells count="8">
    <mergeCell ref="A1:K1"/>
    <mergeCell ref="J2:K2"/>
    <mergeCell ref="B3:D4"/>
    <mergeCell ref="E3:K4"/>
    <mergeCell ref="J25:K25"/>
    <mergeCell ref="B26:C27"/>
    <mergeCell ref="D26:J27"/>
    <mergeCell ref="K26:K28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J22" sqref="J22"/>
    </sheetView>
  </sheetViews>
  <sheetFormatPr defaultRowHeight="15" x14ac:dyDescent="0.3"/>
  <sheetData>
    <row r="1" spans="1:4" x14ac:dyDescent="0.3">
      <c r="A1" s="138" t="s">
        <v>79</v>
      </c>
      <c r="B1" s="138"/>
      <c r="C1" s="138"/>
      <c r="D1" s="138"/>
    </row>
    <row r="2" spans="1:4" x14ac:dyDescent="0.3">
      <c r="A2" s="3"/>
      <c r="B2" s="35"/>
    </row>
    <row r="3" spans="1:4" x14ac:dyDescent="0.3">
      <c r="A3" s="159" t="s">
        <v>6</v>
      </c>
      <c r="B3" s="161" t="s">
        <v>80</v>
      </c>
      <c r="C3" s="163"/>
      <c r="D3" s="164"/>
    </row>
    <row r="4" spans="1:4" x14ac:dyDescent="0.3">
      <c r="A4" s="160"/>
      <c r="B4" s="162"/>
      <c r="C4" s="36" t="s">
        <v>81</v>
      </c>
      <c r="D4" s="37" t="s">
        <v>82</v>
      </c>
    </row>
    <row r="5" spans="1:4" x14ac:dyDescent="0.3">
      <c r="A5" s="38">
        <v>1978</v>
      </c>
      <c r="B5" s="39">
        <v>431</v>
      </c>
      <c r="C5" s="40"/>
      <c r="D5" s="41"/>
    </row>
    <row r="6" spans="1:4" x14ac:dyDescent="0.3">
      <c r="A6" s="38">
        <v>1979</v>
      </c>
      <c r="B6" s="39">
        <v>445</v>
      </c>
      <c r="C6" s="40"/>
      <c r="D6" s="41"/>
    </row>
    <row r="7" spans="1:4" x14ac:dyDescent="0.3">
      <c r="A7" s="38">
        <v>1980</v>
      </c>
      <c r="B7" s="39">
        <v>511</v>
      </c>
      <c r="C7" s="40"/>
      <c r="D7" s="41"/>
    </row>
    <row r="8" spans="1:4" x14ac:dyDescent="0.3">
      <c r="A8" s="38">
        <v>1981</v>
      </c>
      <c r="B8" s="39">
        <v>505</v>
      </c>
      <c r="C8" s="40"/>
      <c r="D8" s="41"/>
    </row>
    <row r="9" spans="1:4" x14ac:dyDescent="0.3">
      <c r="A9" s="38">
        <v>1982</v>
      </c>
      <c r="B9" s="39">
        <v>534</v>
      </c>
      <c r="C9" s="40"/>
      <c r="D9" s="41"/>
    </row>
    <row r="10" spans="1:4" x14ac:dyDescent="0.3">
      <c r="A10" s="38">
        <v>1983</v>
      </c>
      <c r="B10" s="39">
        <v>578</v>
      </c>
      <c r="C10" s="40"/>
      <c r="D10" s="41"/>
    </row>
    <row r="11" spans="1:4" x14ac:dyDescent="0.3">
      <c r="A11" s="38">
        <v>1984</v>
      </c>
      <c r="B11" s="39">
        <v>614</v>
      </c>
      <c r="C11" s="40"/>
      <c r="D11" s="41"/>
    </row>
    <row r="12" spans="1:4" x14ac:dyDescent="0.3">
      <c r="A12" s="38">
        <v>1985</v>
      </c>
      <c r="B12" s="39">
        <v>669</v>
      </c>
      <c r="C12" s="40"/>
      <c r="D12" s="41"/>
    </row>
    <row r="13" spans="1:4" x14ac:dyDescent="0.3">
      <c r="A13" s="38">
        <v>1986</v>
      </c>
      <c r="B13" s="39">
        <v>738</v>
      </c>
      <c r="C13" s="40"/>
      <c r="D13" s="41"/>
    </row>
    <row r="14" spans="1:4" x14ac:dyDescent="0.3">
      <c r="A14" s="38">
        <v>1987</v>
      </c>
      <c r="B14" s="39">
        <v>814</v>
      </c>
      <c r="C14" s="40"/>
      <c r="D14" s="41"/>
    </row>
    <row r="15" spans="1:4" x14ac:dyDescent="0.3">
      <c r="A15" s="38">
        <v>1988</v>
      </c>
      <c r="B15" s="39">
        <v>917</v>
      </c>
      <c r="C15" s="40"/>
      <c r="D15" s="41"/>
    </row>
    <row r="16" spans="1:4" x14ac:dyDescent="0.3">
      <c r="A16" s="38">
        <v>1989</v>
      </c>
      <c r="B16" s="39">
        <v>976</v>
      </c>
      <c r="C16" s="40"/>
      <c r="D16" s="41"/>
    </row>
    <row r="17" spans="1:4" x14ac:dyDescent="0.3">
      <c r="A17" s="38">
        <v>1990</v>
      </c>
      <c r="B17" s="39">
        <v>1087.3</v>
      </c>
      <c r="C17" s="40"/>
      <c r="D17" s="41"/>
    </row>
    <row r="18" spans="1:4" x14ac:dyDescent="0.3">
      <c r="A18" s="38">
        <v>1991</v>
      </c>
      <c r="B18" s="39">
        <v>1231.8</v>
      </c>
      <c r="C18" s="40"/>
      <c r="D18" s="41"/>
    </row>
    <row r="19" spans="1:4" x14ac:dyDescent="0.3">
      <c r="A19" s="38">
        <v>1992</v>
      </c>
      <c r="B19" s="39">
        <v>1422.9</v>
      </c>
      <c r="C19" s="40"/>
      <c r="D19" s="41"/>
    </row>
    <row r="20" spans="1:4" x14ac:dyDescent="0.3">
      <c r="A20" s="38">
        <v>1993</v>
      </c>
      <c r="B20" s="39">
        <v>1896</v>
      </c>
      <c r="C20" s="40"/>
      <c r="D20" s="41"/>
    </row>
    <row r="21" spans="1:4" x14ac:dyDescent="0.3">
      <c r="A21" s="38">
        <v>1994</v>
      </c>
      <c r="B21" s="39">
        <v>2707.3</v>
      </c>
      <c r="C21" s="40"/>
      <c r="D21" s="41"/>
    </row>
    <row r="22" spans="1:4" x14ac:dyDescent="0.3">
      <c r="A22" s="38">
        <v>1995</v>
      </c>
      <c r="B22" s="39">
        <v>3972.1</v>
      </c>
      <c r="C22" s="40"/>
      <c r="D22" s="41"/>
    </row>
    <row r="23" spans="1:4" x14ac:dyDescent="0.3">
      <c r="A23" s="38">
        <v>1996</v>
      </c>
      <c r="B23" s="39">
        <v>5252</v>
      </c>
      <c r="C23" s="40"/>
      <c r="D23" s="41"/>
    </row>
    <row r="24" spans="1:4" x14ac:dyDescent="0.3">
      <c r="A24" s="38">
        <v>1997</v>
      </c>
      <c r="B24" s="39">
        <v>6812.2</v>
      </c>
      <c r="C24" s="40"/>
      <c r="D24" s="41"/>
    </row>
    <row r="25" spans="1:4" x14ac:dyDescent="0.3">
      <c r="A25" s="38">
        <v>1998</v>
      </c>
      <c r="B25" s="39">
        <v>9226.5</v>
      </c>
      <c r="C25" s="40"/>
      <c r="D25" s="41"/>
    </row>
    <row r="26" spans="1:4" x14ac:dyDescent="0.3">
      <c r="A26" s="38">
        <v>1999</v>
      </c>
      <c r="B26" s="39">
        <v>14602</v>
      </c>
      <c r="C26" s="40">
        <v>1671</v>
      </c>
      <c r="D26" s="41">
        <v>12931</v>
      </c>
    </row>
    <row r="27" spans="1:4" x14ac:dyDescent="0.3">
      <c r="A27" s="38">
        <v>2000</v>
      </c>
      <c r="B27" s="39">
        <v>22079</v>
      </c>
      <c r="C27" s="40">
        <v>1891</v>
      </c>
      <c r="D27" s="41">
        <v>20188</v>
      </c>
    </row>
    <row r="28" spans="1:4" x14ac:dyDescent="0.3">
      <c r="A28" s="38">
        <v>2001</v>
      </c>
      <c r="B28" s="39">
        <v>28450</v>
      </c>
      <c r="C28" s="40">
        <v>3240</v>
      </c>
      <c r="D28" s="41">
        <v>25210</v>
      </c>
    </row>
    <row r="29" spans="1:4" x14ac:dyDescent="0.3">
      <c r="A29" s="38">
        <v>2002</v>
      </c>
      <c r="B29" s="39">
        <v>32746</v>
      </c>
      <c r="C29" s="40">
        <v>2913</v>
      </c>
      <c r="D29" s="41">
        <v>29833</v>
      </c>
    </row>
    <row r="30" spans="1:4" x14ac:dyDescent="0.3">
      <c r="A30" s="38">
        <v>2003</v>
      </c>
      <c r="B30" s="39">
        <v>41461</v>
      </c>
      <c r="C30" s="40">
        <v>2940</v>
      </c>
      <c r="D30" s="41">
        <v>38488</v>
      </c>
    </row>
    <row r="31" spans="1:4" x14ac:dyDescent="0.3">
      <c r="A31" s="38">
        <v>2004</v>
      </c>
      <c r="B31" s="39">
        <v>53110</v>
      </c>
      <c r="C31" s="40">
        <v>2789</v>
      </c>
      <c r="D31" s="41">
        <v>50321</v>
      </c>
    </row>
    <row r="32" spans="1:4" x14ac:dyDescent="0.3">
      <c r="A32" s="38">
        <v>2005</v>
      </c>
      <c r="B32" s="39">
        <v>71858</v>
      </c>
      <c r="C32" s="40">
        <v>2928</v>
      </c>
      <c r="D32" s="41">
        <v>68755</v>
      </c>
    </row>
    <row r="33" spans="1:4" x14ac:dyDescent="0.3">
      <c r="A33" s="38">
        <v>2006</v>
      </c>
      <c r="B33" s="39">
        <v>99223</v>
      </c>
      <c r="C33" s="40">
        <v>3460</v>
      </c>
      <c r="D33" s="41">
        <v>95763</v>
      </c>
    </row>
    <row r="34" spans="1:4" x14ac:dyDescent="0.3">
      <c r="A34" s="38">
        <v>2007</v>
      </c>
      <c r="B34" s="39">
        <v>155582</v>
      </c>
      <c r="C34" s="40">
        <v>4045</v>
      </c>
      <c r="D34" s="41">
        <v>151537</v>
      </c>
    </row>
    <row r="35" spans="1:4" x14ac:dyDescent="0.3">
      <c r="A35" s="38">
        <v>2008</v>
      </c>
      <c r="B35" s="39">
        <v>216822</v>
      </c>
      <c r="C35" s="40">
        <v>5025</v>
      </c>
      <c r="D35" s="41">
        <v>211979</v>
      </c>
    </row>
    <row r="36" spans="1:4" x14ac:dyDescent="0.3">
      <c r="A36" s="38">
        <v>2009</v>
      </c>
      <c r="B36" s="42">
        <v>297694</v>
      </c>
      <c r="C36" s="40">
        <v>5109</v>
      </c>
      <c r="D36" s="41">
        <v>292585</v>
      </c>
    </row>
    <row r="37" spans="1:4" x14ac:dyDescent="0.3">
      <c r="A37" s="38">
        <v>2010</v>
      </c>
      <c r="B37" s="42">
        <v>342677</v>
      </c>
      <c r="C37" s="40">
        <v>5608</v>
      </c>
      <c r="D37" s="41">
        <v>337069</v>
      </c>
    </row>
    <row r="38" spans="1:4" x14ac:dyDescent="0.3">
      <c r="A38" s="38">
        <v>2011</v>
      </c>
      <c r="B38" s="42">
        <v>118730</v>
      </c>
      <c r="C38" s="40">
        <v>5134</v>
      </c>
      <c r="D38" s="41">
        <v>113596</v>
      </c>
    </row>
    <row r="39" spans="1:4" x14ac:dyDescent="0.3">
      <c r="A39" s="38">
        <v>2012</v>
      </c>
      <c r="B39" s="42">
        <v>137554</v>
      </c>
      <c r="C39" s="40">
        <v>5225</v>
      </c>
      <c r="D39" s="41">
        <v>132329</v>
      </c>
    </row>
    <row r="40" spans="1:4" x14ac:dyDescent="0.3">
      <c r="A40" s="43">
        <v>2013</v>
      </c>
      <c r="B40" s="44">
        <v>140233</v>
      </c>
      <c r="C40" s="36">
        <v>5877</v>
      </c>
      <c r="D40" s="37">
        <v>134356</v>
      </c>
    </row>
    <row r="41" spans="1:4" x14ac:dyDescent="0.3">
      <c r="A41" s="45">
        <v>2014</v>
      </c>
      <c r="B41" s="46">
        <v>155926</v>
      </c>
      <c r="C41" s="47">
        <v>5337</v>
      </c>
      <c r="D41" s="48">
        <v>150589</v>
      </c>
    </row>
    <row r="42" spans="1:4" x14ac:dyDescent="0.3">
      <c r="A42" s="45" t="s">
        <v>16</v>
      </c>
      <c r="B42" s="46">
        <v>181400</v>
      </c>
      <c r="C42" s="49">
        <v>5463</v>
      </c>
      <c r="D42" s="20">
        <v>175936.71</v>
      </c>
    </row>
    <row r="43" spans="1:4" x14ac:dyDescent="0.3">
      <c r="A43" s="45" t="s">
        <v>114</v>
      </c>
      <c r="B43" s="46">
        <v>218754</v>
      </c>
      <c r="C43" s="98">
        <v>9856</v>
      </c>
      <c r="D43" s="16">
        <v>208898</v>
      </c>
    </row>
    <row r="44" spans="1:4" s="34" customFormat="1" ht="27.65" customHeight="1" x14ac:dyDescent="0.25">
      <c r="A44" s="165" t="s">
        <v>83</v>
      </c>
      <c r="B44" s="165"/>
      <c r="C44" s="165"/>
      <c r="D44" s="165"/>
    </row>
    <row r="45" spans="1:4" x14ac:dyDescent="0.3">
      <c r="A45" s="166" t="s">
        <v>84</v>
      </c>
      <c r="B45" s="166"/>
      <c r="C45" s="166"/>
      <c r="D45" s="166"/>
    </row>
  </sheetData>
  <mergeCells count="6">
    <mergeCell ref="A1:D1"/>
    <mergeCell ref="A3:A4"/>
    <mergeCell ref="B3:B4"/>
    <mergeCell ref="C3:D3"/>
    <mergeCell ref="A44:D44"/>
    <mergeCell ref="A45:D4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workbookViewId="0">
      <selection activeCell="H6" sqref="H6"/>
    </sheetView>
  </sheetViews>
  <sheetFormatPr defaultColWidth="9" defaultRowHeight="15" x14ac:dyDescent="0.3"/>
  <cols>
    <col min="1" max="1" width="22.7109375" style="3" customWidth="1"/>
    <col min="2" max="4" width="9" style="4" customWidth="1"/>
    <col min="5" max="5" width="14.640625" style="5" customWidth="1"/>
    <col min="9" max="9" width="22.7109375" customWidth="1"/>
    <col min="11" max="11" width="12.7109375" customWidth="1"/>
  </cols>
  <sheetData>
    <row r="1" spans="1:11" s="1" customFormat="1" ht="35.15" customHeight="1" x14ac:dyDescent="0.5">
      <c r="A1" s="141" t="s">
        <v>85</v>
      </c>
      <c r="B1" s="167"/>
      <c r="C1" s="167"/>
      <c r="D1" s="167"/>
      <c r="E1" s="167"/>
    </row>
    <row r="2" spans="1:11" s="2" customFormat="1" ht="15" customHeight="1" x14ac:dyDescent="0.3">
      <c r="A2" s="6"/>
      <c r="B2" s="7"/>
      <c r="C2" s="7"/>
      <c r="D2" s="7"/>
      <c r="E2" s="8"/>
    </row>
    <row r="3" spans="1:11" s="2" customFormat="1" ht="24" x14ac:dyDescent="0.25">
      <c r="A3" s="9"/>
      <c r="B3" s="10" t="s">
        <v>44</v>
      </c>
      <c r="C3" s="10" t="s">
        <v>106</v>
      </c>
      <c r="D3" s="10" t="s">
        <v>16</v>
      </c>
      <c r="E3" s="11" t="s">
        <v>86</v>
      </c>
    </row>
    <row r="4" spans="1:11" s="2" customFormat="1" ht="11.6" x14ac:dyDescent="0.25">
      <c r="A4" s="12"/>
      <c r="B4" s="13"/>
      <c r="C4" s="13"/>
      <c r="D4" s="13"/>
      <c r="E4" s="14"/>
    </row>
    <row r="5" spans="1:11" s="91" customFormat="1" ht="16.95" customHeight="1" x14ac:dyDescent="0.25">
      <c r="A5" s="88" t="s">
        <v>87</v>
      </c>
      <c r="B5" s="89"/>
      <c r="C5" s="89"/>
      <c r="D5" s="89"/>
      <c r="E5" s="90"/>
    </row>
    <row r="6" spans="1:11" s="91" customFormat="1" ht="15.75" customHeight="1" x14ac:dyDescent="0.25">
      <c r="A6" s="92" t="s">
        <v>107</v>
      </c>
      <c r="B6" s="98" t="s">
        <v>88</v>
      </c>
      <c r="C6" s="98">
        <v>9856.52</v>
      </c>
      <c r="D6" s="93">
        <v>7839.6</v>
      </c>
      <c r="E6" s="90">
        <f>(C6-D6)/D6*100</f>
        <v>25.727333027195264</v>
      </c>
    </row>
    <row r="7" spans="1:11" s="91" customFormat="1" ht="17.25" customHeight="1" x14ac:dyDescent="0.3">
      <c r="A7" s="97" t="s">
        <v>111</v>
      </c>
      <c r="B7" s="98" t="s">
        <v>91</v>
      </c>
      <c r="C7" s="98">
        <v>78.84</v>
      </c>
      <c r="D7" s="93">
        <v>105.72</v>
      </c>
      <c r="E7" s="90">
        <f t="shared" ref="E7:E25" si="0">(C7-D7)/D7*100</f>
        <v>-25.425652667423375</v>
      </c>
      <c r="F7" s="95"/>
      <c r="G7" s="94"/>
    </row>
    <row r="8" spans="1:11" s="91" customFormat="1" ht="16.5" customHeight="1" x14ac:dyDescent="0.3">
      <c r="A8" s="102" t="s">
        <v>113</v>
      </c>
      <c r="B8" s="98" t="s">
        <v>91</v>
      </c>
      <c r="C8" s="98">
        <v>240.44</v>
      </c>
      <c r="D8" s="93">
        <v>140.21</v>
      </c>
      <c r="E8" s="90">
        <f t="shared" si="0"/>
        <v>71.485628699807421</v>
      </c>
      <c r="G8" s="94"/>
    </row>
    <row r="9" spans="1:11" s="91" customFormat="1" ht="16.5" customHeight="1" x14ac:dyDescent="0.3">
      <c r="A9" s="97" t="s">
        <v>112</v>
      </c>
      <c r="B9" s="98" t="s">
        <v>92</v>
      </c>
      <c r="C9" s="98">
        <v>2790.69</v>
      </c>
      <c r="D9" s="93">
        <v>2721.81</v>
      </c>
      <c r="E9" s="90">
        <f t="shared" si="0"/>
        <v>2.5306689298665268</v>
      </c>
      <c r="G9" s="94"/>
      <c r="I9" s="96"/>
      <c r="K9" s="96"/>
    </row>
    <row r="10" spans="1:11" s="99" customFormat="1" ht="15.75" customHeight="1" x14ac:dyDescent="0.3">
      <c r="A10" s="97" t="s">
        <v>108</v>
      </c>
      <c r="B10" s="98" t="s">
        <v>89</v>
      </c>
      <c r="C10" s="98">
        <v>125</v>
      </c>
      <c r="D10" s="98">
        <v>122</v>
      </c>
      <c r="E10" s="109">
        <f t="shared" si="0"/>
        <v>2.459016393442623</v>
      </c>
    </row>
    <row r="11" spans="1:11" s="99" customFormat="1" ht="17.25" customHeight="1" x14ac:dyDescent="0.3">
      <c r="A11" s="97" t="s">
        <v>109</v>
      </c>
      <c r="B11" s="98" t="s">
        <v>90</v>
      </c>
      <c r="C11" s="98">
        <v>70</v>
      </c>
      <c r="D11" s="98">
        <v>70</v>
      </c>
      <c r="E11" s="109">
        <f t="shared" si="0"/>
        <v>0</v>
      </c>
      <c r="G11" s="100"/>
    </row>
    <row r="12" spans="1:11" s="99" customFormat="1" ht="18.75" customHeight="1" x14ac:dyDescent="0.3">
      <c r="A12" s="97" t="s">
        <v>110</v>
      </c>
      <c r="B12" s="98" t="s">
        <v>30</v>
      </c>
      <c r="C12" s="98">
        <v>6203</v>
      </c>
      <c r="D12" s="98">
        <v>6323</v>
      </c>
      <c r="E12" s="109">
        <f t="shared" si="0"/>
        <v>-1.8978333069745372</v>
      </c>
      <c r="G12" s="101"/>
    </row>
    <row r="13" spans="1:11" s="2" customFormat="1" ht="21.65" customHeight="1" x14ac:dyDescent="0.25">
      <c r="A13" s="15" t="s">
        <v>93</v>
      </c>
      <c r="B13" s="16"/>
      <c r="C13" s="16"/>
      <c r="D13" s="16"/>
      <c r="E13" s="109"/>
      <c r="G13" s="18"/>
    </row>
    <row r="14" spans="1:11" s="2" customFormat="1" ht="16.5" customHeight="1" x14ac:dyDescent="0.25">
      <c r="A14" s="19" t="s">
        <v>94</v>
      </c>
      <c r="B14" s="16" t="s">
        <v>88</v>
      </c>
      <c r="C14" s="16">
        <v>208898</v>
      </c>
      <c r="D14" s="20">
        <v>175936.71</v>
      </c>
      <c r="E14" s="109">
        <f t="shared" si="0"/>
        <v>18.734742737885693</v>
      </c>
      <c r="G14" s="18"/>
    </row>
    <row r="15" spans="1:11" s="2" customFormat="1" ht="19.5" customHeight="1" x14ac:dyDescent="0.25">
      <c r="A15" s="19" t="s">
        <v>95</v>
      </c>
      <c r="B15" s="16" t="s">
        <v>88</v>
      </c>
      <c r="C15" s="16">
        <v>113201</v>
      </c>
      <c r="D15" s="21">
        <v>106421.25</v>
      </c>
      <c r="E15" s="109">
        <f t="shared" si="0"/>
        <v>6.3706731503341674</v>
      </c>
      <c r="G15" s="18"/>
    </row>
    <row r="16" spans="1:11" s="2" customFormat="1" ht="19.5" customHeight="1" x14ac:dyDescent="0.25">
      <c r="A16" s="19" t="s">
        <v>96</v>
      </c>
      <c r="B16" s="16" t="s">
        <v>88</v>
      </c>
      <c r="C16" s="16">
        <v>13141</v>
      </c>
      <c r="D16" s="21">
        <v>12353.888612999999</v>
      </c>
      <c r="E16" s="109">
        <f t="shared" si="0"/>
        <v>6.3713654190772235</v>
      </c>
      <c r="G16" s="17"/>
    </row>
    <row r="17" spans="1:11" s="2" customFormat="1" ht="19.5" customHeight="1" x14ac:dyDescent="0.25">
      <c r="A17" s="19" t="s">
        <v>97</v>
      </c>
      <c r="B17" s="16" t="s">
        <v>88</v>
      </c>
      <c r="C17" s="16">
        <v>94092</v>
      </c>
      <c r="D17" s="21">
        <v>88539.54</v>
      </c>
      <c r="E17" s="109">
        <f t="shared" si="0"/>
        <v>6.2711642730468293</v>
      </c>
      <c r="G17" s="18"/>
    </row>
    <row r="18" spans="1:11" s="2" customFormat="1" ht="17.25" customHeight="1" x14ac:dyDescent="0.25">
      <c r="A18" s="19" t="s">
        <v>98</v>
      </c>
      <c r="B18" s="22" t="s">
        <v>25</v>
      </c>
      <c r="C18" s="22">
        <v>145.1</v>
      </c>
      <c r="D18" s="22">
        <v>133.94</v>
      </c>
      <c r="E18" s="109">
        <f t="shared" si="0"/>
        <v>8.332088995072418</v>
      </c>
      <c r="G18" s="18"/>
    </row>
    <row r="19" spans="1:11" s="2" customFormat="1" ht="19.5" customHeight="1" x14ac:dyDescent="0.25">
      <c r="A19" s="23" t="s">
        <v>99</v>
      </c>
      <c r="B19" s="22" t="s">
        <v>25</v>
      </c>
      <c r="C19" s="22">
        <v>17.010000000000002</v>
      </c>
      <c r="D19" s="22">
        <v>50.579999999999991</v>
      </c>
      <c r="E19" s="109">
        <f t="shared" si="0"/>
        <v>-66.370106761565836</v>
      </c>
      <c r="G19" s="17"/>
    </row>
    <row r="20" spans="1:11" s="106" customFormat="1" ht="19.5" customHeight="1" x14ac:dyDescent="0.3">
      <c r="A20" s="104" t="s">
        <v>100</v>
      </c>
      <c r="B20" s="105" t="s">
        <v>25</v>
      </c>
      <c r="C20" s="105">
        <v>71.03</v>
      </c>
      <c r="D20" s="105">
        <v>44.849999999999994</v>
      </c>
      <c r="E20" s="109">
        <f t="shared" si="0"/>
        <v>58.372352285395792</v>
      </c>
      <c r="G20" s="107"/>
      <c r="I20" s="108"/>
      <c r="K20" s="108"/>
    </row>
    <row r="21" spans="1:11" s="2" customFormat="1" ht="19.5" customHeight="1" x14ac:dyDescent="0.25">
      <c r="A21" s="19" t="s">
        <v>101</v>
      </c>
      <c r="B21" s="22" t="s">
        <v>102</v>
      </c>
      <c r="C21" s="22">
        <v>8.5</v>
      </c>
      <c r="D21" s="24">
        <v>9.5</v>
      </c>
      <c r="E21" s="109">
        <f t="shared" si="0"/>
        <v>-10.526315789473683</v>
      </c>
      <c r="G21" s="18"/>
    </row>
    <row r="22" spans="1:11" s="2" customFormat="1" ht="19.5" customHeight="1" x14ac:dyDescent="0.25">
      <c r="A22" s="19"/>
      <c r="B22" s="22"/>
      <c r="C22" s="22"/>
      <c r="D22" s="24"/>
      <c r="E22" s="109"/>
      <c r="G22" s="18"/>
    </row>
    <row r="23" spans="1:11" s="2" customFormat="1" ht="19.5" customHeight="1" x14ac:dyDescent="0.25">
      <c r="A23" s="19"/>
      <c r="B23" s="22"/>
      <c r="C23" s="22"/>
      <c r="D23" s="24"/>
      <c r="E23" s="109"/>
      <c r="G23" s="18"/>
    </row>
    <row r="24" spans="1:11" s="2" customFormat="1" ht="16.5" customHeight="1" x14ac:dyDescent="0.25">
      <c r="A24" s="25" t="s">
        <v>103</v>
      </c>
      <c r="B24" s="26" t="s">
        <v>102</v>
      </c>
      <c r="C24" s="26">
        <v>18.79</v>
      </c>
      <c r="D24" s="27">
        <v>15.5564</v>
      </c>
      <c r="E24" s="109">
        <f t="shared" si="0"/>
        <v>20.786300172276356</v>
      </c>
    </row>
    <row r="25" spans="1:11" s="2" customFormat="1" ht="14.15" x14ac:dyDescent="0.25">
      <c r="A25" s="28" t="s">
        <v>104</v>
      </c>
      <c r="B25" s="29" t="s">
        <v>105</v>
      </c>
      <c r="C25" s="29">
        <v>2.98</v>
      </c>
      <c r="D25" s="103">
        <v>2.81</v>
      </c>
      <c r="E25" s="90">
        <f t="shared" si="0"/>
        <v>6.0498220640569365</v>
      </c>
    </row>
    <row r="26" spans="1:11" s="2" customFormat="1" ht="12" x14ac:dyDescent="0.3">
      <c r="A26" s="30"/>
      <c r="B26" s="31"/>
      <c r="C26" s="31"/>
      <c r="D26" s="31"/>
      <c r="E26" s="32"/>
    </row>
    <row r="27" spans="1:11" s="2" customFormat="1" ht="18" customHeight="1" x14ac:dyDescent="0.25">
      <c r="A27" s="33"/>
      <c r="B27" s="31"/>
      <c r="C27" s="31"/>
      <c r="D27" s="31"/>
      <c r="E27" s="32"/>
    </row>
    <row r="28" spans="1:11" s="2" customFormat="1" ht="11.6" x14ac:dyDescent="0.25">
      <c r="A28" s="33"/>
      <c r="B28" s="31"/>
      <c r="C28" s="31"/>
      <c r="D28" s="31"/>
      <c r="E28" s="32"/>
    </row>
    <row r="29" spans="1:11" s="2" customFormat="1" ht="11.6" x14ac:dyDescent="0.25">
      <c r="A29" s="33"/>
      <c r="B29" s="31"/>
      <c r="C29" s="31"/>
      <c r="D29" s="31"/>
      <c r="E29" s="32"/>
    </row>
    <row r="30" spans="1:11" s="2" customFormat="1" ht="11.6" x14ac:dyDescent="0.25">
      <c r="A30" s="33"/>
      <c r="B30" s="31"/>
      <c r="C30" s="31"/>
      <c r="D30" s="31"/>
      <c r="E30" s="32"/>
    </row>
    <row r="31" spans="1:11" s="2" customFormat="1" ht="11.6" x14ac:dyDescent="0.25">
      <c r="A31" s="33"/>
      <c r="B31" s="31"/>
      <c r="C31" s="31"/>
      <c r="D31" s="31"/>
      <c r="E31" s="32"/>
    </row>
    <row r="32" spans="1:11" s="2" customFormat="1" ht="11.6" x14ac:dyDescent="0.25">
      <c r="A32" s="33"/>
      <c r="B32" s="31"/>
      <c r="C32" s="31"/>
      <c r="D32" s="31"/>
      <c r="E32" s="32"/>
    </row>
    <row r="33" spans="1:5" s="2" customFormat="1" ht="11.6" x14ac:dyDescent="0.25">
      <c r="A33" s="33"/>
      <c r="B33" s="31"/>
      <c r="C33" s="31"/>
      <c r="D33" s="31"/>
      <c r="E33" s="32"/>
    </row>
    <row r="34" spans="1:5" s="2" customFormat="1" ht="11.6" x14ac:dyDescent="0.25">
      <c r="A34" s="33"/>
      <c r="B34" s="31"/>
      <c r="C34" s="31"/>
      <c r="D34" s="31"/>
      <c r="E34" s="32"/>
    </row>
    <row r="35" spans="1:5" s="2" customFormat="1" ht="11.6" x14ac:dyDescent="0.25">
      <c r="A35" s="33"/>
      <c r="B35" s="31"/>
      <c r="C35" s="31"/>
      <c r="D35" s="31"/>
      <c r="E35" s="32"/>
    </row>
    <row r="36" spans="1:5" s="2" customFormat="1" ht="11.6" x14ac:dyDescent="0.25">
      <c r="A36" s="33"/>
      <c r="B36" s="31"/>
      <c r="C36" s="31"/>
      <c r="D36" s="31"/>
      <c r="E36" s="32"/>
    </row>
    <row r="37" spans="1:5" s="2" customFormat="1" ht="11.6" x14ac:dyDescent="0.25">
      <c r="A37" s="33"/>
      <c r="B37" s="31"/>
      <c r="C37" s="31"/>
      <c r="D37" s="31"/>
      <c r="E37" s="32"/>
    </row>
    <row r="38" spans="1:5" s="2" customFormat="1" ht="11.6" x14ac:dyDescent="0.25">
      <c r="A38" s="33"/>
      <c r="B38" s="31"/>
      <c r="C38" s="31"/>
      <c r="D38" s="31"/>
      <c r="E38" s="32"/>
    </row>
    <row r="39" spans="1:5" s="2" customFormat="1" ht="11.6" x14ac:dyDescent="0.25">
      <c r="A39" s="33"/>
      <c r="B39" s="31"/>
      <c r="C39" s="31"/>
      <c r="D39" s="31"/>
      <c r="E39" s="32"/>
    </row>
    <row r="40" spans="1:5" s="2" customFormat="1" ht="11.6" x14ac:dyDescent="0.25">
      <c r="A40" s="33"/>
      <c r="B40" s="31"/>
      <c r="C40" s="31"/>
      <c r="D40" s="31"/>
      <c r="E40" s="32"/>
    </row>
    <row r="41" spans="1:5" s="2" customFormat="1" ht="11.6" x14ac:dyDescent="0.25">
      <c r="A41" s="33"/>
      <c r="B41" s="31"/>
      <c r="C41" s="31"/>
      <c r="D41" s="31"/>
      <c r="E41" s="32"/>
    </row>
    <row r="42" spans="1:5" s="2" customFormat="1" ht="11.6" x14ac:dyDescent="0.25">
      <c r="A42" s="33"/>
      <c r="B42" s="31"/>
      <c r="C42" s="31"/>
      <c r="D42" s="31"/>
      <c r="E42" s="32"/>
    </row>
    <row r="43" spans="1:5" s="2" customFormat="1" ht="11.6" x14ac:dyDescent="0.25">
      <c r="A43" s="33"/>
      <c r="B43" s="31"/>
      <c r="C43" s="31"/>
      <c r="D43" s="31"/>
      <c r="E43" s="32"/>
    </row>
    <row r="44" spans="1:5" s="2" customFormat="1" ht="11.6" x14ac:dyDescent="0.25">
      <c r="A44" s="33"/>
      <c r="B44" s="31"/>
      <c r="C44" s="31"/>
      <c r="D44" s="31"/>
      <c r="E44" s="32"/>
    </row>
    <row r="45" spans="1:5" s="2" customFormat="1" ht="11.6" x14ac:dyDescent="0.25">
      <c r="A45" s="33"/>
      <c r="B45" s="31"/>
      <c r="C45" s="31"/>
      <c r="D45" s="31"/>
      <c r="E45" s="32"/>
    </row>
    <row r="46" spans="1:5" s="2" customFormat="1" ht="11.6" x14ac:dyDescent="0.25">
      <c r="A46" s="33"/>
      <c r="B46" s="31"/>
      <c r="C46" s="31"/>
      <c r="D46" s="31"/>
      <c r="E46" s="32"/>
    </row>
    <row r="47" spans="1:5" s="2" customFormat="1" ht="11.6" x14ac:dyDescent="0.25">
      <c r="A47" s="33"/>
      <c r="B47" s="31"/>
      <c r="C47" s="31"/>
      <c r="D47" s="31"/>
      <c r="E47" s="32"/>
    </row>
    <row r="48" spans="1:5" s="2" customFormat="1" ht="11.6" x14ac:dyDescent="0.25">
      <c r="A48" s="33"/>
      <c r="B48" s="31"/>
      <c r="C48" s="31"/>
      <c r="D48" s="31"/>
      <c r="E48" s="32"/>
    </row>
    <row r="49" spans="1:5" s="2" customFormat="1" ht="11.6" x14ac:dyDescent="0.25">
      <c r="A49" s="33"/>
      <c r="B49" s="31"/>
      <c r="C49" s="31"/>
      <c r="D49" s="31"/>
      <c r="E49" s="32"/>
    </row>
    <row r="50" spans="1:5" s="2" customFormat="1" ht="11.6" x14ac:dyDescent="0.25">
      <c r="A50" s="33"/>
      <c r="B50" s="31"/>
      <c r="C50" s="31"/>
      <c r="D50" s="31"/>
      <c r="E50" s="32"/>
    </row>
    <row r="51" spans="1:5" s="2" customFormat="1" ht="11.6" x14ac:dyDescent="0.25">
      <c r="A51" s="33"/>
      <c r="B51" s="31"/>
      <c r="C51" s="31"/>
      <c r="D51" s="31"/>
      <c r="E51" s="32"/>
    </row>
    <row r="52" spans="1:5" s="2" customFormat="1" ht="11.6" x14ac:dyDescent="0.25">
      <c r="A52" s="33"/>
      <c r="B52" s="31"/>
      <c r="C52" s="31"/>
      <c r="D52" s="31"/>
      <c r="E52" s="32"/>
    </row>
    <row r="53" spans="1:5" s="2" customFormat="1" ht="11.6" x14ac:dyDescent="0.25">
      <c r="A53" s="33"/>
      <c r="B53" s="31"/>
      <c r="C53" s="31"/>
      <c r="D53" s="31"/>
      <c r="E53" s="32"/>
    </row>
    <row r="54" spans="1:5" s="2" customFormat="1" ht="11.6" x14ac:dyDescent="0.25">
      <c r="A54" s="33"/>
      <c r="B54" s="31"/>
      <c r="C54" s="31"/>
      <c r="D54" s="31"/>
      <c r="E54" s="32"/>
    </row>
    <row r="55" spans="1:5" s="2" customFormat="1" ht="11.6" x14ac:dyDescent="0.25">
      <c r="A55" s="33"/>
      <c r="B55" s="31"/>
      <c r="C55" s="31"/>
      <c r="D55" s="31"/>
      <c r="E55" s="32"/>
    </row>
    <row r="56" spans="1:5" s="2" customFormat="1" ht="11.6" x14ac:dyDescent="0.25">
      <c r="A56" s="33"/>
      <c r="B56" s="31"/>
      <c r="C56" s="31"/>
      <c r="D56" s="31"/>
      <c r="E56" s="32"/>
    </row>
    <row r="57" spans="1:5" s="2" customFormat="1" ht="11.6" x14ac:dyDescent="0.25">
      <c r="A57" s="33"/>
      <c r="B57" s="31"/>
      <c r="C57" s="31"/>
      <c r="D57" s="31"/>
      <c r="E57" s="32"/>
    </row>
    <row r="58" spans="1:5" s="2" customFormat="1" ht="11.6" x14ac:dyDescent="0.25">
      <c r="A58" s="33"/>
      <c r="B58" s="31"/>
      <c r="C58" s="31"/>
      <c r="D58" s="31"/>
      <c r="E58" s="32"/>
    </row>
    <row r="59" spans="1:5" s="2" customFormat="1" ht="11.6" x14ac:dyDescent="0.25">
      <c r="A59" s="33"/>
      <c r="B59" s="31"/>
      <c r="C59" s="31"/>
      <c r="D59" s="31"/>
      <c r="E59" s="32"/>
    </row>
    <row r="60" spans="1:5" s="2" customFormat="1" ht="11.6" x14ac:dyDescent="0.25">
      <c r="A60" s="33"/>
      <c r="B60" s="31"/>
      <c r="C60" s="31"/>
      <c r="D60" s="31"/>
      <c r="E60" s="32"/>
    </row>
    <row r="61" spans="1:5" s="2" customFormat="1" ht="11.6" x14ac:dyDescent="0.25">
      <c r="A61" s="33"/>
      <c r="B61" s="31"/>
      <c r="C61" s="31"/>
      <c r="D61" s="31"/>
      <c r="E61" s="32"/>
    </row>
    <row r="62" spans="1:5" s="2" customFormat="1" ht="11.6" x14ac:dyDescent="0.25">
      <c r="A62" s="33"/>
      <c r="B62" s="31"/>
      <c r="C62" s="31"/>
      <c r="D62" s="31"/>
      <c r="E62" s="32"/>
    </row>
    <row r="63" spans="1:5" s="2" customFormat="1" ht="11.6" x14ac:dyDescent="0.25">
      <c r="A63" s="33"/>
      <c r="B63" s="31"/>
      <c r="C63" s="31"/>
      <c r="D63" s="31"/>
      <c r="E63" s="32"/>
    </row>
    <row r="64" spans="1:5" s="2" customFormat="1" ht="11.6" x14ac:dyDescent="0.25">
      <c r="A64" s="33"/>
      <c r="B64" s="31"/>
      <c r="C64" s="31"/>
      <c r="D64" s="31"/>
      <c r="E64" s="32"/>
    </row>
    <row r="65" spans="1:5" s="2" customFormat="1" ht="11.6" x14ac:dyDescent="0.25">
      <c r="A65" s="33"/>
      <c r="B65" s="31"/>
      <c r="C65" s="31"/>
      <c r="D65" s="31"/>
      <c r="E65" s="32"/>
    </row>
    <row r="66" spans="1:5" s="2" customFormat="1" ht="11.6" x14ac:dyDescent="0.25">
      <c r="A66" s="33"/>
      <c r="B66" s="31"/>
      <c r="C66" s="31"/>
      <c r="D66" s="31"/>
      <c r="E66" s="32"/>
    </row>
    <row r="67" spans="1:5" s="2" customFormat="1" ht="11.6" x14ac:dyDescent="0.25">
      <c r="A67" s="33"/>
      <c r="B67" s="31"/>
      <c r="C67" s="31"/>
      <c r="D67" s="31"/>
      <c r="E67" s="32"/>
    </row>
    <row r="68" spans="1:5" s="2" customFormat="1" ht="11.6" x14ac:dyDescent="0.25">
      <c r="A68" s="33"/>
      <c r="B68" s="31"/>
      <c r="C68" s="31"/>
      <c r="D68" s="31"/>
      <c r="E68" s="32"/>
    </row>
    <row r="69" spans="1:5" s="2" customFormat="1" ht="11.6" x14ac:dyDescent="0.25">
      <c r="A69" s="33"/>
      <c r="B69" s="31"/>
      <c r="C69" s="31"/>
      <c r="D69" s="31"/>
      <c r="E69" s="32"/>
    </row>
    <row r="70" spans="1:5" s="2" customFormat="1" ht="11.6" x14ac:dyDescent="0.25">
      <c r="A70" s="33"/>
      <c r="B70" s="31"/>
      <c r="C70" s="31"/>
      <c r="D70" s="31"/>
      <c r="E70" s="32"/>
    </row>
    <row r="71" spans="1:5" s="2" customFormat="1" ht="11.6" x14ac:dyDescent="0.25">
      <c r="A71" s="33"/>
      <c r="B71" s="31"/>
      <c r="C71" s="31"/>
      <c r="D71" s="31"/>
      <c r="E71" s="32"/>
    </row>
    <row r="72" spans="1:5" s="2" customFormat="1" ht="11.6" x14ac:dyDescent="0.25">
      <c r="A72" s="33"/>
      <c r="B72" s="31"/>
      <c r="C72" s="31"/>
      <c r="D72" s="31"/>
      <c r="E72" s="32"/>
    </row>
    <row r="73" spans="1:5" s="2" customFormat="1" ht="11.6" x14ac:dyDescent="0.25">
      <c r="A73" s="33"/>
      <c r="B73" s="31"/>
      <c r="C73" s="31"/>
      <c r="D73" s="31"/>
      <c r="E73" s="32"/>
    </row>
    <row r="74" spans="1:5" s="2" customFormat="1" ht="11.6" x14ac:dyDescent="0.25">
      <c r="A74" s="33"/>
      <c r="B74" s="31"/>
      <c r="C74" s="31"/>
      <c r="D74" s="31"/>
      <c r="E74" s="32"/>
    </row>
    <row r="75" spans="1:5" s="2" customFormat="1" ht="11.6" x14ac:dyDescent="0.25">
      <c r="A75" s="33"/>
      <c r="B75" s="31"/>
      <c r="C75" s="31"/>
      <c r="D75" s="31"/>
      <c r="E75" s="32"/>
    </row>
    <row r="76" spans="1:5" s="2" customFormat="1" ht="11.6" x14ac:dyDescent="0.25">
      <c r="A76" s="33"/>
      <c r="B76" s="31"/>
      <c r="C76" s="31"/>
      <c r="D76" s="31"/>
      <c r="E76" s="32"/>
    </row>
    <row r="77" spans="1:5" s="2" customFormat="1" ht="11.6" x14ac:dyDescent="0.25">
      <c r="A77" s="33"/>
      <c r="B77" s="31"/>
      <c r="C77" s="31"/>
      <c r="D77" s="31"/>
      <c r="E77" s="32"/>
    </row>
    <row r="78" spans="1:5" s="2" customFormat="1" ht="11.6" x14ac:dyDescent="0.25">
      <c r="A78" s="33"/>
      <c r="B78" s="31"/>
      <c r="C78" s="31"/>
      <c r="D78" s="31"/>
      <c r="E78" s="32"/>
    </row>
    <row r="79" spans="1:5" s="2" customFormat="1" ht="11.6" x14ac:dyDescent="0.25">
      <c r="A79" s="33"/>
      <c r="B79" s="31"/>
      <c r="C79" s="31"/>
      <c r="D79" s="31"/>
      <c r="E79" s="32"/>
    </row>
    <row r="80" spans="1:5" s="2" customFormat="1" ht="11.6" x14ac:dyDescent="0.25">
      <c r="A80" s="33"/>
      <c r="B80" s="31"/>
      <c r="C80" s="31"/>
      <c r="D80" s="31"/>
      <c r="E80" s="32"/>
    </row>
    <row r="81" spans="1:11" s="2" customFormat="1" ht="11.6" x14ac:dyDescent="0.25">
      <c r="A81" s="33"/>
      <c r="B81" s="31"/>
      <c r="C81" s="31"/>
      <c r="D81" s="31"/>
      <c r="E81" s="32"/>
    </row>
    <row r="82" spans="1:11" s="2" customFormat="1" ht="11.6" x14ac:dyDescent="0.25">
      <c r="A82" s="33"/>
      <c r="B82" s="31"/>
      <c r="C82" s="31"/>
      <c r="D82" s="31"/>
      <c r="E82" s="32"/>
    </row>
    <row r="83" spans="1:11" s="2" customFormat="1" ht="11.6" x14ac:dyDescent="0.25">
      <c r="A83" s="33"/>
      <c r="B83" s="31"/>
      <c r="C83" s="31"/>
      <c r="D83" s="31"/>
      <c r="E83" s="32"/>
    </row>
    <row r="84" spans="1:11" s="2" customFormat="1" ht="11.6" x14ac:dyDescent="0.25">
      <c r="A84" s="33"/>
      <c r="B84" s="31"/>
      <c r="C84" s="31"/>
      <c r="D84" s="31"/>
      <c r="E84" s="32"/>
    </row>
    <row r="85" spans="1:11" s="2" customFormat="1" x14ac:dyDescent="0.3">
      <c r="A85" s="3"/>
      <c r="B85" s="4"/>
      <c r="C85" s="4"/>
      <c r="D85" s="4"/>
      <c r="E85" s="5"/>
    </row>
    <row r="86" spans="1:11" s="2" customFormat="1" x14ac:dyDescent="0.3">
      <c r="A86" s="3"/>
      <c r="B86" s="4"/>
      <c r="C86" s="4"/>
      <c r="D86" s="4"/>
      <c r="E86" s="5"/>
    </row>
    <row r="87" spans="1:11" s="2" customFormat="1" x14ac:dyDescent="0.3">
      <c r="A87" s="3"/>
      <c r="B87" s="4"/>
      <c r="C87" s="4"/>
      <c r="D87" s="4"/>
      <c r="E87" s="5"/>
      <c r="F87"/>
    </row>
    <row r="88" spans="1:11" s="2" customFormat="1" x14ac:dyDescent="0.3">
      <c r="A88" s="3"/>
      <c r="B88" s="4"/>
      <c r="C88" s="4"/>
      <c r="D88" s="4"/>
      <c r="E88" s="5"/>
      <c r="F88"/>
    </row>
    <row r="89" spans="1:11" s="2" customFormat="1" x14ac:dyDescent="0.3">
      <c r="A89" s="3"/>
      <c r="B89" s="4"/>
      <c r="C89" s="4"/>
      <c r="D89" s="4"/>
      <c r="E89" s="5"/>
      <c r="F89"/>
    </row>
    <row r="90" spans="1:11" s="2" customFormat="1" x14ac:dyDescent="0.3">
      <c r="A90" s="3"/>
      <c r="B90" s="4"/>
      <c r="C90" s="4"/>
      <c r="D90" s="4"/>
      <c r="E90" s="5"/>
      <c r="F90"/>
    </row>
    <row r="91" spans="1:11" s="2" customFormat="1" x14ac:dyDescent="0.3">
      <c r="A91" s="3"/>
      <c r="B91" s="4"/>
      <c r="C91" s="4"/>
      <c r="D91" s="4"/>
      <c r="E91" s="5"/>
      <c r="F91"/>
    </row>
    <row r="92" spans="1:11" s="2" customFormat="1" x14ac:dyDescent="0.3">
      <c r="A92" s="3"/>
      <c r="B92" s="4"/>
      <c r="C92" s="4"/>
      <c r="D92" s="4"/>
      <c r="E92" s="5"/>
      <c r="F92"/>
    </row>
    <row r="93" spans="1:11" s="2" customFormat="1" x14ac:dyDescent="0.3">
      <c r="A93" s="3"/>
      <c r="B93" s="4"/>
      <c r="C93" s="4"/>
      <c r="D93" s="4"/>
      <c r="E93" s="5"/>
      <c r="F93"/>
    </row>
    <row r="94" spans="1:11" s="2" customFormat="1" x14ac:dyDescent="0.3">
      <c r="A94" s="3"/>
      <c r="B94" s="4"/>
      <c r="C94" s="4"/>
      <c r="D94" s="4"/>
      <c r="E94" s="5"/>
      <c r="F94"/>
      <c r="I94"/>
      <c r="J94"/>
      <c r="K94"/>
    </row>
  </sheetData>
  <mergeCells count="1">
    <mergeCell ref="A1:E1"/>
  </mergeCells>
  <phoneticPr fontId="11" type="noConversion"/>
  <pageMargins left="0.67" right="0.63" top="0.83" bottom="0.63" header="0.51" footer="0.51"/>
  <pageSetup paperSize="256" orientation="portrait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10-1</vt:lpstr>
      <vt:lpstr>10-1续</vt:lpstr>
      <vt:lpstr>10-2</vt:lpstr>
      <vt:lpstr>10-3</vt:lpstr>
      <vt:lpstr>10-4</vt:lpstr>
      <vt:lpstr>10-5</vt:lpstr>
      <vt:lpstr>10-6</vt:lpstr>
    </vt:vector>
  </TitlesOfParts>
  <Manager/>
  <Company>番茄花园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番茄花园</dc:creator>
  <cp:keywords/>
  <dc:description/>
  <cp:lastModifiedBy>亦哲君</cp:lastModifiedBy>
  <cp:revision>1</cp:revision>
  <dcterms:created xsi:type="dcterms:W3CDTF">2007-12-12T02:57:12Z</dcterms:created>
  <dcterms:modified xsi:type="dcterms:W3CDTF">2025-03-30T13:10:42Z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