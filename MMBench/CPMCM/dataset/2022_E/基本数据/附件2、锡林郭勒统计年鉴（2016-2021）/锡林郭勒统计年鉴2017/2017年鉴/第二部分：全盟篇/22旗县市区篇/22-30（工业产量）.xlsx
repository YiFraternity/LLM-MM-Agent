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AE945AE5-BB3B-44BE-BD88-788A695750B1}" xr6:coauthVersionLast="36" xr6:coauthVersionMax="36" xr10:uidLastSave="{00000000-0000-0000-0000-000000000000}"/>
  <bookViews>
    <workbookView xWindow="32769" yWindow="32769" windowWidth="19414" windowHeight="10371"/>
  </bookViews>
  <sheets>
    <sheet name="30及续1" sheetId="1" r:id="rId1"/>
    <sheet name="续2续3" sheetId="2" r:id="rId2"/>
    <sheet name="续4续5" sheetId="4" r:id="rId3"/>
  </sheets>
  <calcPr calcId="191029"/>
</workbook>
</file>

<file path=xl/calcChain.xml><?xml version="1.0" encoding="utf-8"?>
<calcChain xmlns="http://schemas.openxmlformats.org/spreadsheetml/2006/main">
  <c r="D3" i="1" l="1"/>
  <c r="E3" i="1"/>
  <c r="F3" i="1"/>
  <c r="B22" i="1"/>
  <c r="C22" i="1"/>
  <c r="D22" i="1"/>
  <c r="E22" i="1"/>
  <c r="B3" i="2"/>
  <c r="C3" i="2"/>
  <c r="D3" i="2"/>
  <c r="E3" i="2"/>
  <c r="B23" i="2"/>
  <c r="C23" i="2"/>
  <c r="D23" i="2"/>
  <c r="E23" i="2"/>
  <c r="F23" i="2"/>
  <c r="B3" i="4"/>
  <c r="C3" i="4"/>
  <c r="D3" i="4"/>
  <c r="E3" i="4"/>
  <c r="F3" i="4"/>
  <c r="B22" i="4"/>
  <c r="C22" i="4"/>
  <c r="D22" i="4"/>
  <c r="E22" i="4"/>
</calcChain>
</file>

<file path=xl/sharedStrings.xml><?xml version="1.0" encoding="utf-8"?>
<sst xmlns="http://schemas.openxmlformats.org/spreadsheetml/2006/main" count="118" uniqueCount="48">
  <si>
    <r>
      <t xml:space="preserve">22-30 </t>
    </r>
    <r>
      <rPr>
        <sz val="16"/>
        <rFont val="宋体"/>
        <charset val="134"/>
      </rPr>
      <t>主要工业产品产量</t>
    </r>
  </si>
  <si>
    <r>
      <t>原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煤</t>
    </r>
    <r>
      <rPr>
        <sz val="9"/>
        <rFont val="Times New Roman"/>
        <family val="1"/>
      </rPr>
      <t xml:space="preserve">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</si>
  <si>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t>天然原油</t>
    </r>
    <r>
      <rPr>
        <sz val="9"/>
        <rFont val="Times New Roman"/>
        <family val="1"/>
      </rPr>
      <t xml:space="preserve">   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</si>
  <si>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t>铁矿石原矿量</t>
    </r>
    <r>
      <rPr>
        <sz val="9"/>
        <rFont val="Times New Roman"/>
        <family val="1"/>
      </rPr>
      <t xml:space="preserve">                                                                       </t>
    </r>
    <r>
      <rPr>
        <sz val="9"/>
        <rFont val="宋体"/>
        <charset val="134"/>
      </rPr>
      <t>（万吨）</t>
    </r>
  </si>
  <si>
    <r>
      <t>铜金属含量</t>
    </r>
    <r>
      <rPr>
        <sz val="9"/>
        <rFont val="Times New Roman"/>
        <family val="1"/>
      </rPr>
      <t xml:space="preserve">                                                                                   </t>
    </r>
    <r>
      <rPr>
        <sz val="9"/>
        <rFont val="宋体"/>
        <charset val="134"/>
      </rPr>
      <t>（吨）</t>
    </r>
  </si>
  <si>
    <t>锌金属含量                                                                                    （吨）</t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</si>
  <si>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盟</t>
    </r>
  </si>
  <si>
    <t>二连浩特市</t>
  </si>
  <si>
    <t>锡林浩特市</t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</si>
  <si>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</si>
  <si>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t>苏尼特左旗</t>
  </si>
  <si>
    <t>苏尼特右旗</t>
  </si>
  <si>
    <t>东乌珠穆沁旗</t>
  </si>
  <si>
    <t>西乌珠穆沁旗</t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</si>
  <si>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</si>
  <si>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</si>
  <si>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</si>
  <si>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</si>
  <si>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</si>
  <si>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</si>
  <si>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r>
      <t xml:space="preserve">22-30 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1</t>
    </r>
  </si>
  <si>
    <r>
      <t>铁合金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</si>
  <si>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r>
      <t>钼精矿折含量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</si>
  <si>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t>食用盐                                                         （吨）</t>
  </si>
  <si>
    <r>
      <t>非食用盐</t>
    </r>
    <r>
      <rPr>
        <sz val="9"/>
        <rFont val="Times New Roman"/>
        <family val="1"/>
      </rPr>
      <t xml:space="preserve">                                                         </t>
    </r>
    <r>
      <rPr>
        <sz val="9"/>
        <rFont val="宋体"/>
        <charset val="134"/>
      </rPr>
      <t>（吨）</t>
    </r>
  </si>
  <si>
    <r>
      <t>发电量</t>
    </r>
    <r>
      <rPr>
        <sz val="9"/>
        <rFont val="Times New Roman"/>
        <family val="1"/>
      </rPr>
      <t xml:space="preserve">                                                              </t>
    </r>
    <r>
      <rPr>
        <sz val="9"/>
        <rFont val="宋体"/>
        <charset val="134"/>
      </rPr>
      <t>（亿千瓦小时）</t>
    </r>
  </si>
  <si>
    <r>
      <t xml:space="preserve">22-30 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2</t>
    </r>
  </si>
  <si>
    <r>
      <t>食用植物油</t>
    </r>
    <r>
      <rPr>
        <sz val="9"/>
        <rFont val="Times New Roman"/>
        <family val="1"/>
      </rPr>
      <t xml:space="preserve">                                                                           </t>
    </r>
    <r>
      <rPr>
        <sz val="9"/>
        <rFont val="宋体"/>
        <charset val="134"/>
      </rPr>
      <t>（吨）</t>
    </r>
  </si>
  <si>
    <t>鲜冻畜肉                                                                                  （吨）</t>
  </si>
  <si>
    <r>
      <t>饲料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</si>
  <si>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r>
      <t>乳制品</t>
    </r>
    <r>
      <rPr>
        <sz val="9"/>
        <rFont val="Times New Roman"/>
        <family val="1"/>
      </rPr>
      <t xml:space="preserve">                                                    </t>
    </r>
    <r>
      <rPr>
        <sz val="9"/>
        <rFont val="宋体"/>
        <charset val="134"/>
      </rPr>
      <t>（吨）</t>
    </r>
  </si>
  <si>
    <r>
      <t xml:space="preserve">22-30 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3</t>
    </r>
  </si>
  <si>
    <r>
      <t>饮料酒</t>
    </r>
    <r>
      <rPr>
        <sz val="9"/>
        <rFont val="Times New Roman"/>
        <family val="1"/>
      </rPr>
      <t xml:space="preserve">                                                            </t>
    </r>
    <r>
      <rPr>
        <sz val="9"/>
        <rFont val="宋体"/>
        <charset val="134"/>
      </rPr>
      <t>（千升）</t>
    </r>
  </si>
  <si>
    <r>
      <t>服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装</t>
    </r>
    <r>
      <rPr>
        <sz val="9"/>
        <rFont val="Times New Roman"/>
        <family val="1"/>
      </rPr>
      <t xml:space="preserve">                                                                   </t>
    </r>
    <r>
      <rPr>
        <sz val="9"/>
        <rFont val="宋体"/>
        <charset val="134"/>
      </rPr>
      <t>（万件）</t>
    </r>
  </si>
  <si>
    <r>
      <t>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具                                                                                 （件）</t>
    </r>
  </si>
  <si>
    <r>
      <t>发电机组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</t>
    </r>
    <r>
      <rPr>
        <sz val="9"/>
        <rFont val="宋体"/>
        <charset val="134"/>
      </rPr>
      <t>（千瓦）</t>
    </r>
  </si>
  <si>
    <r>
      <t>纸制品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</si>
  <si>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r>
      <t xml:space="preserve">22-30 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4</t>
    </r>
  </si>
  <si>
    <t>纯碱　　　　　　　　　　（吨）</t>
  </si>
  <si>
    <r>
      <t>水泥</t>
    </r>
    <r>
      <rPr>
        <sz val="9"/>
        <rFont val="Times New Roman"/>
        <family val="1"/>
      </rPr>
      <t xml:space="preserve">      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</si>
  <si>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t>水泥混凝土电杆</t>
    </r>
    <r>
      <rPr>
        <sz val="9"/>
        <rFont val="Times New Roman"/>
        <family val="1"/>
      </rPr>
      <t xml:space="preserve">                                                               </t>
    </r>
    <r>
      <rPr>
        <sz val="9"/>
        <rFont val="宋体"/>
        <charset val="134"/>
      </rPr>
      <t>（根）</t>
    </r>
  </si>
  <si>
    <r>
      <t>花岗石板材</t>
    </r>
    <r>
      <rPr>
        <sz val="9"/>
        <rFont val="Times New Roman"/>
        <family val="1"/>
      </rPr>
      <t xml:space="preserve">                                                                                           </t>
    </r>
    <r>
      <rPr>
        <sz val="9"/>
        <rFont val="宋体"/>
        <charset val="134"/>
      </rPr>
      <t>（万平方米）</t>
    </r>
  </si>
  <si>
    <r>
      <t>聚丙烯树脂</t>
    </r>
    <r>
      <rPr>
        <sz val="9"/>
        <rFont val="Times New Roman"/>
        <family val="1"/>
      </rPr>
      <t xml:space="preserve">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</si>
  <si>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t xml:space="preserve">22-30 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5</t>
    </r>
  </si>
  <si>
    <r>
      <t>砖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</t>
    </r>
    <r>
      <rPr>
        <sz val="9"/>
        <rFont val="宋体"/>
        <charset val="134"/>
      </rPr>
      <t>（万块）</t>
    </r>
  </si>
  <si>
    <r>
      <t>黄金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</t>
    </r>
    <r>
      <rPr>
        <sz val="9"/>
        <rFont val="宋体"/>
        <charset val="134"/>
      </rPr>
      <t>（千克）</t>
    </r>
  </si>
  <si>
    <r>
      <t>锌</t>
    </r>
    <r>
      <rPr>
        <sz val="9"/>
        <rFont val="Times New Roman"/>
        <family val="1"/>
      </rPr>
      <t xml:space="preserve">                                                 </t>
    </r>
    <r>
      <rPr>
        <sz val="9"/>
        <rFont val="宋体"/>
        <charset val="134"/>
      </rPr>
      <t>（吨）</t>
    </r>
  </si>
  <si>
    <r>
      <t>铅金属含量</t>
    </r>
    <r>
      <rPr>
        <sz val="9"/>
        <rFont val="Times New Roman"/>
        <family val="1"/>
      </rPr>
      <t xml:space="preserve">                                                         </t>
    </r>
    <r>
      <rPr>
        <sz val="9"/>
        <rFont val="宋体"/>
        <charset val="134"/>
      </rPr>
      <t>（吨）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</si>
</sst>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0.0_ "/>
    <numFmt numFmtId="181" formatCode="0_ "/>
    <numFmt numFmtId="182" formatCode="0.00_ "/>
  </numFmts>
  <fonts count="7" x14ac:knownFonts="1">
    <font>
      <sz val="12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b/>
      <sz val="9"/>
      <name val="宋体"/>
      <charset val="134"/>
    </font>
    <font>
      <sz val="16"/>
      <name val="Times New Roman"/>
      <family val="1"/>
    </font>
    <font>
      <sz val="16"/>
      <name val="宋体"/>
      <charset val="134"/>
    </font>
    <font>
      <b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180" fontId="0" fillId="0" borderId="0" xfId="0" applyNumberFormat="1" applyFont="1"/>
    <xf numFmtId="180" fontId="0" fillId="0" borderId="0" xfId="0" applyNumberFormat="1"/>
    <xf numFmtId="181" fontId="0" fillId="0" borderId="0" xfId="0" applyNumberFormat="1"/>
    <xf numFmtId="180" fontId="2" fillId="3" borderId="1" xfId="0" applyNumberFormat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 wrapText="1"/>
    </xf>
    <xf numFmtId="181" fontId="2" fillId="3" borderId="3" xfId="0" applyNumberFormat="1" applyFont="1" applyFill="1" applyBorder="1" applyAlignment="1">
      <alignment horizontal="center" vertical="center" wrapText="1"/>
    </xf>
    <xf numFmtId="181" fontId="2" fillId="3" borderId="4" xfId="0" applyNumberFormat="1" applyFont="1" applyFill="1" applyBorder="1" applyAlignment="1">
      <alignment horizontal="center" vertical="center" wrapText="1"/>
    </xf>
    <xf numFmtId="180" fontId="3" fillId="3" borderId="5" xfId="0" applyNumberFormat="1" applyFont="1" applyFill="1" applyBorder="1" applyAlignment="1">
      <alignment horizontal="center" vertical="center"/>
    </xf>
    <xf numFmtId="181" fontId="3" fillId="0" borderId="6" xfId="0" applyNumberFormat="1" applyFont="1" applyBorder="1"/>
    <xf numFmtId="182" fontId="3" fillId="0" borderId="6" xfId="0" applyNumberFormat="1" applyFont="1" applyBorder="1"/>
    <xf numFmtId="180" fontId="2" fillId="3" borderId="7" xfId="0" applyNumberFormat="1" applyFont="1" applyFill="1" applyBorder="1" applyAlignment="1">
      <alignment horizontal="center" vertical="center"/>
    </xf>
    <xf numFmtId="181" fontId="2" fillId="0" borderId="6" xfId="0" applyNumberFormat="1" applyFont="1" applyBorder="1"/>
    <xf numFmtId="182" fontId="2" fillId="0" borderId="0" xfId="0" applyNumberFormat="1" applyFont="1" applyBorder="1"/>
    <xf numFmtId="181" fontId="2" fillId="0" borderId="0" xfId="0" applyNumberFormat="1" applyFont="1" applyBorder="1"/>
    <xf numFmtId="182" fontId="3" fillId="0" borderId="0" xfId="0" applyNumberFormat="1" applyFont="1" applyBorder="1"/>
    <xf numFmtId="182" fontId="2" fillId="0" borderId="6" xfId="0" applyNumberFormat="1" applyFont="1" applyBorder="1"/>
    <xf numFmtId="181" fontId="2" fillId="0" borderId="4" xfId="0" applyNumberFormat="1" applyFont="1" applyBorder="1"/>
    <xf numFmtId="182" fontId="2" fillId="0" borderId="8" xfId="0" applyNumberFormat="1" applyFont="1" applyBorder="1"/>
    <xf numFmtId="181" fontId="2" fillId="0" borderId="8" xfId="0" applyNumberFormat="1" applyFont="1" applyBorder="1"/>
    <xf numFmtId="182" fontId="2" fillId="0" borderId="4" xfId="0" applyNumberFormat="1" applyFont="1" applyBorder="1"/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0" fontId="0" fillId="3" borderId="5" xfId="0" applyNumberFormat="1" applyFill="1" applyBorder="1" applyAlignment="1">
      <alignment horizontal="center" vertical="center"/>
    </xf>
    <xf numFmtId="181" fontId="2" fillId="3" borderId="9" xfId="0" applyNumberFormat="1" applyFont="1" applyFill="1" applyBorder="1" applyAlignment="1">
      <alignment horizontal="center" vertical="center" wrapText="1"/>
    </xf>
    <xf numFmtId="181" fontId="3" fillId="0" borderId="0" xfId="0" applyNumberFormat="1" applyFont="1" applyBorder="1"/>
    <xf numFmtId="180" fontId="2" fillId="3" borderId="7" xfId="0" applyNumberFormat="1" applyFont="1" applyFill="1" applyBorder="1" applyAlignment="1">
      <alignment horizontal="center"/>
    </xf>
    <xf numFmtId="181" fontId="2" fillId="0" borderId="0" xfId="0" applyNumberFormat="1" applyFont="1" applyFill="1" applyBorder="1"/>
    <xf numFmtId="180" fontId="2" fillId="3" borderId="1" xfId="0" applyNumberFormat="1" applyFont="1" applyFill="1" applyBorder="1" applyAlignment="1">
      <alignment horizontal="center"/>
    </xf>
    <xf numFmtId="181" fontId="2" fillId="3" borderId="10" xfId="0" applyNumberFormat="1" applyFont="1" applyFill="1" applyBorder="1" applyAlignment="1">
      <alignment horizontal="center" vertical="center" wrapText="1"/>
    </xf>
    <xf numFmtId="181" fontId="2" fillId="3" borderId="9" xfId="0" applyNumberFormat="1" applyFont="1" applyFill="1" applyBorder="1" applyAlignment="1">
      <alignment horizontal="left" vertical="center" wrapText="1"/>
    </xf>
    <xf numFmtId="181" fontId="3" fillId="0" borderId="11" xfId="0" applyNumberFormat="1" applyFont="1" applyBorder="1"/>
    <xf numFmtId="180" fontId="2" fillId="3" borderId="0" xfId="0" applyNumberFormat="1" applyFont="1" applyFill="1" applyBorder="1" applyAlignment="1">
      <alignment horizontal="center" vertical="center"/>
    </xf>
    <xf numFmtId="182" fontId="3" fillId="0" borderId="11" xfId="0" applyNumberFormat="1" applyFont="1" applyBorder="1"/>
    <xf numFmtId="180" fontId="0" fillId="2" borderId="0" xfId="0" applyNumberFormat="1" applyFill="1"/>
    <xf numFmtId="180" fontId="2" fillId="3" borderId="4" xfId="0" applyNumberFormat="1" applyFont="1" applyFill="1" applyBorder="1" applyAlignment="1">
      <alignment horizontal="center" vertical="center" wrapText="1"/>
    </xf>
    <xf numFmtId="180" fontId="2" fillId="3" borderId="2" xfId="0" applyNumberFormat="1" applyFont="1" applyFill="1" applyBorder="1" applyAlignment="1">
      <alignment horizontal="center" vertical="center" wrapText="1"/>
    </xf>
    <xf numFmtId="181" fontId="3" fillId="0" borderId="0" xfId="0" applyNumberFormat="1" applyFont="1"/>
    <xf numFmtId="181" fontId="2" fillId="0" borderId="0" xfId="0" applyNumberFormat="1" applyFont="1"/>
    <xf numFmtId="180" fontId="2" fillId="0" borderId="0" xfId="0" applyNumberFormat="1" applyFont="1"/>
    <xf numFmtId="182" fontId="2" fillId="0" borderId="0" xfId="0" applyNumberFormat="1" applyFont="1"/>
    <xf numFmtId="182" fontId="2" fillId="0" borderId="0" xfId="0" applyNumberFormat="1" applyFont="1" applyFill="1"/>
    <xf numFmtId="182" fontId="0" fillId="0" borderId="0" xfId="0" applyNumberFormat="1"/>
    <xf numFmtId="180" fontId="2" fillId="0" borderId="8" xfId="0" applyNumberFormat="1" applyFont="1" applyBorder="1"/>
    <xf numFmtId="180" fontId="0" fillId="2" borderId="5" xfId="0" applyNumberFormat="1" applyFill="1" applyBorder="1" applyAlignment="1">
      <alignment horizontal="center" vertical="center"/>
    </xf>
    <xf numFmtId="180" fontId="2" fillId="2" borderId="9" xfId="0" applyNumberFormat="1" applyFont="1" applyFill="1" applyBorder="1" applyAlignment="1">
      <alignment horizontal="center" vertical="center" wrapText="1"/>
    </xf>
    <xf numFmtId="181" fontId="2" fillId="0" borderId="2" xfId="0" applyNumberFormat="1" applyFont="1" applyFill="1" applyBorder="1" applyAlignment="1">
      <alignment horizontal="center" vertical="center" wrapText="1"/>
    </xf>
    <xf numFmtId="181" fontId="2" fillId="0" borderId="9" xfId="0" applyNumberFormat="1" applyFont="1" applyFill="1" applyBorder="1" applyAlignment="1">
      <alignment horizontal="center" vertical="center" wrapText="1"/>
    </xf>
    <xf numFmtId="180" fontId="2" fillId="0" borderId="2" xfId="0" applyNumberFormat="1" applyFont="1" applyFill="1" applyBorder="1" applyAlignment="1">
      <alignment horizontal="center" vertical="center" wrapText="1"/>
    </xf>
    <xf numFmtId="180" fontId="2" fillId="0" borderId="10" xfId="0" applyNumberFormat="1" applyFont="1" applyFill="1" applyBorder="1" applyAlignment="1">
      <alignment horizontal="center" vertical="center" wrapText="1"/>
    </xf>
    <xf numFmtId="180" fontId="4" fillId="0" borderId="0" xfId="0" applyNumberFormat="1" applyFont="1" applyAlignment="1">
      <alignment horizontal="center"/>
    </xf>
    <xf numFmtId="180" fontId="5" fillId="0" borderId="0" xfId="0" applyNumberFormat="1" applyFont="1" applyAlignment="1">
      <alignment horizontal="center"/>
    </xf>
    <xf numFmtId="180" fontId="1" fillId="0" borderId="8" xfId="0" applyNumberFormat="1" applyFont="1" applyBorder="1" applyAlignment="1">
      <alignment horizontal="left" vertical="center"/>
    </xf>
    <xf numFmtId="180" fontId="2" fillId="0" borderId="8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E2" sqref="E2:F2"/>
    </sheetView>
  </sheetViews>
  <sheetFormatPr defaultColWidth="9" defaultRowHeight="15" x14ac:dyDescent="0.3"/>
  <cols>
    <col min="1" max="1" width="9" style="2"/>
    <col min="2" max="6" width="9.92578125" style="2" customWidth="1"/>
    <col min="7" max="16384" width="9" style="2"/>
  </cols>
  <sheetData>
    <row r="1" spans="1:6" ht="21" x14ac:dyDescent="0.5">
      <c r="A1" s="50" t="s">
        <v>0</v>
      </c>
      <c r="B1" s="51"/>
      <c r="C1" s="51"/>
      <c r="D1" s="51"/>
      <c r="E1" s="51"/>
      <c r="F1" s="51"/>
    </row>
    <row r="2" spans="1:6" ht="23.6" x14ac:dyDescent="0.3">
      <c r="A2" s="4"/>
      <c r="B2" s="35" t="s">
        <v>1</v>
      </c>
      <c r="C2" s="36" t="s">
        <v>2</v>
      </c>
      <c r="D2" s="36" t="s">
        <v>3</v>
      </c>
      <c r="E2" s="48" t="s">
        <v>4</v>
      </c>
      <c r="F2" s="49" t="s">
        <v>5</v>
      </c>
    </row>
    <row r="3" spans="1:6" x14ac:dyDescent="0.3">
      <c r="A3" s="8" t="s">
        <v>6</v>
      </c>
      <c r="B3" s="37"/>
      <c r="C3" s="37"/>
      <c r="D3" s="37">
        <f>SUM(D4:D16)</f>
        <v>457.64</v>
      </c>
      <c r="E3" s="37">
        <f>SUM(E4:E16)</f>
        <v>23680.799999999999</v>
      </c>
      <c r="F3" s="37">
        <f>SUM(F4:F16)</f>
        <v>119073.8</v>
      </c>
    </row>
    <row r="4" spans="1:6" x14ac:dyDescent="0.3">
      <c r="A4" s="11" t="s">
        <v>7</v>
      </c>
      <c r="B4" s="38"/>
      <c r="C4" s="39"/>
      <c r="D4" s="40"/>
      <c r="E4" s="38"/>
      <c r="F4" s="12"/>
    </row>
    <row r="5" spans="1:6" x14ac:dyDescent="0.3">
      <c r="A5" s="11" t="s">
        <v>8</v>
      </c>
      <c r="B5" s="38"/>
      <c r="C5" s="39"/>
      <c r="D5" s="40"/>
      <c r="E5" s="38"/>
      <c r="F5" s="12"/>
    </row>
    <row r="6" spans="1:6" x14ac:dyDescent="0.3">
      <c r="A6" s="11" t="s">
        <v>9</v>
      </c>
      <c r="B6" s="38"/>
      <c r="C6" s="39"/>
      <c r="D6" s="40">
        <v>30.4</v>
      </c>
      <c r="E6" s="38"/>
      <c r="F6" s="12"/>
    </row>
    <row r="7" spans="1:6" x14ac:dyDescent="0.3">
      <c r="A7" s="11" t="s">
        <v>10</v>
      </c>
      <c r="B7" s="38"/>
      <c r="C7" s="39"/>
      <c r="D7" s="40">
        <v>78.81</v>
      </c>
      <c r="E7" s="38">
        <v>1398</v>
      </c>
      <c r="F7" s="12"/>
    </row>
    <row r="8" spans="1:6" x14ac:dyDescent="0.3">
      <c r="A8" s="11" t="s">
        <v>11</v>
      </c>
      <c r="B8" s="38"/>
      <c r="C8" s="39"/>
      <c r="D8" s="40"/>
      <c r="E8" s="38">
        <v>6339.3</v>
      </c>
      <c r="F8" s="12"/>
    </row>
    <row r="9" spans="1:6" x14ac:dyDescent="0.3">
      <c r="A9" s="11" t="s">
        <v>12</v>
      </c>
      <c r="B9" s="38"/>
      <c r="C9" s="39"/>
      <c r="D9" s="40">
        <v>134.97999999999999</v>
      </c>
      <c r="E9" s="38">
        <v>12958</v>
      </c>
      <c r="F9" s="12">
        <v>92844.800000000003</v>
      </c>
    </row>
    <row r="10" spans="1:6" x14ac:dyDescent="0.3">
      <c r="A10" s="11" t="s">
        <v>13</v>
      </c>
      <c r="B10" s="38"/>
      <c r="C10" s="39"/>
      <c r="D10" s="40"/>
      <c r="E10" s="38">
        <v>2985.5</v>
      </c>
      <c r="F10" s="12">
        <v>20007</v>
      </c>
    </row>
    <row r="11" spans="1:6" x14ac:dyDescent="0.3">
      <c r="A11" s="11" t="s">
        <v>14</v>
      </c>
      <c r="B11" s="38"/>
      <c r="C11" s="39"/>
      <c r="D11" s="40"/>
      <c r="E11" s="38"/>
      <c r="F11" s="12"/>
    </row>
    <row r="12" spans="1:6" x14ac:dyDescent="0.3">
      <c r="A12" s="11" t="s">
        <v>15</v>
      </c>
      <c r="B12" s="38"/>
      <c r="C12" s="39"/>
      <c r="D12" s="40"/>
      <c r="E12" s="38"/>
      <c r="F12" s="12"/>
    </row>
    <row r="13" spans="1:6" x14ac:dyDescent="0.3">
      <c r="A13" s="11" t="s">
        <v>16</v>
      </c>
      <c r="B13" s="38"/>
      <c r="C13" s="39"/>
      <c r="D13" s="41"/>
      <c r="E13" s="38"/>
      <c r="F13" s="12">
        <v>6222</v>
      </c>
    </row>
    <row r="14" spans="1:6" x14ac:dyDescent="0.3">
      <c r="A14" s="11" t="s">
        <v>17</v>
      </c>
      <c r="B14" s="38"/>
      <c r="C14" s="39"/>
      <c r="D14" s="42"/>
      <c r="E14" s="38"/>
      <c r="F14" s="12"/>
    </row>
    <row r="15" spans="1:6" x14ac:dyDescent="0.3">
      <c r="A15" s="11" t="s">
        <v>18</v>
      </c>
      <c r="B15" s="38"/>
      <c r="C15" s="39"/>
      <c r="D15" s="40">
        <v>213.45</v>
      </c>
      <c r="E15" s="38"/>
      <c r="F15" s="12"/>
    </row>
    <row r="16" spans="1:6" x14ac:dyDescent="0.3">
      <c r="A16" s="4" t="s">
        <v>19</v>
      </c>
      <c r="B16" s="17"/>
      <c r="C16" s="43"/>
      <c r="D16" s="18"/>
      <c r="E16" s="19"/>
      <c r="F16" s="17"/>
    </row>
    <row r="17" spans="1:6" x14ac:dyDescent="0.3">
      <c r="A17" s="21"/>
    </row>
    <row r="18" spans="1:6" x14ac:dyDescent="0.3">
      <c r="A18" s="21"/>
      <c r="B18" s="21"/>
      <c r="C18" s="21"/>
      <c r="D18" s="21"/>
      <c r="E18" s="21"/>
      <c r="F18" s="21"/>
    </row>
    <row r="19" spans="1:6" x14ac:dyDescent="0.3">
      <c r="A19" s="21"/>
      <c r="B19" s="21"/>
      <c r="C19" s="21"/>
      <c r="D19" s="21"/>
      <c r="E19" s="21"/>
      <c r="F19" s="21"/>
    </row>
    <row r="20" spans="1:6" x14ac:dyDescent="0.3">
      <c r="A20" s="52" t="s">
        <v>20</v>
      </c>
      <c r="B20" s="53"/>
      <c r="C20" s="53"/>
      <c r="D20" s="53"/>
      <c r="E20" s="53"/>
      <c r="F20" s="53"/>
    </row>
    <row r="21" spans="1:6" s="34" customFormat="1" ht="34.5" customHeight="1" x14ac:dyDescent="0.3">
      <c r="A21" s="44"/>
      <c r="B21" s="45" t="s">
        <v>21</v>
      </c>
      <c r="C21" s="45" t="s">
        <v>22</v>
      </c>
      <c r="D21" s="45" t="s">
        <v>23</v>
      </c>
      <c r="E21" s="45" t="s">
        <v>24</v>
      </c>
      <c r="F21" s="45" t="s">
        <v>25</v>
      </c>
    </row>
    <row r="22" spans="1:6" x14ac:dyDescent="0.3">
      <c r="A22" s="8" t="s">
        <v>6</v>
      </c>
      <c r="B22" s="25">
        <f>SUM(B23:B35)</f>
        <v>208919.4</v>
      </c>
      <c r="C22" s="25">
        <f>SUM(C23:C35)</f>
        <v>6003</v>
      </c>
      <c r="D22" s="25">
        <f>SUM(D23:D35)</f>
        <v>92105</v>
      </c>
      <c r="E22" s="25">
        <f>SUM(E23:E35)</f>
        <v>41384</v>
      </c>
      <c r="F22" s="15"/>
    </row>
    <row r="23" spans="1:6" x14ac:dyDescent="0.3">
      <c r="A23" s="26" t="s">
        <v>7</v>
      </c>
      <c r="B23" s="14"/>
      <c r="C23" s="14"/>
      <c r="D23" s="14"/>
      <c r="E23" s="14"/>
      <c r="F23" s="13"/>
    </row>
    <row r="24" spans="1:6" x14ac:dyDescent="0.3">
      <c r="A24" s="26" t="s">
        <v>8</v>
      </c>
      <c r="B24" s="14"/>
      <c r="C24" s="14"/>
      <c r="D24" s="14"/>
      <c r="E24" s="14"/>
      <c r="F24" s="13"/>
    </row>
    <row r="25" spans="1:6" x14ac:dyDescent="0.3">
      <c r="A25" s="26" t="s">
        <v>9</v>
      </c>
      <c r="B25" s="14"/>
      <c r="C25" s="14">
        <v>6003</v>
      </c>
      <c r="D25" s="14"/>
      <c r="E25" s="14"/>
      <c r="F25" s="13"/>
    </row>
    <row r="26" spans="1:6" x14ac:dyDescent="0.3">
      <c r="A26" s="26" t="s">
        <v>10</v>
      </c>
      <c r="B26" s="14"/>
      <c r="C26" s="14"/>
      <c r="D26" s="14"/>
      <c r="E26" s="14"/>
      <c r="F26" s="13"/>
    </row>
    <row r="27" spans="1:6" x14ac:dyDescent="0.3">
      <c r="A27" s="26" t="s">
        <v>11</v>
      </c>
      <c r="B27" s="14">
        <v>124746</v>
      </c>
      <c r="C27" s="14"/>
      <c r="D27" s="14"/>
      <c r="E27" s="14"/>
      <c r="F27" s="13"/>
    </row>
    <row r="28" spans="1:6" x14ac:dyDescent="0.3">
      <c r="A28" s="26" t="s">
        <v>12</v>
      </c>
      <c r="B28" s="14"/>
      <c r="C28" s="14"/>
      <c r="D28" s="14">
        <v>92105</v>
      </c>
      <c r="E28" s="14">
        <v>41384</v>
      </c>
      <c r="F28" s="13"/>
    </row>
    <row r="29" spans="1:6" x14ac:dyDescent="0.3">
      <c r="A29" s="26" t="s">
        <v>13</v>
      </c>
      <c r="B29" s="14"/>
      <c r="C29" s="14"/>
      <c r="D29" s="14"/>
      <c r="E29" s="14"/>
      <c r="F29" s="13"/>
    </row>
    <row r="30" spans="1:6" x14ac:dyDescent="0.3">
      <c r="A30" s="26" t="s">
        <v>14</v>
      </c>
      <c r="B30" s="14">
        <v>13720</v>
      </c>
      <c r="C30" s="14"/>
      <c r="D30" s="14"/>
      <c r="E30" s="14"/>
      <c r="F30" s="13"/>
    </row>
    <row r="31" spans="1:6" x14ac:dyDescent="0.3">
      <c r="A31" s="26" t="s">
        <v>15</v>
      </c>
      <c r="B31" s="14"/>
      <c r="C31" s="14"/>
      <c r="D31" s="14"/>
      <c r="E31" s="14"/>
      <c r="F31" s="13"/>
    </row>
    <row r="32" spans="1:6" x14ac:dyDescent="0.3">
      <c r="A32" s="26" t="s">
        <v>16</v>
      </c>
      <c r="B32" s="14">
        <v>14263.4</v>
      </c>
      <c r="C32" s="14"/>
      <c r="D32" s="14"/>
      <c r="E32" s="14"/>
      <c r="F32" s="13"/>
    </row>
    <row r="33" spans="1:6" x14ac:dyDescent="0.3">
      <c r="A33" s="26" t="s">
        <v>17</v>
      </c>
      <c r="B33" s="14">
        <v>56190</v>
      </c>
      <c r="C33" s="14"/>
      <c r="D33" s="14"/>
      <c r="E33" s="14"/>
      <c r="F33" s="13"/>
    </row>
    <row r="34" spans="1:6" x14ac:dyDescent="0.3">
      <c r="A34" s="26" t="s">
        <v>18</v>
      </c>
      <c r="B34" s="14"/>
      <c r="C34" s="14"/>
      <c r="D34" s="14"/>
      <c r="E34" s="14"/>
      <c r="F34" s="13"/>
    </row>
    <row r="35" spans="1:6" x14ac:dyDescent="0.3">
      <c r="A35" s="28" t="s">
        <v>19</v>
      </c>
      <c r="B35" s="19"/>
      <c r="C35" s="19"/>
      <c r="D35" s="19"/>
      <c r="E35" s="19"/>
      <c r="F35" s="18"/>
    </row>
  </sheetData>
  <mergeCells count="2">
    <mergeCell ref="A1:F1"/>
    <mergeCell ref="A20:F20"/>
  </mergeCells>
  <phoneticPr fontId="2" type="noConversion"/>
  <pageMargins left="0.75" right="0.75" top="1" bottom="1" header="0.5" footer="0.5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7" workbookViewId="0">
      <selection activeCell="E22" sqref="E22"/>
    </sheetView>
  </sheetViews>
  <sheetFormatPr defaultColWidth="9" defaultRowHeight="15" x14ac:dyDescent="0.3"/>
  <cols>
    <col min="1" max="1" width="10.0703125" style="2" customWidth="1"/>
    <col min="2" max="2" width="10.42578125" style="3" customWidth="1"/>
    <col min="3" max="3" width="9.42578125" style="3" bestFit="1" customWidth="1"/>
    <col min="4" max="5" width="9" style="3"/>
    <col min="6" max="6" width="8.92578125" style="3" customWidth="1"/>
    <col min="7" max="7" width="9" style="3"/>
    <col min="8" max="8" width="9.5" style="2" bestFit="1" customWidth="1"/>
    <col min="9" max="16384" width="9" style="2"/>
  </cols>
  <sheetData>
    <row r="1" spans="1:7" x14ac:dyDescent="0.3">
      <c r="A1" s="52" t="s">
        <v>26</v>
      </c>
      <c r="B1" s="53"/>
      <c r="C1" s="53"/>
      <c r="D1" s="53"/>
      <c r="E1" s="53"/>
      <c r="F1" s="53"/>
    </row>
    <row r="2" spans="1:7" ht="23.6" x14ac:dyDescent="0.3">
      <c r="A2" s="4"/>
      <c r="B2" s="5" t="s">
        <v>27</v>
      </c>
      <c r="C2" s="29" t="s">
        <v>28</v>
      </c>
      <c r="D2" s="24" t="s">
        <v>29</v>
      </c>
      <c r="E2" s="30" t="s">
        <v>30</v>
      </c>
      <c r="F2" s="2"/>
      <c r="G2" s="2"/>
    </row>
    <row r="3" spans="1:7" x14ac:dyDescent="0.3">
      <c r="A3" s="8" t="s">
        <v>6</v>
      </c>
      <c r="B3" s="31">
        <f>SUM(B4:B16)</f>
        <v>62037</v>
      </c>
      <c r="C3" s="31">
        <f>SUM(C4:C16)</f>
        <v>285060.19999999995</v>
      </c>
      <c r="D3" s="31">
        <f>SUM(D4:D16)</f>
        <v>107059.2</v>
      </c>
      <c r="E3" s="31">
        <f>SUM(E4:E16)</f>
        <v>63656.799999999996</v>
      </c>
      <c r="F3" s="2"/>
      <c r="G3" s="2"/>
    </row>
    <row r="4" spans="1:7" x14ac:dyDescent="0.3">
      <c r="A4" s="32" t="s">
        <v>7</v>
      </c>
      <c r="B4" s="14">
        <v>46926</v>
      </c>
      <c r="C4" s="12">
        <v>520</v>
      </c>
      <c r="D4" s="14"/>
      <c r="E4" s="14"/>
      <c r="F4" s="2"/>
      <c r="G4" s="2"/>
    </row>
    <row r="5" spans="1:7" x14ac:dyDescent="0.3">
      <c r="A5" s="32" t="s">
        <v>8</v>
      </c>
      <c r="B5" s="14"/>
      <c r="C5" s="12">
        <v>27242</v>
      </c>
      <c r="D5" s="14"/>
      <c r="E5" s="14">
        <v>58832.7</v>
      </c>
      <c r="F5" s="2"/>
      <c r="G5" s="2"/>
    </row>
    <row r="6" spans="1:7" x14ac:dyDescent="0.3">
      <c r="A6" s="32" t="s">
        <v>9</v>
      </c>
      <c r="B6" s="14"/>
      <c r="C6" s="12">
        <v>17087</v>
      </c>
      <c r="D6" s="14"/>
      <c r="E6" s="14">
        <v>979.2</v>
      </c>
      <c r="F6" s="2"/>
      <c r="G6" s="2"/>
    </row>
    <row r="7" spans="1:7" x14ac:dyDescent="0.3">
      <c r="A7" s="32" t="s">
        <v>10</v>
      </c>
      <c r="B7" s="14"/>
      <c r="C7" s="12">
        <v>18508</v>
      </c>
      <c r="D7" s="14"/>
      <c r="E7" s="14"/>
      <c r="F7" s="2"/>
      <c r="G7" s="2"/>
    </row>
    <row r="8" spans="1:7" x14ac:dyDescent="0.3">
      <c r="A8" s="32" t="s">
        <v>11</v>
      </c>
      <c r="B8" s="14"/>
      <c r="C8" s="12">
        <v>19658.900000000001</v>
      </c>
      <c r="D8" s="14"/>
      <c r="E8" s="14">
        <v>726</v>
      </c>
      <c r="F8" s="2"/>
      <c r="G8" s="2"/>
    </row>
    <row r="9" spans="1:7" x14ac:dyDescent="0.3">
      <c r="A9" s="32" t="s">
        <v>12</v>
      </c>
      <c r="B9" s="14"/>
      <c r="C9" s="12">
        <v>151368</v>
      </c>
      <c r="D9" s="14">
        <v>73059.199999999997</v>
      </c>
      <c r="E9" s="14"/>
      <c r="F9" s="2"/>
      <c r="G9" s="2"/>
    </row>
    <row r="10" spans="1:7" x14ac:dyDescent="0.3">
      <c r="A10" s="32" t="s">
        <v>13</v>
      </c>
      <c r="B10" s="14"/>
      <c r="C10" s="12">
        <v>13120.3</v>
      </c>
      <c r="D10" s="14"/>
      <c r="E10" s="14"/>
      <c r="F10" s="2"/>
      <c r="G10" s="2"/>
    </row>
    <row r="11" spans="1:7" x14ac:dyDescent="0.3">
      <c r="A11" s="32" t="s">
        <v>14</v>
      </c>
      <c r="B11" s="14">
        <v>15111</v>
      </c>
      <c r="C11" s="12">
        <v>17497</v>
      </c>
      <c r="D11" s="14">
        <v>34000</v>
      </c>
      <c r="E11" s="14"/>
      <c r="F11" s="2"/>
      <c r="G11" s="2"/>
    </row>
    <row r="12" spans="1:7" x14ac:dyDescent="0.3">
      <c r="A12" s="11" t="s">
        <v>15</v>
      </c>
      <c r="B12" s="14"/>
      <c r="C12" s="12">
        <v>762.2</v>
      </c>
      <c r="D12" s="14"/>
      <c r="E12" s="14">
        <v>265</v>
      </c>
      <c r="F12" s="2"/>
      <c r="G12" s="2"/>
    </row>
    <row r="13" spans="1:7" x14ac:dyDescent="0.3">
      <c r="A13" s="11" t="s">
        <v>16</v>
      </c>
      <c r="B13" s="14"/>
      <c r="C13" s="12">
        <v>3961</v>
      </c>
      <c r="D13" s="14"/>
      <c r="E13" s="14"/>
      <c r="F13" s="2"/>
      <c r="G13" s="2"/>
    </row>
    <row r="14" spans="1:7" x14ac:dyDescent="0.3">
      <c r="A14" s="11" t="s">
        <v>17</v>
      </c>
      <c r="B14" s="14"/>
      <c r="C14" s="12">
        <v>3010.5</v>
      </c>
      <c r="D14" s="14"/>
      <c r="E14" s="14"/>
      <c r="F14" s="2"/>
      <c r="G14" s="2"/>
    </row>
    <row r="15" spans="1:7" x14ac:dyDescent="0.3">
      <c r="A15" s="11" t="s">
        <v>18</v>
      </c>
      <c r="B15" s="14"/>
      <c r="C15" s="12">
        <v>10401</v>
      </c>
      <c r="D15" s="14"/>
      <c r="E15" s="14">
        <v>2853.9</v>
      </c>
      <c r="F15" s="2"/>
      <c r="G15" s="2"/>
    </row>
    <row r="16" spans="1:7" x14ac:dyDescent="0.3">
      <c r="A16" s="4" t="s">
        <v>19</v>
      </c>
      <c r="B16" s="19"/>
      <c r="C16" s="17">
        <v>1924.3</v>
      </c>
      <c r="D16" s="19"/>
      <c r="E16" s="19"/>
      <c r="F16" s="2"/>
      <c r="G16" s="2"/>
    </row>
    <row r="17" spans="1:6" x14ac:dyDescent="0.3">
      <c r="A17" s="21"/>
      <c r="B17" s="22"/>
      <c r="C17" s="22"/>
      <c r="F17" s="22"/>
    </row>
    <row r="18" spans="1:6" x14ac:dyDescent="0.3">
      <c r="A18" s="21"/>
      <c r="B18" s="22"/>
      <c r="C18" s="22"/>
      <c r="D18" s="22"/>
      <c r="E18" s="22"/>
      <c r="F18" s="22"/>
    </row>
    <row r="19" spans="1:6" x14ac:dyDescent="0.3">
      <c r="A19" s="21"/>
      <c r="B19" s="22"/>
      <c r="C19" s="22"/>
      <c r="D19" s="22"/>
      <c r="E19" s="22"/>
      <c r="F19" s="22"/>
    </row>
    <row r="20" spans="1:6" x14ac:dyDescent="0.3">
      <c r="A20" s="52" t="s">
        <v>31</v>
      </c>
      <c r="B20" s="53"/>
      <c r="C20" s="53"/>
      <c r="D20" s="53"/>
      <c r="E20" s="53"/>
      <c r="F20" s="53"/>
    </row>
    <row r="22" spans="1:6" ht="23.6" x14ac:dyDescent="0.3">
      <c r="A22" s="4"/>
      <c r="B22" s="5" t="s">
        <v>32</v>
      </c>
      <c r="C22" s="5" t="s">
        <v>33</v>
      </c>
      <c r="D22" s="29" t="s">
        <v>34</v>
      </c>
      <c r="E22" s="47" t="s">
        <v>35</v>
      </c>
      <c r="F22" s="24" t="s">
        <v>36</v>
      </c>
    </row>
    <row r="23" spans="1:6" x14ac:dyDescent="0.3">
      <c r="A23" s="8" t="s">
        <v>6</v>
      </c>
      <c r="B23" s="31">
        <f>SUM(B24:B36)</f>
        <v>32794.800000000003</v>
      </c>
      <c r="C23" s="33">
        <f>SUM(C24:C36)</f>
        <v>4.5</v>
      </c>
      <c r="D23" s="31">
        <f>SUM(D24:D36)</f>
        <v>24706</v>
      </c>
      <c r="E23" s="31">
        <f>SUM(E24:E36)</f>
        <v>644800</v>
      </c>
      <c r="F23" s="31">
        <f>SUM(F24:F36)</f>
        <v>545602</v>
      </c>
    </row>
    <row r="24" spans="1:6" x14ac:dyDescent="0.3">
      <c r="A24" s="11" t="s">
        <v>7</v>
      </c>
      <c r="B24" s="14"/>
      <c r="C24" s="13"/>
      <c r="D24" s="12"/>
      <c r="E24" s="14"/>
      <c r="F24" s="14">
        <v>540082</v>
      </c>
    </row>
    <row r="25" spans="1:6" x14ac:dyDescent="0.3">
      <c r="A25" s="11" t="s">
        <v>8</v>
      </c>
      <c r="B25" s="14"/>
      <c r="C25" s="16">
        <v>4.5</v>
      </c>
      <c r="D25" s="12"/>
      <c r="E25" s="14">
        <v>644800</v>
      </c>
      <c r="F25" s="14">
        <v>5520</v>
      </c>
    </row>
    <row r="26" spans="1:6" x14ac:dyDescent="0.3">
      <c r="A26" s="11" t="s">
        <v>9</v>
      </c>
      <c r="B26" s="14"/>
      <c r="C26" s="13"/>
      <c r="D26" s="12"/>
      <c r="E26" s="14"/>
      <c r="F26" s="14"/>
    </row>
    <row r="27" spans="1:6" x14ac:dyDescent="0.3">
      <c r="A27" s="11" t="s">
        <v>10</v>
      </c>
      <c r="B27" s="14"/>
      <c r="C27" s="13"/>
      <c r="D27" s="12"/>
      <c r="E27" s="14"/>
      <c r="F27" s="14"/>
    </row>
    <row r="28" spans="1:6" x14ac:dyDescent="0.3">
      <c r="A28" s="11" t="s">
        <v>11</v>
      </c>
      <c r="B28" s="14"/>
      <c r="C28" s="13"/>
      <c r="D28" s="12"/>
      <c r="E28" s="14"/>
      <c r="F28" s="14"/>
    </row>
    <row r="29" spans="1:6" x14ac:dyDescent="0.3">
      <c r="A29" s="11" t="s">
        <v>12</v>
      </c>
      <c r="B29" s="14"/>
      <c r="C29" s="13"/>
      <c r="D29" s="12">
        <v>24706</v>
      </c>
      <c r="E29" s="14"/>
      <c r="F29" s="14"/>
    </row>
    <row r="30" spans="1:6" x14ac:dyDescent="0.3">
      <c r="A30" s="11" t="s">
        <v>13</v>
      </c>
      <c r="B30" s="14"/>
      <c r="C30" s="13"/>
      <c r="D30" s="12"/>
      <c r="E30" s="14"/>
      <c r="F30" s="14"/>
    </row>
    <row r="31" spans="1:6" x14ac:dyDescent="0.3">
      <c r="A31" s="11" t="s">
        <v>14</v>
      </c>
      <c r="B31" s="14">
        <v>31454</v>
      </c>
      <c r="C31" s="13"/>
      <c r="D31" s="12"/>
      <c r="E31" s="14"/>
      <c r="F31" s="14"/>
    </row>
    <row r="32" spans="1:6" x14ac:dyDescent="0.3">
      <c r="A32" s="11" t="s">
        <v>15</v>
      </c>
      <c r="B32" s="14"/>
      <c r="C32" s="13"/>
      <c r="D32" s="12"/>
      <c r="E32" s="14"/>
      <c r="F32" s="14"/>
    </row>
    <row r="33" spans="1:6" x14ac:dyDescent="0.3">
      <c r="A33" s="11" t="s">
        <v>16</v>
      </c>
      <c r="B33" s="14"/>
      <c r="C33" s="13"/>
      <c r="D33" s="12"/>
      <c r="E33" s="14"/>
      <c r="F33" s="14"/>
    </row>
    <row r="34" spans="1:6" x14ac:dyDescent="0.3">
      <c r="A34" s="11" t="s">
        <v>17</v>
      </c>
      <c r="B34" s="14"/>
      <c r="C34" s="13"/>
      <c r="D34" s="12"/>
      <c r="E34" s="14"/>
      <c r="F34" s="14"/>
    </row>
    <row r="35" spans="1:6" x14ac:dyDescent="0.3">
      <c r="A35" s="11" t="s">
        <v>18</v>
      </c>
      <c r="B35" s="14">
        <v>471</v>
      </c>
      <c r="C35" s="13"/>
      <c r="D35" s="12"/>
      <c r="E35" s="14"/>
      <c r="F35" s="14"/>
    </row>
    <row r="36" spans="1:6" x14ac:dyDescent="0.3">
      <c r="A36" s="4" t="s">
        <v>19</v>
      </c>
      <c r="B36" s="19">
        <v>869.8</v>
      </c>
      <c r="C36" s="18"/>
      <c r="D36" s="17"/>
      <c r="E36" s="19"/>
      <c r="F36" s="19"/>
    </row>
  </sheetData>
  <mergeCells count="2">
    <mergeCell ref="A1:F1"/>
    <mergeCell ref="A20:F20"/>
  </mergeCells>
  <phoneticPr fontId="2" type="noConversion"/>
  <pageMargins left="0.75" right="0.75" top="1" bottom="1" header="0.5" footer="0.5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7" workbookViewId="0">
      <selection activeCell="E21" sqref="E21"/>
    </sheetView>
  </sheetViews>
  <sheetFormatPr defaultColWidth="9" defaultRowHeight="15" x14ac:dyDescent="0.3"/>
  <cols>
    <col min="1" max="1" width="9" style="2"/>
    <col min="2" max="2" width="10" style="3" customWidth="1"/>
    <col min="3" max="3" width="9.42578125" style="3" bestFit="1" customWidth="1"/>
    <col min="4" max="4" width="13" style="3" customWidth="1"/>
    <col min="5" max="5" width="10.2109375" style="3" bestFit="1" customWidth="1"/>
    <col min="6" max="16384" width="9" style="2"/>
  </cols>
  <sheetData>
    <row r="1" spans="1:6" x14ac:dyDescent="0.3">
      <c r="A1" s="52" t="s">
        <v>37</v>
      </c>
      <c r="B1" s="53"/>
      <c r="C1" s="53"/>
      <c r="D1" s="53"/>
      <c r="E1" s="53"/>
    </row>
    <row r="2" spans="1:6" ht="23.6" x14ac:dyDescent="0.3">
      <c r="A2" s="4"/>
      <c r="B2" s="5" t="s">
        <v>38</v>
      </c>
      <c r="C2" s="6" t="s">
        <v>39</v>
      </c>
      <c r="D2" s="46" t="s">
        <v>40</v>
      </c>
      <c r="E2" s="7" t="s">
        <v>41</v>
      </c>
      <c r="F2" s="5" t="s">
        <v>42</v>
      </c>
    </row>
    <row r="3" spans="1:6" x14ac:dyDescent="0.3">
      <c r="A3" s="8" t="s">
        <v>6</v>
      </c>
      <c r="B3" s="9">
        <f>SUM(B4:B16)</f>
        <v>197421</v>
      </c>
      <c r="C3" s="9">
        <f>SUM(C4:C16)</f>
        <v>528.60739999999998</v>
      </c>
      <c r="D3" s="9">
        <f>SUM(D4:D16)</f>
        <v>3001</v>
      </c>
      <c r="E3" s="10">
        <f>SUM(E4:E16)</f>
        <v>4052.37</v>
      </c>
      <c r="F3" s="10">
        <f>SUM(F4:F16)</f>
        <v>7.89</v>
      </c>
    </row>
    <row r="4" spans="1:6" x14ac:dyDescent="0.3">
      <c r="A4" s="11" t="s">
        <v>7</v>
      </c>
      <c r="B4" s="12"/>
      <c r="C4" s="13">
        <v>175.68</v>
      </c>
      <c r="D4" s="14"/>
      <c r="E4" s="15"/>
      <c r="F4" s="13"/>
    </row>
    <row r="5" spans="1:6" x14ac:dyDescent="0.3">
      <c r="A5" s="11" t="s">
        <v>8</v>
      </c>
      <c r="B5" s="12"/>
      <c r="C5" s="13">
        <v>64.687399999999997</v>
      </c>
      <c r="D5" s="14"/>
      <c r="E5" s="15"/>
      <c r="F5" s="13"/>
    </row>
    <row r="6" spans="1:6" x14ac:dyDescent="0.3">
      <c r="A6" s="11" t="s">
        <v>9</v>
      </c>
      <c r="B6" s="12"/>
      <c r="C6" s="13">
        <v>59.44</v>
      </c>
      <c r="D6" s="14"/>
      <c r="E6" s="15"/>
      <c r="F6" s="13"/>
    </row>
    <row r="7" spans="1:6" x14ac:dyDescent="0.3">
      <c r="A7" s="11" t="s">
        <v>10</v>
      </c>
      <c r="B7" s="12"/>
      <c r="C7" s="13"/>
      <c r="D7" s="14"/>
      <c r="E7" s="15"/>
      <c r="F7" s="13"/>
    </row>
    <row r="8" spans="1:6" x14ac:dyDescent="0.3">
      <c r="A8" s="11" t="s">
        <v>11</v>
      </c>
      <c r="B8" s="12">
        <v>197421</v>
      </c>
      <c r="C8" s="13"/>
      <c r="D8" s="14"/>
      <c r="E8" s="15"/>
      <c r="F8" s="13"/>
    </row>
    <row r="9" spans="1:6" x14ac:dyDescent="0.3">
      <c r="A9" s="11" t="s">
        <v>12</v>
      </c>
      <c r="B9" s="12"/>
      <c r="C9" s="13">
        <v>71.86</v>
      </c>
      <c r="D9" s="14"/>
      <c r="E9" s="15"/>
      <c r="F9" s="13"/>
    </row>
    <row r="10" spans="1:6" x14ac:dyDescent="0.3">
      <c r="A10" s="11" t="s">
        <v>13</v>
      </c>
      <c r="B10" s="12"/>
      <c r="C10" s="13">
        <v>43.62</v>
      </c>
      <c r="D10" s="14">
        <v>3001</v>
      </c>
      <c r="E10" s="15"/>
      <c r="F10" s="13"/>
    </row>
    <row r="11" spans="1:6" x14ac:dyDescent="0.3">
      <c r="A11" s="11" t="s">
        <v>14</v>
      </c>
      <c r="B11" s="12"/>
      <c r="C11" s="13">
        <v>35.020000000000003</v>
      </c>
      <c r="D11" s="14"/>
      <c r="E11" s="15"/>
      <c r="F11" s="13"/>
    </row>
    <row r="12" spans="1:6" x14ac:dyDescent="0.3">
      <c r="A12" s="11" t="s">
        <v>15</v>
      </c>
      <c r="B12" s="12"/>
      <c r="C12" s="13"/>
      <c r="D12" s="14"/>
      <c r="E12" s="10">
        <v>4052.37</v>
      </c>
      <c r="F12" s="13"/>
    </row>
    <row r="13" spans="1:6" x14ac:dyDescent="0.3">
      <c r="A13" s="11" t="s">
        <v>16</v>
      </c>
      <c r="B13" s="12"/>
      <c r="C13" s="13"/>
      <c r="D13" s="14"/>
      <c r="E13" s="16"/>
      <c r="F13" s="13"/>
    </row>
    <row r="14" spans="1:6" x14ac:dyDescent="0.3">
      <c r="A14" s="11" t="s">
        <v>17</v>
      </c>
      <c r="B14" s="12"/>
      <c r="C14" s="13">
        <v>12.64</v>
      </c>
      <c r="D14" s="14"/>
      <c r="E14" s="16"/>
      <c r="F14" s="13"/>
    </row>
    <row r="15" spans="1:6" x14ac:dyDescent="0.3">
      <c r="A15" s="11" t="s">
        <v>18</v>
      </c>
      <c r="B15" s="12"/>
      <c r="C15" s="13">
        <v>65.66</v>
      </c>
      <c r="D15" s="14"/>
      <c r="E15" s="16"/>
      <c r="F15" s="13">
        <v>7.89</v>
      </c>
    </row>
    <row r="16" spans="1:6" x14ac:dyDescent="0.3">
      <c r="A16" s="4" t="s">
        <v>19</v>
      </c>
      <c r="B16" s="17"/>
      <c r="C16" s="18"/>
      <c r="D16" s="19"/>
      <c r="E16" s="20"/>
      <c r="F16" s="19"/>
    </row>
    <row r="17" spans="1:5" x14ac:dyDescent="0.3">
      <c r="A17" s="21"/>
      <c r="B17" s="22"/>
      <c r="C17" s="22"/>
      <c r="D17" s="22"/>
      <c r="E17" s="22"/>
    </row>
    <row r="18" spans="1:5" x14ac:dyDescent="0.3">
      <c r="A18" s="21"/>
      <c r="B18" s="22"/>
      <c r="C18" s="22"/>
      <c r="D18" s="22"/>
      <c r="E18" s="22"/>
    </row>
    <row r="19" spans="1:5" x14ac:dyDescent="0.3">
      <c r="A19" s="21"/>
      <c r="B19" s="22"/>
      <c r="C19" s="22"/>
      <c r="D19" s="22"/>
      <c r="E19" s="22"/>
    </row>
    <row r="20" spans="1:5" x14ac:dyDescent="0.3">
      <c r="A20" s="52" t="s">
        <v>43</v>
      </c>
      <c r="B20" s="53"/>
      <c r="C20" s="53"/>
      <c r="D20" s="53"/>
      <c r="E20" s="53"/>
    </row>
    <row r="21" spans="1:5" ht="23.6" x14ac:dyDescent="0.3">
      <c r="A21" s="23"/>
      <c r="B21" s="24" t="s">
        <v>44</v>
      </c>
      <c r="C21" s="24" t="s">
        <v>45</v>
      </c>
      <c r="D21" s="24" t="s">
        <v>46</v>
      </c>
      <c r="E21" s="46" t="s">
        <v>47</v>
      </c>
    </row>
    <row r="22" spans="1:5" s="1" customFormat="1" x14ac:dyDescent="0.3">
      <c r="A22" s="8" t="s">
        <v>6</v>
      </c>
      <c r="B22" s="25">
        <f>SUM(B23:B35)</f>
        <v>21060</v>
      </c>
      <c r="C22" s="25">
        <f>SUM(C23:C35)</f>
        <v>3589.4</v>
      </c>
      <c r="D22" s="25">
        <f>SUM(D23:D35)</f>
        <v>125950</v>
      </c>
      <c r="E22" s="25">
        <f>SUM(E23:E35)</f>
        <v>62241</v>
      </c>
    </row>
    <row r="23" spans="1:5" x14ac:dyDescent="0.3">
      <c r="A23" s="26" t="s">
        <v>7</v>
      </c>
      <c r="B23" s="14">
        <v>21060</v>
      </c>
      <c r="C23" s="14"/>
      <c r="D23" s="14"/>
      <c r="E23" s="14"/>
    </row>
    <row r="24" spans="1:5" x14ac:dyDescent="0.3">
      <c r="A24" s="26" t="s">
        <v>8</v>
      </c>
      <c r="B24" s="14"/>
      <c r="C24" s="14"/>
      <c r="D24" s="14"/>
      <c r="E24" s="14"/>
    </row>
    <row r="25" spans="1:5" x14ac:dyDescent="0.3">
      <c r="A25" s="26" t="s">
        <v>9</v>
      </c>
      <c r="B25" s="14"/>
      <c r="C25" s="14"/>
      <c r="D25" s="14"/>
      <c r="E25" s="27"/>
    </row>
    <row r="26" spans="1:5" x14ac:dyDescent="0.3">
      <c r="A26" s="26" t="s">
        <v>10</v>
      </c>
      <c r="B26" s="14"/>
      <c r="C26" s="14">
        <v>1676</v>
      </c>
      <c r="D26" s="14"/>
      <c r="E26" s="14"/>
    </row>
    <row r="27" spans="1:5" x14ac:dyDescent="0.3">
      <c r="A27" s="26" t="s">
        <v>11</v>
      </c>
      <c r="B27" s="14"/>
      <c r="C27" s="14">
        <v>1913.4</v>
      </c>
      <c r="D27" s="14"/>
      <c r="E27" s="14"/>
    </row>
    <row r="28" spans="1:5" x14ac:dyDescent="0.3">
      <c r="A28" s="26" t="s">
        <v>12</v>
      </c>
      <c r="B28" s="14"/>
      <c r="C28" s="14"/>
      <c r="D28" s="14"/>
      <c r="E28" s="14">
        <v>39140</v>
      </c>
    </row>
    <row r="29" spans="1:5" x14ac:dyDescent="0.3">
      <c r="A29" s="26" t="s">
        <v>13</v>
      </c>
      <c r="B29" s="14"/>
      <c r="C29" s="14"/>
      <c r="D29" s="14">
        <v>125950</v>
      </c>
      <c r="E29" s="14">
        <v>15261</v>
      </c>
    </row>
    <row r="30" spans="1:5" x14ac:dyDescent="0.3">
      <c r="A30" s="26" t="s">
        <v>14</v>
      </c>
      <c r="B30" s="14"/>
      <c r="C30" s="14"/>
      <c r="D30" s="14"/>
      <c r="E30" s="14"/>
    </row>
    <row r="31" spans="1:5" x14ac:dyDescent="0.3">
      <c r="A31" s="26" t="s">
        <v>15</v>
      </c>
      <c r="B31" s="14"/>
      <c r="C31" s="14"/>
      <c r="D31" s="14"/>
      <c r="E31" s="14"/>
    </row>
    <row r="32" spans="1:5" x14ac:dyDescent="0.3">
      <c r="A32" s="26" t="s">
        <v>16</v>
      </c>
      <c r="B32" s="14"/>
      <c r="C32" s="14"/>
      <c r="D32" s="14"/>
      <c r="E32" s="14">
        <v>7840</v>
      </c>
    </row>
    <row r="33" spans="1:5" x14ac:dyDescent="0.3">
      <c r="A33" s="26" t="s">
        <v>17</v>
      </c>
      <c r="B33" s="14"/>
      <c r="C33" s="14"/>
      <c r="D33" s="14"/>
      <c r="E33" s="14"/>
    </row>
    <row r="34" spans="1:5" x14ac:dyDescent="0.3">
      <c r="A34" s="26" t="s">
        <v>18</v>
      </c>
      <c r="B34" s="14"/>
      <c r="C34" s="14"/>
      <c r="D34" s="14"/>
      <c r="E34" s="14"/>
    </row>
    <row r="35" spans="1:5" x14ac:dyDescent="0.3">
      <c r="A35" s="28" t="s">
        <v>19</v>
      </c>
      <c r="B35" s="19"/>
      <c r="C35" s="19"/>
      <c r="D35" s="19"/>
      <c r="E35" s="19"/>
    </row>
  </sheetData>
  <mergeCells count="2">
    <mergeCell ref="A1:E1"/>
    <mergeCell ref="A20:E20"/>
  </mergeCells>
  <phoneticPr fontId="2" type="noConversion"/>
  <pageMargins left="0.75" right="0.75" top="1" bottom="1" header="0.5" footer="0.5"/>
  <pageSetup paperSize="9" orientation="portrait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30及续1</vt:lpstr>
      <vt:lpstr>续2续3</vt:lpstr>
      <vt:lpstr>续4续5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>1</cp:revision>
  <dcterms:created xsi:type="dcterms:W3CDTF">2015-08-06T06:57:04Z</dcterms:created>
  <dcterms:modified xsi:type="dcterms:W3CDTF">2025-03-30T13:12:26Z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