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2、固定资产投资\"/>
    </mc:Choice>
  </mc:AlternateContent>
  <xr:revisionPtr revIDLastSave="0" documentId="8_{87CFDFF2-E934-4B6C-934B-954B2E0D2F11}" xr6:coauthVersionLast="36" xr6:coauthVersionMax="36" xr10:uidLastSave="{00000000-0000-0000-0000-000000000000}"/>
  <bookViews>
    <workbookView xWindow="32769" yWindow="32769" windowWidth="18540" windowHeight="8683" activeTab="6"/>
  </bookViews>
  <sheets>
    <sheet name="12-1" sheetId="1" r:id="rId1"/>
    <sheet name="12-2" sheetId="3" r:id="rId2"/>
    <sheet name="12-3" sheetId="4" r:id="rId3"/>
    <sheet name="12-4" sheetId="5" r:id="rId4"/>
    <sheet name="12-4续" sheetId="6" r:id="rId5"/>
    <sheet name="12-5" sheetId="7" r:id="rId6"/>
    <sheet name="12-6" sheetId="8" r:id="rId7"/>
    <sheet name="Sheet1" sheetId="9" r:id="rId8"/>
  </sheets>
  <definedNames>
    <definedName name="_xlnm._FilterDatabase" localSheetId="3" hidden="1">'12-4'!$B$1:$B$96</definedName>
    <definedName name="_xlnm._FilterDatabase" localSheetId="4" hidden="1">'12-4续'!$E$1:$E$88</definedName>
    <definedName name="_xlnm._FilterDatabase" localSheetId="5" hidden="1">'12-5'!$C$1:$C$96</definedName>
  </definedNames>
  <calcPr calcId="191029"/>
</workbook>
</file>

<file path=xl/calcChain.xml><?xml version="1.0" encoding="utf-8"?>
<calcChain xmlns="http://schemas.openxmlformats.org/spreadsheetml/2006/main">
  <c r="C26" i="6" l="1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E33" i="6"/>
  <c r="C15" i="6"/>
  <c r="C16" i="6"/>
  <c r="C17" i="6"/>
  <c r="C18" i="6"/>
  <c r="E41" i="5"/>
  <c r="E42" i="5"/>
  <c r="E43" i="5"/>
  <c r="E44" i="5"/>
  <c r="E45" i="5"/>
  <c r="C41" i="5"/>
  <c r="C42" i="5"/>
  <c r="C43" i="5"/>
  <c r="C44" i="5"/>
  <c r="C45" i="5"/>
  <c r="C13" i="4"/>
  <c r="C7" i="4"/>
  <c r="E6" i="4"/>
  <c r="D16" i="3"/>
  <c r="D17" i="3"/>
  <c r="D19" i="3"/>
  <c r="D20" i="3"/>
  <c r="D21" i="3"/>
  <c r="D22" i="3"/>
  <c r="D23" i="3"/>
  <c r="D24" i="3"/>
  <c r="D15" i="3"/>
  <c r="E6" i="7"/>
  <c r="E7" i="7"/>
  <c r="E8" i="7"/>
  <c r="E9" i="7"/>
  <c r="E10" i="7"/>
  <c r="E11" i="7"/>
  <c r="E12" i="7"/>
  <c r="E13" i="7"/>
  <c r="E15" i="7"/>
  <c r="E16" i="7"/>
  <c r="E17" i="7"/>
  <c r="E21" i="7"/>
  <c r="E22" i="7"/>
  <c r="E23" i="7"/>
  <c r="E24" i="7"/>
  <c r="E25" i="7"/>
  <c r="C6" i="7"/>
  <c r="C7" i="7"/>
  <c r="C8" i="7"/>
  <c r="C9" i="7"/>
  <c r="C11" i="7"/>
  <c r="C13" i="7"/>
  <c r="C15" i="7"/>
  <c r="C16" i="7"/>
  <c r="C17" i="7"/>
  <c r="C21" i="7"/>
  <c r="C22" i="7"/>
  <c r="C23" i="7"/>
  <c r="C24" i="7"/>
  <c r="C25" i="7"/>
  <c r="E43" i="6"/>
  <c r="E42" i="6"/>
  <c r="E41" i="6"/>
  <c r="E37" i="6"/>
  <c r="E32" i="6"/>
  <c r="E25" i="6"/>
  <c r="C25" i="6"/>
  <c r="E24" i="6"/>
  <c r="C24" i="6"/>
  <c r="E21" i="6"/>
  <c r="E20" i="6"/>
  <c r="E18" i="6"/>
  <c r="E17" i="6"/>
  <c r="E15" i="6"/>
  <c r="E14" i="6"/>
  <c r="C14" i="6"/>
  <c r="E13" i="6"/>
  <c r="C13" i="6"/>
  <c r="E11" i="6"/>
  <c r="E10" i="6"/>
  <c r="E6" i="6"/>
  <c r="C6" i="6"/>
  <c r="E10" i="5"/>
  <c r="E11" i="5"/>
  <c r="E14" i="5"/>
  <c r="E16" i="5"/>
  <c r="E18" i="5"/>
  <c r="E39" i="5"/>
  <c r="E40" i="5"/>
  <c r="E46" i="5"/>
  <c r="E47" i="5"/>
  <c r="C39" i="5"/>
  <c r="C40" i="5"/>
  <c r="C46" i="5"/>
  <c r="C47" i="5"/>
  <c r="C10" i="5"/>
  <c r="C11" i="5"/>
  <c r="C12" i="5"/>
  <c r="C14" i="5"/>
  <c r="C8" i="4"/>
  <c r="C12" i="4"/>
  <c r="C17" i="4"/>
  <c r="E7" i="4"/>
  <c r="E8" i="4"/>
  <c r="E11" i="4"/>
  <c r="E12" i="4"/>
  <c r="E13" i="4"/>
  <c r="C48" i="1"/>
  <c r="E5" i="7"/>
  <c r="C5" i="7"/>
  <c r="C47" i="1"/>
  <c r="C30" i="4"/>
  <c r="E31" i="4"/>
  <c r="E27" i="4"/>
  <c r="E28" i="4"/>
  <c r="C27" i="4"/>
  <c r="C28" i="4"/>
  <c r="E29" i="4"/>
  <c r="E32" i="4"/>
  <c r="E33" i="4"/>
  <c r="C29" i="4"/>
  <c r="C31" i="4"/>
  <c r="C32" i="4"/>
  <c r="C33" i="4"/>
  <c r="E30" i="4"/>
</calcChain>
</file>

<file path=xl/sharedStrings.xml><?xml version="1.0" encoding="utf-8"?>
<sst xmlns="http://schemas.openxmlformats.org/spreadsheetml/2006/main" count="256" uniqueCount="219">
  <si>
    <r>
      <t xml:space="preserve">12—1    </t>
    </r>
    <r>
      <rPr>
        <sz val="16"/>
        <rFont val="宋体"/>
        <charset val="134"/>
      </rPr>
      <t>历年全盟固定资产投资情况</t>
    </r>
  </si>
  <si>
    <r>
      <t>单位</t>
    </r>
    <r>
      <rPr>
        <sz val="10"/>
        <rFont val="Times New Roman"/>
        <family val="1"/>
      </rPr>
      <t>:</t>
    </r>
    <r>
      <rPr>
        <sz val="10"/>
        <rFont val="宋体"/>
        <charset val="134"/>
      </rPr>
      <t>万元</t>
    </r>
  </si>
  <si>
    <r>
      <t>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份</t>
    </r>
  </si>
  <si>
    <r>
      <t>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计</t>
    </r>
  </si>
  <si>
    <t>按报表种类划分</t>
  </si>
  <si>
    <t>按产业划分</t>
  </si>
  <si>
    <r>
      <t>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本</t>
    </r>
    <r>
      <rPr>
        <sz val="9"/>
        <rFont val="Times New Roman"/>
        <family val="1"/>
      </rPr>
      <t xml:space="preserve">                                                        </t>
    </r>
    <r>
      <rPr>
        <sz val="9"/>
        <rFont val="宋体"/>
        <charset val="134"/>
      </rPr>
      <t>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设</t>
    </r>
  </si>
  <si>
    <r>
      <t>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新</t>
    </r>
    <r>
      <rPr>
        <sz val="9"/>
        <rFont val="Times New Roman"/>
        <family val="1"/>
      </rPr>
      <t xml:space="preserve">                                                  </t>
    </r>
    <r>
      <rPr>
        <sz val="9"/>
        <rFont val="宋体"/>
        <charset val="134"/>
      </rPr>
      <t>改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造</t>
    </r>
  </si>
  <si>
    <r>
      <t>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他</t>
    </r>
    <r>
      <rPr>
        <sz val="9"/>
        <rFont val="Times New Roman"/>
        <family val="1"/>
      </rPr>
      <t xml:space="preserve">                                                                                                     </t>
    </r>
    <r>
      <rPr>
        <sz val="9"/>
        <rFont val="宋体"/>
        <charset val="134"/>
      </rPr>
      <t>投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资</t>
    </r>
  </si>
  <si>
    <r>
      <t>房地产</t>
    </r>
    <r>
      <rPr>
        <sz val="9"/>
        <rFont val="Times New Roman"/>
        <family val="1"/>
      </rPr>
      <t xml:space="preserve">                                                                                     </t>
    </r>
    <r>
      <rPr>
        <sz val="9"/>
        <rFont val="宋体"/>
        <charset val="134"/>
      </rPr>
      <t>开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发</t>
    </r>
  </si>
  <si>
    <t>第一产业</t>
  </si>
  <si>
    <t>第二产业</t>
  </si>
  <si>
    <t>第三产业</t>
  </si>
  <si>
    <t>12-2全社会固定资产投资完成情况（一）</t>
  </si>
  <si>
    <t>单位：万元、平方米</t>
  </si>
  <si>
    <t>一、投资总额</t>
  </si>
  <si>
    <r>
      <t xml:space="preserve">        </t>
    </r>
    <r>
      <rPr>
        <sz val="9"/>
        <rFont val="宋体"/>
        <charset val="134"/>
      </rPr>
      <t>按经济类型分</t>
    </r>
  </si>
  <si>
    <r>
      <t xml:space="preserve">            </t>
    </r>
    <r>
      <rPr>
        <sz val="9"/>
        <rFont val="宋体"/>
        <charset val="134"/>
      </rPr>
      <t>国有经济</t>
    </r>
  </si>
  <si>
    <r>
      <t xml:space="preserve">            </t>
    </r>
    <r>
      <rPr>
        <sz val="9"/>
        <rFont val="宋体"/>
        <charset val="134"/>
      </rPr>
      <t>非国有经济</t>
    </r>
  </si>
  <si>
    <r>
      <t xml:space="preserve">        </t>
    </r>
    <r>
      <rPr>
        <sz val="9"/>
        <rFont val="宋体"/>
        <charset val="134"/>
      </rPr>
      <t>按资金来源分</t>
    </r>
  </si>
  <si>
    <r>
      <t xml:space="preserve">            </t>
    </r>
    <r>
      <rPr>
        <sz val="9"/>
        <rFont val="宋体"/>
        <charset val="134"/>
      </rPr>
      <t>国家预算内资金</t>
    </r>
  </si>
  <si>
    <r>
      <t xml:space="preserve">            </t>
    </r>
    <r>
      <rPr>
        <sz val="9"/>
        <rFont val="宋体"/>
        <charset val="134"/>
      </rPr>
      <t>国内贷款</t>
    </r>
  </si>
  <si>
    <r>
      <t xml:space="preserve">            </t>
    </r>
    <r>
      <rPr>
        <sz val="9"/>
        <rFont val="宋体"/>
        <charset val="134"/>
      </rPr>
      <t>利用外资</t>
    </r>
  </si>
  <si>
    <r>
      <t xml:space="preserve">            </t>
    </r>
    <r>
      <rPr>
        <sz val="9"/>
        <rFont val="宋体"/>
        <charset val="134"/>
      </rPr>
      <t>自筹资金</t>
    </r>
  </si>
  <si>
    <r>
      <t xml:space="preserve">            </t>
    </r>
    <r>
      <rPr>
        <sz val="9"/>
        <rFont val="宋体"/>
        <charset val="134"/>
      </rPr>
      <t>其他资金</t>
    </r>
  </si>
  <si>
    <r>
      <t xml:space="preserve">        </t>
    </r>
    <r>
      <rPr>
        <sz val="9"/>
        <rFont val="宋体"/>
        <charset val="134"/>
      </rPr>
      <t>按构成分</t>
    </r>
  </si>
  <si>
    <r>
      <t xml:space="preserve">            </t>
    </r>
    <r>
      <rPr>
        <sz val="9"/>
        <rFont val="宋体"/>
        <charset val="134"/>
      </rPr>
      <t>建筑安装工程</t>
    </r>
  </si>
  <si>
    <r>
      <t xml:space="preserve">            </t>
    </r>
    <r>
      <rPr>
        <sz val="9"/>
        <rFont val="宋体"/>
        <charset val="134"/>
      </rPr>
      <t>设备工器具购置</t>
    </r>
  </si>
  <si>
    <r>
      <t xml:space="preserve">            </t>
    </r>
    <r>
      <rPr>
        <sz val="9"/>
        <rFont val="宋体"/>
        <charset val="134"/>
      </rPr>
      <t>其他费用</t>
    </r>
  </si>
  <si>
    <t>二、房屋建筑面积</t>
  </si>
  <si>
    <r>
      <t xml:space="preserve">       </t>
    </r>
    <r>
      <rPr>
        <sz val="9"/>
        <rFont val="宋体"/>
        <charset val="134"/>
      </rPr>
      <t>施工房屋面积</t>
    </r>
  </si>
  <si>
    <r>
      <t xml:space="preserve">            #</t>
    </r>
    <r>
      <rPr>
        <sz val="9"/>
        <rFont val="宋体"/>
        <charset val="134"/>
      </rPr>
      <t>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宅</t>
    </r>
  </si>
  <si>
    <r>
      <t xml:space="preserve">        </t>
    </r>
    <r>
      <rPr>
        <sz val="9"/>
        <rFont val="宋体"/>
        <charset val="134"/>
      </rPr>
      <t>竣工房屋面积</t>
    </r>
  </si>
  <si>
    <r>
      <t xml:space="preserve">        </t>
    </r>
    <r>
      <rPr>
        <sz val="9"/>
        <rFont val="宋体"/>
        <charset val="134"/>
      </rPr>
      <t>竣工房屋价值</t>
    </r>
  </si>
  <si>
    <r>
      <t xml:space="preserve">12—3    </t>
    </r>
    <r>
      <rPr>
        <sz val="16"/>
        <rFont val="宋体"/>
        <charset val="134"/>
      </rPr>
      <t>全社会固定资产完成情况（二）</t>
    </r>
  </si>
  <si>
    <t>单位：万元</t>
  </si>
  <si>
    <t>总计</t>
  </si>
  <si>
    <t>按隶属关系分</t>
  </si>
  <si>
    <t>中央</t>
  </si>
  <si>
    <t>地方</t>
  </si>
  <si>
    <t>省</t>
  </si>
  <si>
    <t>地市县属</t>
  </si>
  <si>
    <t>投资总额</t>
  </si>
  <si>
    <r>
      <t>扩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建</t>
    </r>
  </si>
  <si>
    <t>改建和技术改造</t>
  </si>
  <si>
    <r>
      <t xml:space="preserve">12—4    </t>
    </r>
    <r>
      <rPr>
        <sz val="16"/>
        <rFont val="宋体"/>
        <charset val="134"/>
      </rPr>
      <t>全社会固定资产按分行业情况</t>
    </r>
  </si>
  <si>
    <t xml:space="preserve">  </t>
  </si>
  <si>
    <r>
      <t>12—4</t>
    </r>
    <r>
      <rPr>
        <sz val="16"/>
        <rFont val="宋体"/>
        <charset val="134"/>
      </rPr>
      <t>续表</t>
    </r>
  </si>
  <si>
    <r>
      <t xml:space="preserve">12—5   </t>
    </r>
    <r>
      <rPr>
        <sz val="16"/>
        <rFont val="宋体"/>
        <charset val="134"/>
      </rPr>
      <t>全社会固定资产投资项目及资金来源情况</t>
    </r>
  </si>
  <si>
    <t>单位：万元、平方米、个</t>
  </si>
  <si>
    <t>本年新增固定资产</t>
  </si>
  <si>
    <r>
      <t>施工项目个数</t>
    </r>
    <r>
      <rPr>
        <sz val="9"/>
        <rFont val="Times New Roman"/>
        <family val="1"/>
      </rPr>
      <t xml:space="preserve"> </t>
    </r>
  </si>
  <si>
    <t xml:space="preserve">   # 本年新开工项目个数</t>
  </si>
  <si>
    <t>本年投产项目个数</t>
  </si>
  <si>
    <t>本年施工房屋面积</t>
  </si>
  <si>
    <r>
      <t xml:space="preserve">    #</t>
    </r>
    <r>
      <rPr>
        <sz val="9"/>
        <rFont val="宋体"/>
        <charset val="134"/>
      </rPr>
      <t>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宅</t>
    </r>
  </si>
  <si>
    <t>本年竣工房屋面积</t>
  </si>
  <si>
    <t>12-6  固定资产投资新增资产能力情况</t>
  </si>
  <si>
    <t>单位</t>
  </si>
  <si>
    <t>建设规模</t>
  </si>
  <si>
    <t>施工规模</t>
  </si>
  <si>
    <t>新开工规模</t>
  </si>
  <si>
    <t>累计新增能力</t>
  </si>
  <si>
    <t>本年新增</t>
  </si>
  <si>
    <t>原煤开采</t>
  </si>
  <si>
    <t>万吨/年</t>
  </si>
  <si>
    <t>公里</t>
  </si>
  <si>
    <t>万千瓦</t>
  </si>
  <si>
    <t>新建公路</t>
  </si>
  <si>
    <t>改建公路</t>
  </si>
  <si>
    <t>吨/年</t>
  </si>
  <si>
    <t>万吨/日</t>
  </si>
  <si>
    <t xml:space="preserve">           其他企业 </t>
  </si>
  <si>
    <t xml:space="preserve">           港、澳、台商独资经营企业 </t>
  </si>
  <si>
    <t xml:space="preserve">           中外合作经营企业 </t>
  </si>
  <si>
    <t>新  建</t>
    <phoneticPr fontId="2" type="noConversion"/>
  </si>
  <si>
    <t xml:space="preserve">       农业 </t>
  </si>
  <si>
    <t xml:space="preserve">       林业 </t>
  </si>
  <si>
    <t xml:space="preserve">       畜牧业 </t>
  </si>
  <si>
    <t xml:space="preserve">       农、林、牧、渔服务业 </t>
  </si>
  <si>
    <t xml:space="preserve">       煤炭开采和洗选业 </t>
  </si>
  <si>
    <t xml:space="preserve">       石油和天然气开采业 </t>
  </si>
  <si>
    <t xml:space="preserve">       黑色金属矿采选业 </t>
  </si>
  <si>
    <t xml:space="preserve">       有色金属矿采选业 </t>
  </si>
  <si>
    <t xml:space="preserve">       非金属矿采选业 </t>
  </si>
  <si>
    <t xml:space="preserve">       农副食品加工业 </t>
  </si>
  <si>
    <t xml:space="preserve">       食品制造业 </t>
  </si>
  <si>
    <t xml:space="preserve">       酒、饮料和精制茶制造业 </t>
  </si>
  <si>
    <t xml:space="preserve">       纺织业 </t>
  </si>
  <si>
    <t xml:space="preserve">       纺织服装、服饰业 </t>
  </si>
  <si>
    <t xml:space="preserve">       皮革、毛皮、羽毛及其制品和制鞋业 </t>
  </si>
  <si>
    <t xml:space="preserve">       石油加工、炼焦和核燃料加工业 </t>
  </si>
  <si>
    <t xml:space="preserve">       橡胶和塑料制品业 </t>
  </si>
  <si>
    <t xml:space="preserve">       非金属矿物制品业 </t>
  </si>
  <si>
    <t xml:space="preserve">       黑色金属冶炼和压延加工业 </t>
  </si>
  <si>
    <t xml:space="preserve">       有色金属冶炼和压延加工业 </t>
  </si>
  <si>
    <t xml:space="preserve">       金属制品业 </t>
  </si>
  <si>
    <t xml:space="preserve">       通用设备制造业 </t>
  </si>
  <si>
    <t xml:space="preserve">       专用设备制造业 </t>
  </si>
  <si>
    <t xml:space="preserve">       电气机械和器材制造业 </t>
  </si>
  <si>
    <t xml:space="preserve">       废弃资源综合利用业 </t>
  </si>
  <si>
    <t xml:space="preserve">       金属制品、机械和设备修理业 </t>
  </si>
  <si>
    <t xml:space="preserve">       电力、热力生产和供应业 </t>
  </si>
  <si>
    <t xml:space="preserve">       燃气生产和供应业 </t>
  </si>
  <si>
    <t xml:space="preserve">       水的生产和供应业 </t>
  </si>
  <si>
    <t xml:space="preserve">       批发业 </t>
  </si>
  <si>
    <t xml:space="preserve">       道路运输业 </t>
  </si>
  <si>
    <t xml:space="preserve">       航空运输业 </t>
  </si>
  <si>
    <t xml:space="preserve">       装卸搬运和运输代理业 </t>
  </si>
  <si>
    <t xml:space="preserve">       仓储业 </t>
  </si>
  <si>
    <t xml:space="preserve">       住宿业 </t>
  </si>
  <si>
    <t xml:space="preserve">       电信、广播电视和卫星传输服务 </t>
  </si>
  <si>
    <t xml:space="preserve">       互联网和相关服务 </t>
  </si>
  <si>
    <t xml:space="preserve">       软件和信息技术服务业 </t>
  </si>
  <si>
    <t xml:space="preserve">       货币金融服务 </t>
  </si>
  <si>
    <t xml:space="preserve">       房地产业 </t>
  </si>
  <si>
    <t xml:space="preserve">       商务服务业 </t>
  </si>
  <si>
    <t xml:space="preserve">       专业技术服务业 </t>
  </si>
  <si>
    <t xml:space="preserve">       水利管理业 </t>
  </si>
  <si>
    <t xml:space="preserve">       生态保护和环境治理业 </t>
  </si>
  <si>
    <t xml:space="preserve">       公共设施管理业 </t>
  </si>
  <si>
    <t xml:space="preserve">       居民服务业 </t>
  </si>
  <si>
    <t xml:space="preserve">       教育 </t>
  </si>
  <si>
    <t xml:space="preserve">       卫生 </t>
  </si>
  <si>
    <t xml:space="preserve">       社会工作 </t>
  </si>
  <si>
    <t xml:space="preserve">       广播、电视、电影和影视录音制作业 </t>
  </si>
  <si>
    <t xml:space="preserve">       文化艺术业 </t>
  </si>
  <si>
    <t xml:space="preserve">       体育 </t>
  </si>
  <si>
    <t xml:space="preserve">       娱乐业 </t>
  </si>
  <si>
    <t xml:space="preserve">       国家机构 </t>
  </si>
  <si>
    <t xml:space="preserve">       群众团体、社会团体和其他成员组织 </t>
  </si>
  <si>
    <t>铁矿开采(原矿)</t>
  </si>
  <si>
    <t>铜采矿(原矿)</t>
  </si>
  <si>
    <t>铅锌采矿(原矿)</t>
  </si>
  <si>
    <t>锌冶炼</t>
    <phoneticPr fontId="2" type="noConversion"/>
  </si>
  <si>
    <t>天然原油开采</t>
    <phoneticPr fontId="2" type="noConversion"/>
  </si>
  <si>
    <t>火力发电</t>
    <phoneticPr fontId="2" type="noConversion"/>
  </si>
  <si>
    <t>风力发电</t>
    <phoneticPr fontId="2" type="noConversion"/>
  </si>
  <si>
    <t>太阳能发电</t>
    <phoneticPr fontId="2" type="noConversion"/>
  </si>
  <si>
    <t>输电线路长度(110KV及以上)</t>
    <phoneticPr fontId="2" type="noConversion"/>
  </si>
  <si>
    <t>水泥</t>
    <phoneticPr fontId="2" type="noConversion"/>
  </si>
  <si>
    <t>氮肥</t>
    <phoneticPr fontId="2" type="noConversion"/>
  </si>
  <si>
    <t>注：从2015年开始固定资产投资统计起点由计划总投资50万以上项目调整为计划总投资500万以上项目</t>
    <phoneticPr fontId="2" type="noConversion"/>
  </si>
  <si>
    <t xml:space="preserve">     内资企业 </t>
  </si>
  <si>
    <t xml:space="preserve">         其他有限责任公司 </t>
  </si>
  <si>
    <t xml:space="preserve">         私营股份有限公司 </t>
  </si>
  <si>
    <t xml:space="preserve">     港、澳、台商投资企业 </t>
  </si>
  <si>
    <t xml:space="preserve">           港、澳、台商投资股份有限公司 </t>
  </si>
  <si>
    <t xml:space="preserve">     外商投资企业 </t>
  </si>
  <si>
    <t xml:space="preserve">     个体经营 </t>
  </si>
  <si>
    <t xml:space="preserve">           个人合伙 </t>
  </si>
  <si>
    <r>
      <t xml:space="preserve">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 xml:space="preserve">中外合资经营企业 </t>
    </r>
    <phoneticPr fontId="2" type="noConversion"/>
  </si>
  <si>
    <t xml:space="preserve">     个体户 </t>
    <phoneticPr fontId="2" type="noConversion"/>
  </si>
  <si>
    <t xml:space="preserve">      合资经营企业(港或澳、台资) </t>
    <phoneticPr fontId="2" type="noConversion"/>
  </si>
  <si>
    <r>
      <t xml:space="preserve">         </t>
    </r>
    <r>
      <rPr>
        <sz val="9"/>
        <rFont val="宋体"/>
        <charset val="134"/>
      </rPr>
      <t>私营企业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</si>
  <si>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   </t>
    </r>
    <r>
      <rPr>
        <sz val="9"/>
        <rFont val="宋体"/>
        <charset val="134"/>
      </rPr>
      <t>股份有限公司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</si>
  <si>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   </t>
    </r>
    <r>
      <rPr>
        <sz val="9"/>
        <rFont val="宋体"/>
        <charset val="134"/>
      </rPr>
      <t>有限责任公司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</si>
  <si>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   </t>
    </r>
    <r>
      <rPr>
        <sz val="9"/>
        <rFont val="宋体"/>
        <charset val="134"/>
      </rPr>
      <t>股份合作企业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</si>
  <si>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   </t>
    </r>
    <r>
      <rPr>
        <sz val="9"/>
        <rFont val="宋体"/>
        <charset val="134"/>
      </rPr>
      <t>集体企业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</si>
  <si>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   </t>
    </r>
    <r>
      <rPr>
        <sz val="9"/>
        <rFont val="宋体"/>
        <charset val="134"/>
      </rPr>
      <t>国有企业</t>
    </r>
    <r>
      <rPr>
        <sz val="9"/>
        <rFont val="Times New Roman"/>
        <family val="1"/>
      </rPr>
      <t xml:space="preserve"> </t>
    </r>
    <phoneticPr fontId="2" type="noConversion"/>
  </si>
  <si>
    <t>建筑工程</t>
    <phoneticPr fontId="2" type="noConversion"/>
  </si>
  <si>
    <t>安装工程</t>
    <phoneticPr fontId="2" type="noConversion"/>
  </si>
  <si>
    <t>设备工器具购置</t>
    <phoneticPr fontId="2" type="noConversion"/>
  </si>
  <si>
    <t>其他费用</t>
    <phoneticPr fontId="2" type="noConversion"/>
  </si>
  <si>
    <t xml:space="preserve">     农、林、牧、渔业 </t>
  </si>
  <si>
    <t xml:space="preserve">     采矿业 </t>
  </si>
  <si>
    <t xml:space="preserve">     制造业 </t>
  </si>
  <si>
    <t xml:space="preserve">     电力、热力、燃气及水生产和供应业 </t>
  </si>
  <si>
    <t xml:space="preserve">     批发和零售业 </t>
  </si>
  <si>
    <t xml:space="preserve">       零售业 </t>
  </si>
  <si>
    <t xml:space="preserve">     交通运输、仓储和邮政业 </t>
  </si>
  <si>
    <t xml:space="preserve">       铁路运输业 </t>
  </si>
  <si>
    <t xml:space="preserve">     住宿和餐饮业 </t>
  </si>
  <si>
    <t xml:space="preserve">       餐饮业 </t>
  </si>
  <si>
    <t xml:space="preserve">     信息传输、软件和信息技术服务业 </t>
  </si>
  <si>
    <t xml:space="preserve">     金融业 </t>
  </si>
  <si>
    <t xml:space="preserve">     房地产业 </t>
  </si>
  <si>
    <t xml:space="preserve">     租赁和商务服务业 </t>
  </si>
  <si>
    <t xml:space="preserve">     科学研究和技术服务业 </t>
  </si>
  <si>
    <t xml:space="preserve">     水利、环境和公共设施管理业 </t>
  </si>
  <si>
    <t xml:space="preserve">     居民服务、修理和其他服务业 </t>
  </si>
  <si>
    <t xml:space="preserve">     教育 </t>
  </si>
  <si>
    <t xml:space="preserve">     卫生和社会工作 </t>
  </si>
  <si>
    <t xml:space="preserve">     文化、体育和娱乐业 </t>
  </si>
  <si>
    <t xml:space="preserve">     公共管理、社会保障和社会组织 </t>
  </si>
  <si>
    <t>注：1、从2015年开始固定资产投资统计起点由计划总投资50万以上项目调整为计划总投资500万以上项目,相应同期基数也有所调整。
    2、房屋建筑面积为房地产开发投资指标。</t>
    <phoneticPr fontId="2" type="noConversion"/>
  </si>
  <si>
    <t xml:space="preserve">   1.上年末结余资金 </t>
  </si>
  <si>
    <t xml:space="preserve">   2.本年资金来源小计 </t>
  </si>
  <si>
    <t xml:space="preserve">     (1)国家预算内资金 </t>
  </si>
  <si>
    <t xml:space="preserve">     (2)国内贷款 </t>
  </si>
  <si>
    <t xml:space="preserve">     (3)债券 </t>
  </si>
  <si>
    <t xml:space="preserve">     (4)利用外资 </t>
  </si>
  <si>
    <t xml:space="preserve">       其中：外商直接投资 </t>
  </si>
  <si>
    <t xml:space="preserve">     (5)自筹资金 </t>
  </si>
  <si>
    <t xml:space="preserve">       其中：企、事业单位自有资金 </t>
  </si>
  <si>
    <t xml:space="preserve">     (6)其他资金来源 </t>
  </si>
  <si>
    <t xml:space="preserve">本年资金来源合计（万元） </t>
    <phoneticPr fontId="2" type="noConversion"/>
  </si>
  <si>
    <r>
      <rPr>
        <sz val="9"/>
        <rFont val="宋体"/>
        <charset val="134"/>
      </rPr>
      <t>各项应付款合计（万元）</t>
    </r>
    <r>
      <rPr>
        <sz val="9"/>
        <rFont val="Times New Roman"/>
        <family val="1"/>
      </rPr>
      <t xml:space="preserve"> </t>
    </r>
    <phoneticPr fontId="2" type="noConversion"/>
  </si>
  <si>
    <t xml:space="preserve">   其中：工程款 </t>
    <phoneticPr fontId="2" type="noConversion"/>
  </si>
  <si>
    <t>锡冶炼</t>
    <phoneticPr fontId="2" type="noConversion"/>
  </si>
  <si>
    <t>公斤/年</t>
    <phoneticPr fontId="2" type="noConversion"/>
  </si>
  <si>
    <t>注：房屋建筑面积为投资指标。</t>
    <phoneticPr fontId="2" type="noConversion"/>
  </si>
  <si>
    <r>
      <t>2015</t>
    </r>
    <r>
      <rPr>
        <sz val="9"/>
        <rFont val="宋体"/>
        <charset val="134"/>
      </rPr>
      <t>年</t>
    </r>
    <phoneticPr fontId="2" type="noConversion"/>
  </si>
  <si>
    <r>
      <t>2016</t>
    </r>
    <r>
      <rPr>
        <sz val="10"/>
        <rFont val="宋体"/>
        <charset val="134"/>
      </rPr>
      <t>年</t>
    </r>
    <phoneticPr fontId="2" type="noConversion"/>
  </si>
  <si>
    <r>
      <t>2016</t>
    </r>
    <r>
      <rPr>
        <sz val="9"/>
        <rFont val="宋体"/>
        <charset val="134"/>
      </rPr>
      <t>年比</t>
    </r>
    <r>
      <rPr>
        <sz val="9"/>
        <rFont val="Times New Roman"/>
        <family val="1"/>
      </rPr>
      <t>2015</t>
    </r>
    <r>
      <rPr>
        <sz val="9"/>
        <rFont val="宋体"/>
        <charset val="134"/>
      </rPr>
      <t>年增长</t>
    </r>
    <r>
      <rPr>
        <sz val="9"/>
        <rFont val="Times New Roman"/>
        <family val="1"/>
      </rPr>
      <t>(%)</t>
    </r>
    <phoneticPr fontId="2" type="noConversion"/>
  </si>
  <si>
    <t xml:space="preserve">       家具制造业 </t>
    <phoneticPr fontId="2" type="noConversion"/>
  </si>
  <si>
    <t xml:space="preserve">       木材加工和木、竹、藤</t>
    <phoneticPr fontId="2" type="noConversion"/>
  </si>
  <si>
    <t xml:space="preserve">       化学原料和化学制品制造业 </t>
    <phoneticPr fontId="2" type="noConversion"/>
  </si>
  <si>
    <t xml:space="preserve">       医药制造业</t>
    <phoneticPr fontId="2" type="noConversion"/>
  </si>
  <si>
    <t xml:space="preserve">       汽车制造业 </t>
    <phoneticPr fontId="2" type="noConversion"/>
  </si>
  <si>
    <t xml:space="preserve">       保险业 </t>
    <phoneticPr fontId="2" type="noConversion"/>
  </si>
  <si>
    <t>城市污水处理能力</t>
    <phoneticPr fontId="2" type="noConversion"/>
  </si>
  <si>
    <t>万吨/日</t>
    <phoneticPr fontId="2" type="noConversion"/>
  </si>
  <si>
    <t>黄金</t>
    <phoneticPr fontId="2" type="noConversion"/>
  </si>
  <si>
    <t>其中：银含量</t>
    <phoneticPr fontId="2" type="noConversion"/>
  </si>
  <si>
    <t>其他发电</t>
    <phoneticPr fontId="2" type="noConversion"/>
  </si>
  <si>
    <t>新建铁路里程</t>
  </si>
  <si>
    <t>公里</t>
    <phoneticPr fontId="2" type="noConversion"/>
  </si>
  <si>
    <t>万吨/年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</si>
</sst>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_ "/>
  </numFmts>
  <fonts count="13" x14ac:knownFonts="1">
    <font>
      <sz val="12"/>
      <name val="宋体"/>
      <charset val="134"/>
    </font>
    <font>
      <sz val="16"/>
      <name val="Times New Roman"/>
      <family val="1"/>
    </font>
    <font>
      <sz val="9"/>
      <name val="宋体"/>
      <charset val="134"/>
    </font>
    <font>
      <sz val="9"/>
      <color indexed="8"/>
      <name val="宋体"/>
      <charset val="134"/>
    </font>
    <font>
      <sz val="9"/>
      <name val="Times New Roman"/>
      <family val="1"/>
    </font>
    <font>
      <sz val="10"/>
      <name val="宋体"/>
      <charset val="134"/>
    </font>
    <font>
      <sz val="16"/>
      <name val="宋体"/>
      <charset val="134"/>
    </font>
    <font>
      <sz val="10"/>
      <name val="Times New Roman"/>
      <family val="1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 applyAlignment="1"/>
    <xf numFmtId="0" fontId="0" fillId="2" borderId="0" xfId="0" applyFill="1" applyAlignment="1"/>
    <xf numFmtId="0" fontId="0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Border="1" applyAlignment="1"/>
    <xf numFmtId="0" fontId="2" fillId="0" borderId="0" xfId="0" applyFont="1" applyFill="1" applyBorder="1" applyAlignment="1" applyProtection="1">
      <protection locked="0"/>
    </xf>
    <xf numFmtId="0" fontId="2" fillId="2" borderId="0" xfId="0" applyFont="1" applyFill="1" applyBorder="1" applyAlignment="1" applyProtection="1">
      <protection locked="0"/>
    </xf>
    <xf numFmtId="0" fontId="2" fillId="2" borderId="0" xfId="0" applyFont="1" applyFill="1" applyBorder="1" applyAlignment="1">
      <alignment horizontal="right" vertical="center"/>
    </xf>
    <xf numFmtId="0" fontId="0" fillId="0" borderId="0" xfId="0" applyFont="1" applyBorder="1" applyAlignment="1"/>
    <xf numFmtId="49" fontId="2" fillId="3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protection locked="0"/>
    </xf>
    <xf numFmtId="0" fontId="2" fillId="0" borderId="0" xfId="0" applyFont="1" applyAlignment="1"/>
    <xf numFmtId="0" fontId="5" fillId="0" borderId="0" xfId="0" applyFont="1" applyFill="1" applyAlignment="1" applyProtection="1">
      <protection locked="0"/>
    </xf>
    <xf numFmtId="0" fontId="7" fillId="0" borderId="2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>
      <alignment horizontal="right" vertical="center"/>
    </xf>
    <xf numFmtId="0" fontId="5" fillId="0" borderId="2" xfId="0" applyFont="1" applyFill="1" applyBorder="1" applyAlignment="1" applyProtection="1">
      <alignment horizontal="center"/>
      <protection locked="0"/>
    </xf>
    <xf numFmtId="0" fontId="0" fillId="0" borderId="0" xfId="0" applyFill="1" applyAlignment="1"/>
    <xf numFmtId="0" fontId="4" fillId="3" borderId="0" xfId="0" applyFont="1" applyFill="1" applyBorder="1" applyAlignment="1" applyProtection="1">
      <protection locked="0"/>
    </xf>
    <xf numFmtId="0" fontId="2" fillId="5" borderId="0" xfId="0" applyFont="1" applyFill="1" applyBorder="1" applyAlignment="1">
      <alignment horizontal="right" vertical="center"/>
    </xf>
    <xf numFmtId="0" fontId="2" fillId="5" borderId="0" xfId="0" applyFont="1" applyFill="1" applyBorder="1" applyAlignment="1" applyProtection="1">
      <protection locked="0"/>
    </xf>
    <xf numFmtId="0" fontId="11" fillId="0" borderId="0" xfId="0" applyFont="1" applyBorder="1" applyAlignment="1"/>
    <xf numFmtId="0" fontId="11" fillId="2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 applyProtection="1">
      <protection locked="0"/>
    </xf>
    <xf numFmtId="0" fontId="0" fillId="5" borderId="0" xfId="0" applyFill="1" applyAlignment="1"/>
    <xf numFmtId="0" fontId="4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6" borderId="7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0" fontId="7" fillId="6" borderId="7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 wrapText="1"/>
      <protection locked="0"/>
    </xf>
    <xf numFmtId="0" fontId="2" fillId="6" borderId="0" xfId="0" applyFont="1" applyFill="1" applyBorder="1" applyAlignment="1" applyProtection="1">
      <protection locked="0"/>
    </xf>
    <xf numFmtId="184" fontId="5" fillId="5" borderId="0" xfId="0" applyNumberFormat="1" applyFont="1" applyFill="1" applyBorder="1" applyAlignment="1" applyProtection="1">
      <protection locked="0"/>
    </xf>
    <xf numFmtId="0" fontId="4" fillId="6" borderId="0" xfId="0" applyFont="1" applyFill="1" applyBorder="1" applyAlignment="1" applyProtection="1">
      <protection locked="0"/>
    </xf>
    <xf numFmtId="184" fontId="5" fillId="0" borderId="0" xfId="0" applyNumberFormat="1" applyFont="1" applyFill="1" applyBorder="1" applyAlignment="1" applyProtection="1">
      <protection locked="0"/>
    </xf>
    <xf numFmtId="0" fontId="5" fillId="5" borderId="0" xfId="0" applyFont="1" applyFill="1" applyBorder="1" applyAlignment="1" applyProtection="1">
      <protection locked="0"/>
    </xf>
    <xf numFmtId="0" fontId="5" fillId="5" borderId="0" xfId="0" applyFont="1" applyFill="1" applyBorder="1" applyAlignment="1">
      <alignment horizontal="right" vertical="center"/>
    </xf>
    <xf numFmtId="0" fontId="4" fillId="6" borderId="8" xfId="0" applyFont="1" applyFill="1" applyBorder="1" applyAlignment="1" applyProtection="1">
      <protection locked="0"/>
    </xf>
    <xf numFmtId="0" fontId="5" fillId="5" borderId="8" xfId="0" applyFont="1" applyFill="1" applyBorder="1" applyAlignment="1">
      <alignment horizontal="right" vertical="center"/>
    </xf>
    <xf numFmtId="184" fontId="5" fillId="5" borderId="8" xfId="0" applyNumberFormat="1" applyFont="1" applyFill="1" applyBorder="1" applyAlignment="1" applyProtection="1">
      <protection locked="0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protection locked="0"/>
    </xf>
    <xf numFmtId="0" fontId="8" fillId="3" borderId="0" xfId="0" applyFont="1" applyFill="1" applyBorder="1" applyAlignment="1" applyProtection="1">
      <protection locked="0"/>
    </xf>
    <xf numFmtId="0" fontId="9" fillId="3" borderId="8" xfId="0" applyFont="1" applyFill="1" applyBorder="1" applyAlignment="1" applyProtection="1">
      <protection locked="0"/>
    </xf>
    <xf numFmtId="0" fontId="2" fillId="2" borderId="8" xfId="0" applyFont="1" applyFill="1" applyBorder="1" applyAlignment="1">
      <alignment horizontal="right" vertical="center"/>
    </xf>
    <xf numFmtId="0" fontId="2" fillId="0" borderId="8" xfId="0" applyFont="1" applyFill="1" applyBorder="1" applyAlignment="1" applyProtection="1">
      <protection locked="0"/>
    </xf>
    <xf numFmtId="0" fontId="11" fillId="3" borderId="0" xfId="0" applyFont="1" applyFill="1" applyBorder="1" applyAlignment="1" applyProtection="1">
      <protection locked="0"/>
    </xf>
    <xf numFmtId="0" fontId="8" fillId="3" borderId="8" xfId="0" applyFont="1" applyFill="1" applyBorder="1" applyAlignment="1" applyProtection="1">
      <protection locked="0"/>
    </xf>
    <xf numFmtId="0" fontId="2" fillId="0" borderId="8" xfId="0" applyFont="1" applyBorder="1" applyAlignment="1"/>
    <xf numFmtId="0" fontId="12" fillId="3" borderId="0" xfId="0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protection locked="0"/>
    </xf>
    <xf numFmtId="0" fontId="12" fillId="2" borderId="8" xfId="0" applyFont="1" applyFill="1" applyBorder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wrapText="1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6" borderId="7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10" fillId="0" borderId="0" xfId="0" applyFont="1" applyFill="1" applyAlignment="1" applyProtection="1">
      <alignment wrapText="1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ont="1" applyFill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02"/>
  <sheetViews>
    <sheetView showOutlineSymbols="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I49" sqref="A27:I49"/>
    </sheetView>
  </sheetViews>
  <sheetFormatPr defaultColWidth="8.7109375" defaultRowHeight="15" x14ac:dyDescent="0.3"/>
  <cols>
    <col min="2" max="9" width="7.7109375" style="2" customWidth="1"/>
  </cols>
  <sheetData>
    <row r="1" spans="1:14" ht="35.15" customHeight="1" x14ac:dyDescent="0.5">
      <c r="A1" s="67" t="s">
        <v>0</v>
      </c>
      <c r="B1" s="67"/>
      <c r="C1" s="67"/>
      <c r="D1" s="67"/>
      <c r="E1" s="67"/>
      <c r="F1" s="67"/>
      <c r="G1" s="67"/>
      <c r="H1" s="67"/>
      <c r="I1" s="67"/>
    </row>
    <row r="2" spans="1:14" ht="14.9" customHeight="1" x14ac:dyDescent="0.5">
      <c r="A2" s="18"/>
      <c r="B2" s="18"/>
      <c r="C2" s="18"/>
      <c r="D2" s="18"/>
      <c r="E2" s="18"/>
      <c r="F2" s="18"/>
      <c r="G2" s="18"/>
      <c r="H2" s="16"/>
      <c r="I2" s="26" t="s">
        <v>1</v>
      </c>
      <c r="J2" s="15"/>
    </row>
    <row r="3" spans="1:14" ht="28.4" customHeight="1" x14ac:dyDescent="0.3">
      <c r="A3" s="70" t="s">
        <v>2</v>
      </c>
      <c r="B3" s="71" t="s">
        <v>3</v>
      </c>
      <c r="C3" s="68" t="s">
        <v>4</v>
      </c>
      <c r="D3" s="69"/>
      <c r="E3" s="69"/>
      <c r="F3" s="70"/>
      <c r="G3" s="71" t="s">
        <v>5</v>
      </c>
      <c r="H3" s="71"/>
      <c r="I3" s="68"/>
      <c r="J3" s="4"/>
      <c r="K3" s="4"/>
      <c r="L3" s="4"/>
      <c r="M3" s="4"/>
      <c r="N3" s="4"/>
    </row>
    <row r="4" spans="1:14" ht="23.9" customHeight="1" x14ac:dyDescent="0.3">
      <c r="A4" s="70"/>
      <c r="B4" s="71"/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20" t="s">
        <v>12</v>
      </c>
      <c r="J4" s="4"/>
      <c r="K4" s="4"/>
      <c r="L4" s="4"/>
      <c r="M4" s="4"/>
      <c r="N4" s="4"/>
    </row>
    <row r="5" spans="1:14" ht="14.15" customHeight="1" x14ac:dyDescent="0.3">
      <c r="A5" s="21">
        <v>1952</v>
      </c>
      <c r="B5" s="11">
        <v>25</v>
      </c>
      <c r="C5" s="11">
        <v>25</v>
      </c>
      <c r="D5" s="11"/>
      <c r="E5" s="11"/>
      <c r="F5" s="11"/>
      <c r="G5" s="11"/>
      <c r="H5" s="11"/>
      <c r="I5" s="11"/>
      <c r="J5" s="4"/>
      <c r="K5" s="4"/>
      <c r="L5" s="4"/>
      <c r="M5" s="4"/>
      <c r="N5" s="4"/>
    </row>
    <row r="6" spans="1:14" ht="14.15" customHeight="1" x14ac:dyDescent="0.3">
      <c r="A6" s="22">
        <v>1957</v>
      </c>
      <c r="B6" s="4">
        <v>692</v>
      </c>
      <c r="C6" s="4">
        <v>692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4.15" customHeight="1" x14ac:dyDescent="0.3">
      <c r="A7" s="22">
        <v>1962</v>
      </c>
      <c r="B7" s="4">
        <v>341</v>
      </c>
      <c r="C7" s="4">
        <v>341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4.15" customHeight="1" x14ac:dyDescent="0.3">
      <c r="A8" s="22">
        <v>1965</v>
      </c>
      <c r="B8" s="4">
        <v>1198</v>
      </c>
      <c r="C8" s="4">
        <v>1198</v>
      </c>
      <c r="D8" s="4"/>
      <c r="E8" s="4"/>
      <c r="F8" s="4"/>
      <c r="G8" s="4">
        <v>489</v>
      </c>
      <c r="H8" s="4">
        <v>157</v>
      </c>
      <c r="I8" s="4">
        <v>552</v>
      </c>
      <c r="J8" s="4"/>
      <c r="K8" s="4"/>
      <c r="L8" s="4"/>
      <c r="M8" s="4"/>
      <c r="N8" s="4"/>
    </row>
    <row r="9" spans="1:14" ht="14.15" customHeight="1" x14ac:dyDescent="0.3">
      <c r="A9" s="22">
        <v>1970</v>
      </c>
      <c r="B9" s="4">
        <v>783</v>
      </c>
      <c r="C9" s="4">
        <v>783</v>
      </c>
      <c r="D9" s="4"/>
      <c r="E9" s="4"/>
      <c r="F9" s="4"/>
      <c r="G9" s="4">
        <v>100</v>
      </c>
      <c r="H9" s="4">
        <v>356</v>
      </c>
      <c r="I9" s="4">
        <v>327</v>
      </c>
      <c r="J9" s="4"/>
      <c r="K9" s="4"/>
      <c r="L9" s="4"/>
      <c r="M9" s="4"/>
      <c r="N9" s="4"/>
    </row>
    <row r="10" spans="1:14" ht="14.15" customHeight="1" x14ac:dyDescent="0.3">
      <c r="A10" s="22">
        <v>1975</v>
      </c>
      <c r="B10" s="4">
        <v>4693</v>
      </c>
      <c r="C10" s="4">
        <v>4693</v>
      </c>
      <c r="D10" s="4"/>
      <c r="E10" s="4"/>
      <c r="F10" s="4"/>
      <c r="G10" s="4">
        <v>1386</v>
      </c>
      <c r="H10" s="4">
        <v>1062</v>
      </c>
      <c r="I10" s="4">
        <v>2245</v>
      </c>
      <c r="J10" s="4"/>
      <c r="K10" s="4"/>
      <c r="L10" s="4"/>
      <c r="M10" s="4"/>
      <c r="N10" s="4"/>
    </row>
    <row r="11" spans="1:14" ht="14.15" customHeight="1" x14ac:dyDescent="0.3">
      <c r="A11" s="22">
        <v>1978</v>
      </c>
      <c r="B11" s="4">
        <v>6503</v>
      </c>
      <c r="C11" s="4">
        <v>6503</v>
      </c>
      <c r="D11" s="4"/>
      <c r="E11" s="4"/>
      <c r="F11" s="4"/>
      <c r="G11" s="4">
        <v>2038</v>
      </c>
      <c r="H11" s="4">
        <v>2471</v>
      </c>
      <c r="I11" s="4">
        <v>1994</v>
      </c>
      <c r="J11" s="4"/>
      <c r="K11" s="4"/>
      <c r="L11" s="4"/>
      <c r="M11" s="4"/>
      <c r="N11" s="4"/>
    </row>
    <row r="12" spans="1:14" ht="14.15" customHeight="1" x14ac:dyDescent="0.3">
      <c r="A12" s="22">
        <v>1979</v>
      </c>
      <c r="B12" s="4">
        <v>6410</v>
      </c>
      <c r="C12" s="4">
        <v>6410</v>
      </c>
      <c r="D12" s="4"/>
      <c r="E12" s="4"/>
      <c r="F12" s="4"/>
      <c r="G12" s="4">
        <v>1525</v>
      </c>
      <c r="H12" s="4">
        <v>1808</v>
      </c>
      <c r="I12" s="4">
        <v>3077</v>
      </c>
      <c r="J12" s="4"/>
      <c r="K12" s="4"/>
      <c r="L12" s="4"/>
      <c r="M12" s="4"/>
      <c r="N12" s="4"/>
    </row>
    <row r="13" spans="1:14" ht="14.15" customHeight="1" x14ac:dyDescent="0.3">
      <c r="A13" s="22">
        <v>1980</v>
      </c>
      <c r="B13" s="4">
        <v>6288</v>
      </c>
      <c r="C13" s="4">
        <v>5977</v>
      </c>
      <c r="D13" s="4">
        <v>311</v>
      </c>
      <c r="E13" s="4"/>
      <c r="F13" s="4"/>
      <c r="G13" s="4">
        <v>823</v>
      </c>
      <c r="H13" s="4">
        <v>2094</v>
      </c>
      <c r="I13" s="4">
        <v>3371</v>
      </c>
      <c r="J13" s="4"/>
      <c r="K13" s="4"/>
      <c r="L13" s="4"/>
      <c r="M13" s="4"/>
      <c r="N13" s="4"/>
    </row>
    <row r="14" spans="1:14" ht="14.15" customHeight="1" x14ac:dyDescent="0.3">
      <c r="A14" s="22">
        <v>1981</v>
      </c>
      <c r="B14" s="4">
        <v>7511</v>
      </c>
      <c r="C14" s="4">
        <v>5986</v>
      </c>
      <c r="D14" s="4">
        <v>1525</v>
      </c>
      <c r="E14" s="4"/>
      <c r="F14" s="4"/>
      <c r="G14" s="4">
        <v>429</v>
      </c>
      <c r="H14" s="4">
        <v>1809</v>
      </c>
      <c r="I14" s="4">
        <v>5273</v>
      </c>
      <c r="J14" s="4"/>
      <c r="K14" s="4"/>
      <c r="L14" s="4"/>
      <c r="M14" s="4"/>
      <c r="N14" s="4"/>
    </row>
    <row r="15" spans="1:14" ht="14.15" customHeight="1" x14ac:dyDescent="0.3">
      <c r="A15" s="22">
        <v>1982</v>
      </c>
      <c r="B15" s="4">
        <v>9755</v>
      </c>
      <c r="C15" s="4">
        <v>8182</v>
      </c>
      <c r="D15" s="4">
        <v>1573</v>
      </c>
      <c r="E15" s="4"/>
      <c r="F15" s="4"/>
      <c r="G15" s="4">
        <v>448</v>
      </c>
      <c r="H15" s="4">
        <v>5454</v>
      </c>
      <c r="I15" s="4">
        <v>3853</v>
      </c>
      <c r="J15" s="4"/>
      <c r="K15" s="4"/>
      <c r="L15" s="4"/>
      <c r="M15" s="4"/>
      <c r="N15" s="4"/>
    </row>
    <row r="16" spans="1:14" ht="14.15" customHeight="1" x14ac:dyDescent="0.3">
      <c r="A16" s="22">
        <v>1983</v>
      </c>
      <c r="B16" s="4">
        <v>10328</v>
      </c>
      <c r="C16" s="4">
        <v>9372</v>
      </c>
      <c r="D16" s="4">
        <v>956</v>
      </c>
      <c r="E16" s="4"/>
      <c r="F16" s="4"/>
      <c r="G16" s="4">
        <v>328</v>
      </c>
      <c r="H16" s="4">
        <v>7181</v>
      </c>
      <c r="I16" s="4">
        <v>2819</v>
      </c>
      <c r="J16" s="4"/>
      <c r="K16" s="4"/>
      <c r="L16" s="4"/>
      <c r="M16" s="4"/>
      <c r="N16" s="4"/>
    </row>
    <row r="17" spans="1:16" ht="14.15" customHeight="1" x14ac:dyDescent="0.3">
      <c r="A17" s="22">
        <v>1984</v>
      </c>
      <c r="B17" s="4">
        <v>13202</v>
      </c>
      <c r="C17" s="4">
        <v>12007</v>
      </c>
      <c r="D17" s="4">
        <v>1195</v>
      </c>
      <c r="E17" s="4"/>
      <c r="F17" s="4"/>
      <c r="G17" s="4">
        <v>440</v>
      </c>
      <c r="H17" s="4">
        <v>8737</v>
      </c>
      <c r="I17" s="4">
        <v>4025</v>
      </c>
      <c r="J17" s="4"/>
      <c r="K17" s="4"/>
      <c r="L17" s="4"/>
      <c r="M17" s="4"/>
      <c r="N17" s="4"/>
    </row>
    <row r="18" spans="1:16" ht="14.15" customHeight="1" x14ac:dyDescent="0.3">
      <c r="A18" s="22">
        <v>1985</v>
      </c>
      <c r="B18" s="4">
        <v>24086</v>
      </c>
      <c r="C18" s="4">
        <v>22515</v>
      </c>
      <c r="D18" s="4">
        <v>1571</v>
      </c>
      <c r="E18" s="4"/>
      <c r="F18" s="4"/>
      <c r="G18" s="4">
        <v>233</v>
      </c>
      <c r="H18" s="4">
        <v>16211</v>
      </c>
      <c r="I18" s="4">
        <v>7642</v>
      </c>
      <c r="J18" s="4"/>
      <c r="K18" s="4"/>
      <c r="L18" s="4"/>
      <c r="M18" s="4"/>
      <c r="N18" s="4"/>
    </row>
    <row r="19" spans="1:16" ht="14.15" customHeight="1" x14ac:dyDescent="0.3">
      <c r="A19" s="22">
        <v>1986</v>
      </c>
      <c r="B19" s="4">
        <v>24964</v>
      </c>
      <c r="C19" s="4">
        <v>19088</v>
      </c>
      <c r="D19" s="4">
        <v>3378</v>
      </c>
      <c r="E19" s="4">
        <v>2498</v>
      </c>
      <c r="F19" s="4"/>
      <c r="G19" s="4">
        <v>253</v>
      </c>
      <c r="H19" s="4">
        <v>18448</v>
      </c>
      <c r="I19" s="4">
        <v>6263</v>
      </c>
      <c r="J19" s="4"/>
      <c r="K19" s="4"/>
      <c r="L19" s="4"/>
      <c r="M19" s="4"/>
      <c r="N19" s="4"/>
    </row>
    <row r="20" spans="1:16" ht="14.15" customHeight="1" x14ac:dyDescent="0.3">
      <c r="A20" s="22">
        <v>1987</v>
      </c>
      <c r="B20" s="4">
        <v>28508</v>
      </c>
      <c r="C20" s="4">
        <v>20733</v>
      </c>
      <c r="D20" s="4">
        <v>3340</v>
      </c>
      <c r="E20" s="4">
        <v>4435</v>
      </c>
      <c r="F20" s="4"/>
      <c r="G20" s="4">
        <v>423</v>
      </c>
      <c r="H20" s="4">
        <v>20144</v>
      </c>
      <c r="I20" s="4">
        <v>7941</v>
      </c>
      <c r="J20" s="4"/>
      <c r="K20" s="4"/>
      <c r="L20" s="4"/>
      <c r="M20" s="4"/>
      <c r="N20" s="4"/>
    </row>
    <row r="21" spans="1:16" ht="14.15" customHeight="1" x14ac:dyDescent="0.3">
      <c r="A21" s="22">
        <v>1988</v>
      </c>
      <c r="B21" s="4">
        <v>71284</v>
      </c>
      <c r="C21" s="4">
        <v>62964</v>
      </c>
      <c r="D21" s="4">
        <v>3312</v>
      </c>
      <c r="E21" s="4">
        <v>5008</v>
      </c>
      <c r="F21" s="4"/>
      <c r="G21" s="4">
        <v>219</v>
      </c>
      <c r="H21" s="4">
        <v>61428</v>
      </c>
      <c r="I21" s="4">
        <v>9637</v>
      </c>
      <c r="J21" s="4"/>
      <c r="K21" s="4"/>
      <c r="L21" s="4"/>
      <c r="M21" s="4"/>
      <c r="N21" s="4"/>
    </row>
    <row r="22" spans="1:16" ht="14.15" customHeight="1" x14ac:dyDescent="0.3">
      <c r="A22" s="22">
        <v>1989</v>
      </c>
      <c r="B22" s="4">
        <v>105240</v>
      </c>
      <c r="C22" s="4">
        <v>100604</v>
      </c>
      <c r="D22" s="4">
        <v>2248</v>
      </c>
      <c r="E22" s="4">
        <v>2388</v>
      </c>
      <c r="F22" s="4"/>
      <c r="G22" s="4">
        <v>173</v>
      </c>
      <c r="H22" s="4">
        <v>98432</v>
      </c>
      <c r="I22" s="4">
        <v>6635</v>
      </c>
      <c r="J22" s="4"/>
      <c r="K22" s="4"/>
      <c r="L22" s="4"/>
      <c r="M22" s="4"/>
      <c r="N22" s="4"/>
    </row>
    <row r="23" spans="1:16" ht="14.15" customHeight="1" x14ac:dyDescent="0.3">
      <c r="A23" s="22">
        <v>1990</v>
      </c>
      <c r="B23" s="4">
        <v>51145</v>
      </c>
      <c r="C23" s="4">
        <v>45343</v>
      </c>
      <c r="D23" s="4">
        <v>3588</v>
      </c>
      <c r="E23" s="4">
        <v>2214</v>
      </c>
      <c r="F23" s="4"/>
      <c r="G23" s="4">
        <v>341</v>
      </c>
      <c r="H23" s="4">
        <v>43136</v>
      </c>
      <c r="I23" s="4">
        <v>7668</v>
      </c>
      <c r="J23" s="4"/>
      <c r="K23" s="4"/>
      <c r="L23" s="4"/>
      <c r="M23" s="4"/>
      <c r="N23" s="4"/>
    </row>
    <row r="24" spans="1:16" ht="14.15" customHeight="1" x14ac:dyDescent="0.3">
      <c r="A24" s="22">
        <v>1991</v>
      </c>
      <c r="B24" s="4">
        <v>43975</v>
      </c>
      <c r="C24" s="4">
        <v>36793</v>
      </c>
      <c r="D24" s="4">
        <v>3747</v>
      </c>
      <c r="E24" s="4">
        <v>3435</v>
      </c>
      <c r="F24" s="4"/>
      <c r="G24" s="4">
        <v>577</v>
      </c>
      <c r="H24" s="4">
        <v>31646</v>
      </c>
      <c r="I24" s="4">
        <v>11752</v>
      </c>
      <c r="J24" s="4"/>
      <c r="K24" s="4"/>
      <c r="L24" s="4"/>
      <c r="M24" s="4"/>
      <c r="N24" s="4"/>
    </row>
    <row r="25" spans="1:16" ht="14.15" customHeight="1" x14ac:dyDescent="0.3">
      <c r="A25" s="22">
        <v>1992</v>
      </c>
      <c r="B25" s="4">
        <v>77910</v>
      </c>
      <c r="C25" s="4">
        <v>67540</v>
      </c>
      <c r="D25" s="4">
        <v>4833</v>
      </c>
      <c r="E25" s="4">
        <v>5537</v>
      </c>
      <c r="F25" s="4"/>
      <c r="G25" s="4">
        <v>1260</v>
      </c>
      <c r="H25" s="4">
        <v>60874</v>
      </c>
      <c r="I25" s="4">
        <v>15776</v>
      </c>
      <c r="J25" s="4"/>
      <c r="K25" s="4"/>
      <c r="L25" s="4"/>
      <c r="M25" s="4"/>
      <c r="N25" s="4"/>
    </row>
    <row r="26" spans="1:16" ht="14.15" customHeight="1" x14ac:dyDescent="0.3">
      <c r="A26" s="22">
        <v>1993</v>
      </c>
      <c r="B26" s="4">
        <v>100257</v>
      </c>
      <c r="C26" s="4">
        <v>89167</v>
      </c>
      <c r="D26" s="4">
        <v>4317</v>
      </c>
      <c r="E26" s="4">
        <v>6773</v>
      </c>
      <c r="F26" s="4"/>
      <c r="G26" s="4">
        <v>224</v>
      </c>
      <c r="H26" s="4">
        <v>77434</v>
      </c>
      <c r="I26" s="4">
        <v>22599</v>
      </c>
      <c r="J26" s="4"/>
      <c r="K26" s="4"/>
      <c r="L26" s="4"/>
      <c r="M26" s="4"/>
      <c r="N26" s="4"/>
    </row>
    <row r="27" spans="1:16" ht="14.15" customHeight="1" x14ac:dyDescent="0.3">
      <c r="A27" s="22">
        <v>1994</v>
      </c>
      <c r="B27" s="4">
        <v>103228</v>
      </c>
      <c r="C27" s="4">
        <v>93740</v>
      </c>
      <c r="D27" s="4">
        <v>3211</v>
      </c>
      <c r="E27" s="4">
        <v>6277</v>
      </c>
      <c r="F27" s="4"/>
      <c r="G27" s="4">
        <v>444</v>
      </c>
      <c r="H27" s="4">
        <v>74354</v>
      </c>
      <c r="I27" s="4">
        <v>28430</v>
      </c>
      <c r="J27" s="4"/>
      <c r="K27" s="4"/>
      <c r="L27" s="4"/>
      <c r="M27" s="4"/>
      <c r="N27" s="4"/>
    </row>
    <row r="28" spans="1:16" ht="14.15" customHeight="1" x14ac:dyDescent="0.3">
      <c r="A28" s="22">
        <v>1995</v>
      </c>
      <c r="B28" s="4">
        <v>71880</v>
      </c>
      <c r="C28" s="4">
        <v>65069</v>
      </c>
      <c r="D28" s="4">
        <v>2759</v>
      </c>
      <c r="E28" s="4">
        <v>4052</v>
      </c>
      <c r="F28" s="4"/>
      <c r="G28" s="4">
        <v>900</v>
      </c>
      <c r="H28" s="4">
        <v>51569</v>
      </c>
      <c r="I28" s="4">
        <v>19411</v>
      </c>
      <c r="J28" s="4"/>
      <c r="K28" s="4"/>
      <c r="L28" s="4"/>
      <c r="M28" s="4"/>
      <c r="N28" s="4"/>
    </row>
    <row r="29" spans="1:16" ht="14.15" customHeight="1" x14ac:dyDescent="0.3">
      <c r="A29" s="22">
        <v>1996</v>
      </c>
      <c r="B29" s="4">
        <v>98262</v>
      </c>
      <c r="C29" s="4">
        <v>85200</v>
      </c>
      <c r="D29" s="4">
        <v>9362</v>
      </c>
      <c r="E29" s="4">
        <v>3700</v>
      </c>
      <c r="F29" s="4"/>
      <c r="G29" s="4">
        <v>1721</v>
      </c>
      <c r="H29" s="4">
        <v>74093</v>
      </c>
      <c r="I29" s="4">
        <v>22448</v>
      </c>
      <c r="J29" s="4"/>
      <c r="K29" s="4"/>
      <c r="L29" s="4"/>
      <c r="M29" s="4"/>
      <c r="N29" s="4"/>
    </row>
    <row r="30" spans="1:16" ht="14.15" customHeight="1" x14ac:dyDescent="0.3">
      <c r="A30" s="22">
        <v>1997</v>
      </c>
      <c r="B30" s="4">
        <v>96054</v>
      </c>
      <c r="C30" s="4">
        <v>83538</v>
      </c>
      <c r="D30" s="4">
        <v>4815</v>
      </c>
      <c r="E30" s="4">
        <v>7701</v>
      </c>
      <c r="F30" s="4"/>
      <c r="G30" s="4">
        <v>4997</v>
      </c>
      <c r="H30" s="4">
        <v>61055</v>
      </c>
      <c r="I30" s="4">
        <v>30002</v>
      </c>
      <c r="J30" s="4"/>
      <c r="K30" s="4"/>
      <c r="L30" s="4"/>
      <c r="M30" s="4"/>
      <c r="N30" s="4"/>
      <c r="P30" s="34"/>
    </row>
    <row r="31" spans="1:16" ht="14.15" customHeight="1" x14ac:dyDescent="0.3">
      <c r="A31" s="22">
        <v>1998</v>
      </c>
      <c r="B31" s="4">
        <v>115972</v>
      </c>
      <c r="C31" s="4">
        <v>89504</v>
      </c>
      <c r="D31" s="4">
        <v>17551</v>
      </c>
      <c r="E31" s="4">
        <v>8917</v>
      </c>
      <c r="F31" s="4"/>
      <c r="G31" s="4">
        <v>2644</v>
      </c>
      <c r="H31" s="4">
        <v>59023</v>
      </c>
      <c r="I31" s="4">
        <v>54305</v>
      </c>
      <c r="J31" s="4"/>
      <c r="K31" s="4"/>
      <c r="L31" s="4"/>
      <c r="M31" s="4"/>
      <c r="N31" s="4"/>
    </row>
    <row r="32" spans="1:16" ht="14.15" customHeight="1" x14ac:dyDescent="0.3">
      <c r="A32" s="22">
        <v>1999</v>
      </c>
      <c r="B32" s="4">
        <v>136876</v>
      </c>
      <c r="C32" s="4">
        <v>100264</v>
      </c>
      <c r="D32" s="4">
        <v>21070</v>
      </c>
      <c r="E32" s="4">
        <v>6592</v>
      </c>
      <c r="F32" s="4">
        <v>8950</v>
      </c>
      <c r="G32" s="4">
        <v>6727</v>
      </c>
      <c r="H32" s="4">
        <v>61653</v>
      </c>
      <c r="I32" s="4">
        <v>68496</v>
      </c>
      <c r="J32" s="4"/>
      <c r="K32" s="4"/>
      <c r="L32" s="4"/>
      <c r="M32" s="4"/>
      <c r="N32" s="4"/>
    </row>
    <row r="33" spans="1:14" ht="14.15" customHeight="1" x14ac:dyDescent="0.3">
      <c r="A33" s="22">
        <v>2000</v>
      </c>
      <c r="B33" s="4">
        <v>184225</v>
      </c>
      <c r="C33" s="4">
        <v>143677</v>
      </c>
      <c r="D33" s="4">
        <v>12830</v>
      </c>
      <c r="E33" s="4">
        <v>17176</v>
      </c>
      <c r="F33" s="4">
        <v>10542</v>
      </c>
      <c r="G33" s="4">
        <v>23277</v>
      </c>
      <c r="H33" s="4">
        <v>46696</v>
      </c>
      <c r="I33" s="4">
        <v>114252</v>
      </c>
      <c r="J33" s="4"/>
      <c r="K33" s="4"/>
      <c r="L33" s="4"/>
      <c r="M33" s="4"/>
      <c r="N33" s="4"/>
    </row>
    <row r="34" spans="1:14" ht="14.15" customHeight="1" x14ac:dyDescent="0.3">
      <c r="A34" s="22">
        <v>2001</v>
      </c>
      <c r="B34" s="4">
        <v>238509</v>
      </c>
      <c r="C34" s="4">
        <v>187701</v>
      </c>
      <c r="D34" s="4">
        <v>7053</v>
      </c>
      <c r="E34" s="4">
        <v>25990</v>
      </c>
      <c r="F34" s="4">
        <v>17765</v>
      </c>
      <c r="G34" s="4">
        <v>31453</v>
      </c>
      <c r="H34" s="4">
        <v>50542</v>
      </c>
      <c r="I34" s="4">
        <v>156514</v>
      </c>
      <c r="J34" s="4"/>
      <c r="K34" s="4"/>
      <c r="L34" s="4"/>
      <c r="M34" s="4"/>
      <c r="N34" s="4"/>
    </row>
    <row r="35" spans="1:14" ht="14.15" customHeight="1" x14ac:dyDescent="0.3">
      <c r="A35" s="22">
        <v>2002</v>
      </c>
      <c r="B35" s="4">
        <v>307226</v>
      </c>
      <c r="C35" s="4">
        <v>212005</v>
      </c>
      <c r="D35" s="4">
        <v>23259</v>
      </c>
      <c r="E35" s="4">
        <v>43059</v>
      </c>
      <c r="F35" s="4">
        <v>28903</v>
      </c>
      <c r="G35" s="4">
        <v>42243</v>
      </c>
      <c r="H35" s="4">
        <v>80351</v>
      </c>
      <c r="I35" s="4">
        <v>184632</v>
      </c>
      <c r="J35" s="4"/>
      <c r="K35" s="4"/>
      <c r="L35" s="4"/>
      <c r="M35" s="4"/>
      <c r="N35" s="4"/>
    </row>
    <row r="36" spans="1:14" ht="14.15" customHeight="1" x14ac:dyDescent="0.3">
      <c r="A36" s="22">
        <v>2003</v>
      </c>
      <c r="B36" s="4">
        <v>527184</v>
      </c>
      <c r="C36" s="4">
        <v>407419</v>
      </c>
      <c r="D36" s="4">
        <v>21572</v>
      </c>
      <c r="E36" s="4">
        <v>59972</v>
      </c>
      <c r="F36" s="4">
        <v>38221</v>
      </c>
      <c r="G36" s="4">
        <v>67543</v>
      </c>
      <c r="H36" s="4">
        <v>188194</v>
      </c>
      <c r="I36" s="4">
        <v>271447</v>
      </c>
      <c r="J36" s="4"/>
      <c r="K36" s="4"/>
      <c r="L36" s="4"/>
      <c r="M36" s="4"/>
      <c r="N36" s="4"/>
    </row>
    <row r="37" spans="1:14" ht="14.15" customHeight="1" x14ac:dyDescent="0.3">
      <c r="A37" s="22">
        <v>2004</v>
      </c>
      <c r="B37" s="4">
        <v>992607</v>
      </c>
      <c r="C37" s="4">
        <v>769313</v>
      </c>
      <c r="D37" s="4">
        <v>23207</v>
      </c>
      <c r="E37" s="4">
        <v>172253</v>
      </c>
      <c r="F37" s="4">
        <v>27834</v>
      </c>
      <c r="G37" s="4">
        <v>112553</v>
      </c>
      <c r="H37" s="4">
        <v>409994</v>
      </c>
      <c r="I37" s="4">
        <v>470060</v>
      </c>
      <c r="J37" s="4"/>
      <c r="K37" s="4"/>
      <c r="L37" s="4"/>
      <c r="M37" s="4"/>
      <c r="N37" s="4"/>
    </row>
    <row r="38" spans="1:14" ht="14.15" customHeight="1" x14ac:dyDescent="0.3">
      <c r="A38" s="22">
        <v>2005</v>
      </c>
      <c r="B38" s="4">
        <v>1664838</v>
      </c>
      <c r="C38" s="4">
        <v>1248776</v>
      </c>
      <c r="D38" s="4">
        <v>23675</v>
      </c>
      <c r="E38" s="4">
        <v>315848</v>
      </c>
      <c r="F38" s="4">
        <v>76539</v>
      </c>
      <c r="G38" s="4">
        <v>122035</v>
      </c>
      <c r="H38" s="4">
        <v>957738</v>
      </c>
      <c r="I38" s="4">
        <v>585065</v>
      </c>
      <c r="J38" s="4"/>
      <c r="K38" s="4"/>
      <c r="L38" s="4"/>
      <c r="M38" s="4"/>
      <c r="N38" s="4"/>
    </row>
    <row r="39" spans="1:14" ht="14.15" customHeight="1" x14ac:dyDescent="0.3">
      <c r="A39" s="23">
        <v>2006</v>
      </c>
      <c r="B39" s="6">
        <v>2379658</v>
      </c>
      <c r="C39" s="6">
        <v>957639</v>
      </c>
      <c r="D39" s="6">
        <v>4300</v>
      </c>
      <c r="E39" s="6">
        <v>1066378</v>
      </c>
      <c r="F39" s="6">
        <v>351341</v>
      </c>
      <c r="G39" s="6">
        <v>151496</v>
      </c>
      <c r="H39" s="6">
        <v>1517612</v>
      </c>
      <c r="I39" s="6">
        <v>710550</v>
      </c>
      <c r="J39" s="4"/>
      <c r="K39" s="4"/>
      <c r="L39" s="4"/>
      <c r="M39" s="4"/>
      <c r="N39" s="4"/>
    </row>
    <row r="40" spans="1:14" ht="14.15" customHeight="1" x14ac:dyDescent="0.3">
      <c r="A40" s="23">
        <v>2007</v>
      </c>
      <c r="B40" s="6">
        <v>3313358</v>
      </c>
      <c r="C40" s="6">
        <v>1603053</v>
      </c>
      <c r="D40" s="6">
        <v>97220</v>
      </c>
      <c r="E40" s="6">
        <v>1319173</v>
      </c>
      <c r="F40" s="6">
        <v>293912</v>
      </c>
      <c r="G40" s="6">
        <v>47161</v>
      </c>
      <c r="H40" s="6">
        <v>2074089</v>
      </c>
      <c r="I40" s="6">
        <v>1192108</v>
      </c>
      <c r="J40" s="4"/>
      <c r="K40" s="4"/>
      <c r="L40" s="4"/>
      <c r="M40" s="4"/>
      <c r="N40" s="4"/>
    </row>
    <row r="41" spans="1:14" ht="14.15" customHeight="1" x14ac:dyDescent="0.3">
      <c r="A41" s="23">
        <v>2008</v>
      </c>
      <c r="B41" s="6">
        <v>4316043</v>
      </c>
      <c r="C41" s="6">
        <v>3965477</v>
      </c>
      <c r="D41" s="6">
        <v>87590</v>
      </c>
      <c r="E41" s="6"/>
      <c r="F41" s="6">
        <v>262976</v>
      </c>
      <c r="G41" s="6">
        <v>73721</v>
      </c>
      <c r="H41" s="6">
        <v>2740738</v>
      </c>
      <c r="I41" s="6">
        <v>1501584</v>
      </c>
      <c r="J41" s="4"/>
      <c r="K41" s="4"/>
      <c r="L41" s="4"/>
      <c r="M41" s="4"/>
      <c r="N41" s="4"/>
    </row>
    <row r="42" spans="1:14" ht="14.15" customHeight="1" x14ac:dyDescent="0.3">
      <c r="A42" s="23">
        <v>2009</v>
      </c>
      <c r="B42" s="6">
        <v>5520094</v>
      </c>
      <c r="C42" s="6">
        <v>4998622</v>
      </c>
      <c r="D42" s="6">
        <v>158228</v>
      </c>
      <c r="E42" s="6"/>
      <c r="F42" s="6">
        <v>363244</v>
      </c>
      <c r="G42" s="6">
        <v>122432</v>
      </c>
      <c r="H42" s="6">
        <v>3344515</v>
      </c>
      <c r="I42" s="6">
        <v>2053147</v>
      </c>
      <c r="J42" s="4"/>
      <c r="K42" s="4"/>
      <c r="L42" s="4"/>
      <c r="M42" s="4"/>
      <c r="N42" s="4"/>
    </row>
    <row r="43" spans="1:14" ht="14.15" customHeight="1" x14ac:dyDescent="0.3">
      <c r="A43" s="24">
        <v>2010</v>
      </c>
      <c r="B43" s="6">
        <v>6475220</v>
      </c>
      <c r="C43" s="6">
        <v>5717893</v>
      </c>
      <c r="D43" s="6">
        <v>311010</v>
      </c>
      <c r="E43" s="6"/>
      <c r="F43" s="6">
        <v>446317</v>
      </c>
      <c r="G43" s="6">
        <v>133687</v>
      </c>
      <c r="H43" s="6">
        <v>3314491</v>
      </c>
      <c r="I43" s="6">
        <v>3027042</v>
      </c>
      <c r="J43" s="4"/>
      <c r="K43" s="4"/>
      <c r="L43" s="4"/>
      <c r="M43" s="4"/>
      <c r="N43" s="4"/>
    </row>
    <row r="44" spans="1:14" ht="14.15" customHeight="1" x14ac:dyDescent="0.3">
      <c r="A44" s="24">
        <v>2011</v>
      </c>
      <c r="B44" s="6">
        <v>5102529</v>
      </c>
      <c r="C44" s="6">
        <v>4235358</v>
      </c>
      <c r="D44" s="6">
        <v>357058</v>
      </c>
      <c r="E44" s="6"/>
      <c r="F44" s="6">
        <v>510113</v>
      </c>
      <c r="G44" s="6">
        <v>190027</v>
      </c>
      <c r="H44" s="6">
        <v>2651148</v>
      </c>
      <c r="I44" s="6">
        <v>2261354</v>
      </c>
      <c r="J44" s="4"/>
      <c r="K44" s="4"/>
      <c r="L44" s="4"/>
      <c r="M44" s="4"/>
      <c r="N44" s="4"/>
    </row>
    <row r="45" spans="1:14" ht="14.15" customHeight="1" x14ac:dyDescent="0.3">
      <c r="A45" s="24">
        <v>2012</v>
      </c>
      <c r="B45" s="6">
        <v>6162953</v>
      </c>
      <c r="C45" s="6">
        <v>5319281</v>
      </c>
      <c r="D45" s="6">
        <v>433228</v>
      </c>
      <c r="E45" s="6"/>
      <c r="F45" s="6">
        <v>410444</v>
      </c>
      <c r="G45" s="6">
        <v>232286</v>
      </c>
      <c r="H45" s="6">
        <v>3314685</v>
      </c>
      <c r="I45" s="6">
        <v>2615982</v>
      </c>
      <c r="J45" s="4"/>
      <c r="K45" s="4"/>
      <c r="L45" s="4"/>
      <c r="M45" s="4"/>
      <c r="N45" s="4"/>
    </row>
    <row r="46" spans="1:14" ht="14.15" customHeight="1" x14ac:dyDescent="0.3">
      <c r="A46" s="24">
        <v>2013</v>
      </c>
      <c r="B46" s="25">
        <v>7284928</v>
      </c>
      <c r="C46" s="17">
        <v>6108917</v>
      </c>
      <c r="D46" s="25">
        <v>651220</v>
      </c>
      <c r="E46" s="17"/>
      <c r="F46" s="25">
        <v>524791</v>
      </c>
      <c r="G46" s="6">
        <v>374045</v>
      </c>
      <c r="H46" s="25">
        <v>3876560</v>
      </c>
      <c r="I46" s="25">
        <v>3034323</v>
      </c>
      <c r="J46" s="4"/>
      <c r="K46" s="4"/>
      <c r="L46" s="4"/>
      <c r="M46" s="4"/>
      <c r="N46" s="4"/>
    </row>
    <row r="47" spans="1:14" ht="14.15" customHeight="1" x14ac:dyDescent="0.3">
      <c r="A47" s="24">
        <v>2014</v>
      </c>
      <c r="B47" s="4">
        <v>8429801</v>
      </c>
      <c r="C47" s="4">
        <f>B47-D47-F47</f>
        <v>7355982</v>
      </c>
      <c r="D47" s="4">
        <v>555959</v>
      </c>
      <c r="E47" s="4"/>
      <c r="F47" s="4">
        <v>517860</v>
      </c>
      <c r="G47" s="6">
        <v>633935</v>
      </c>
      <c r="H47" s="4">
        <v>4607681</v>
      </c>
      <c r="I47" s="4">
        <v>3188185</v>
      </c>
      <c r="J47" s="4"/>
      <c r="K47" s="4"/>
      <c r="L47" s="4"/>
      <c r="M47" s="4"/>
      <c r="N47" s="4"/>
    </row>
    <row r="48" spans="1:14" ht="14.15" customHeight="1" x14ac:dyDescent="0.3">
      <c r="A48" s="24">
        <v>2015</v>
      </c>
      <c r="B48" s="4">
        <v>6257080</v>
      </c>
      <c r="C48" s="4">
        <f>B48-D48-F48</f>
        <v>5515782</v>
      </c>
      <c r="D48" s="4">
        <v>555975</v>
      </c>
      <c r="E48" s="4"/>
      <c r="F48" s="4">
        <v>185323</v>
      </c>
      <c r="G48" s="6">
        <v>452873</v>
      </c>
      <c r="H48" s="4">
        <v>3032056</v>
      </c>
      <c r="I48" s="4">
        <v>2772151</v>
      </c>
      <c r="J48" s="4"/>
      <c r="K48" s="4"/>
      <c r="L48" s="4"/>
      <c r="M48" s="4"/>
      <c r="N48" s="4"/>
    </row>
    <row r="49" spans="1:14" ht="14.15" customHeight="1" x14ac:dyDescent="0.3">
      <c r="A49" s="24">
        <v>2016</v>
      </c>
      <c r="B49" s="4">
        <v>7184055</v>
      </c>
      <c r="C49" s="4">
        <v>6674994</v>
      </c>
      <c r="D49" s="4">
        <v>379865</v>
      </c>
      <c r="E49" s="4"/>
      <c r="F49" s="4">
        <v>129196</v>
      </c>
      <c r="G49" s="6">
        <v>471585</v>
      </c>
      <c r="H49" s="4">
        <v>4231452</v>
      </c>
      <c r="I49" s="4">
        <v>2481018</v>
      </c>
      <c r="J49" s="4"/>
      <c r="K49" s="4"/>
      <c r="L49" s="4"/>
      <c r="M49" s="4"/>
      <c r="N49" s="4"/>
    </row>
    <row r="50" spans="1:14" ht="14.15" customHeight="1" x14ac:dyDescent="0.3">
      <c r="A50" s="4" t="s">
        <v>142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4.1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4.1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4.1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4.1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4.1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4.1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4.1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4.1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4.1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4.1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4.1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4.1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4.1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4.1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4.1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4.1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4.1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4.1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4.1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4.1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4.1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4.1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4.1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4.1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4.1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4.1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4.1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4.1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4.1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4.1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4.1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4.1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4.1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4.1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4.1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4.1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4.1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4.1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4.1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4.1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4.1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4.1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4.1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4.1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4.1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4.1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4.1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4.1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4.1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4.1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4.1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4.1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</sheetData>
  <mergeCells count="5">
    <mergeCell ref="A1:I1"/>
    <mergeCell ref="C3:F3"/>
    <mergeCell ref="G3:I3"/>
    <mergeCell ref="A3:A4"/>
    <mergeCell ref="B3:B4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90"/>
  <sheetViews>
    <sheetView showOutlineSymbols="0" zoomScale="115" zoomScaleNormal="115" workbookViewId="0">
      <selection activeCell="B27" sqref="B27"/>
    </sheetView>
  </sheetViews>
  <sheetFormatPr defaultColWidth="8.7109375" defaultRowHeight="15" x14ac:dyDescent="0.3"/>
  <cols>
    <col min="1" max="1" width="17.2109375" style="2" customWidth="1"/>
    <col min="2" max="2" width="14.85546875" style="2" customWidth="1"/>
    <col min="3" max="3" width="14.85546875" style="15" customWidth="1"/>
    <col min="4" max="4" width="15.5" style="2" customWidth="1"/>
  </cols>
  <sheetData>
    <row r="1" spans="1:13" ht="35.15" customHeight="1" x14ac:dyDescent="0.5">
      <c r="A1" s="72" t="s">
        <v>13</v>
      </c>
      <c r="B1" s="73"/>
      <c r="C1" s="73"/>
      <c r="D1" s="73"/>
    </row>
    <row r="2" spans="1:13" ht="14.9" customHeight="1" thickBot="1" x14ac:dyDescent="0.4">
      <c r="A2" s="35"/>
      <c r="B2" s="35"/>
      <c r="C2" s="36"/>
      <c r="D2" s="37" t="s">
        <v>14</v>
      </c>
      <c r="E2" s="4"/>
      <c r="F2" s="4"/>
      <c r="G2" s="4"/>
      <c r="H2" s="4"/>
      <c r="I2" s="4"/>
      <c r="J2" s="4"/>
      <c r="K2" s="4"/>
      <c r="L2" s="4"/>
      <c r="M2" s="4"/>
    </row>
    <row r="3" spans="1:13" s="27" customFormat="1" ht="45.65" customHeight="1" x14ac:dyDescent="0.3">
      <c r="A3" s="38"/>
      <c r="B3" s="39" t="s">
        <v>202</v>
      </c>
      <c r="C3" s="40" t="s">
        <v>203</v>
      </c>
      <c r="D3" s="41" t="s">
        <v>204</v>
      </c>
      <c r="E3" s="4"/>
      <c r="F3" s="4"/>
      <c r="G3" s="4"/>
      <c r="H3" s="4"/>
      <c r="I3" s="4"/>
      <c r="J3" s="4"/>
      <c r="K3" s="4"/>
      <c r="L3" s="4"/>
      <c r="M3" s="4"/>
    </row>
    <row r="4" spans="1:13" ht="14.15" customHeight="1" x14ac:dyDescent="0.3">
      <c r="A4" s="42" t="s">
        <v>15</v>
      </c>
      <c r="B4" s="25">
        <v>6257080</v>
      </c>
      <c r="C4" s="25">
        <v>7184055</v>
      </c>
      <c r="D4" s="43">
        <v>17</v>
      </c>
      <c r="E4" s="4"/>
      <c r="F4" s="4"/>
      <c r="G4" s="4"/>
      <c r="H4" s="4"/>
      <c r="I4" s="4"/>
      <c r="J4" s="4"/>
      <c r="K4" s="4"/>
      <c r="L4" s="4"/>
      <c r="M4" s="4"/>
    </row>
    <row r="5" spans="1:13" ht="14.9" customHeight="1" x14ac:dyDescent="0.3">
      <c r="A5" s="44" t="s">
        <v>16</v>
      </c>
      <c r="B5" s="17"/>
      <c r="C5" s="17"/>
      <c r="D5" s="45"/>
      <c r="E5" s="4"/>
      <c r="F5" s="4"/>
      <c r="G5" s="4"/>
      <c r="H5" s="4"/>
      <c r="I5" s="4"/>
      <c r="J5" s="4"/>
      <c r="K5" s="4"/>
      <c r="L5" s="4"/>
      <c r="M5" s="4"/>
    </row>
    <row r="6" spans="1:13" ht="14.9" customHeight="1" x14ac:dyDescent="0.3">
      <c r="A6" s="44" t="s">
        <v>17</v>
      </c>
      <c r="B6" s="25">
        <v>4068326</v>
      </c>
      <c r="C6" s="25">
        <v>4890525</v>
      </c>
      <c r="D6" s="45">
        <v>20.2</v>
      </c>
      <c r="E6" s="4"/>
      <c r="F6" s="4"/>
      <c r="G6" s="4"/>
      <c r="H6" s="4"/>
      <c r="I6" s="4"/>
      <c r="J6" s="4"/>
      <c r="K6" s="4"/>
      <c r="L6" s="4"/>
      <c r="M6" s="4"/>
    </row>
    <row r="7" spans="1:13" ht="14.9" customHeight="1" x14ac:dyDescent="0.3">
      <c r="A7" s="44" t="s">
        <v>18</v>
      </c>
      <c r="B7" s="17">
        <v>2188754</v>
      </c>
      <c r="C7" s="17">
        <v>2293530</v>
      </c>
      <c r="D7" s="45">
        <v>4.8</v>
      </c>
      <c r="E7" s="4"/>
      <c r="F7" s="4"/>
      <c r="G7" s="4"/>
      <c r="H7" s="4"/>
      <c r="I7" s="4"/>
      <c r="J7" s="4"/>
      <c r="K7" s="4"/>
      <c r="L7" s="4"/>
      <c r="M7" s="4"/>
    </row>
    <row r="8" spans="1:13" ht="14.9" customHeight="1" x14ac:dyDescent="0.3">
      <c r="A8" s="44" t="s">
        <v>19</v>
      </c>
      <c r="B8" s="17"/>
      <c r="C8" s="17"/>
      <c r="D8" s="45"/>
      <c r="E8" s="4"/>
      <c r="F8" s="4"/>
      <c r="G8" s="4"/>
      <c r="H8" s="4"/>
      <c r="I8" s="4"/>
      <c r="J8" s="4"/>
      <c r="K8" s="4"/>
      <c r="L8" s="4"/>
      <c r="M8" s="4"/>
    </row>
    <row r="9" spans="1:13" ht="14.9" customHeight="1" x14ac:dyDescent="0.3">
      <c r="A9" s="44" t="s">
        <v>20</v>
      </c>
      <c r="B9" s="25">
        <v>349569</v>
      </c>
      <c r="C9" s="25">
        <v>488452</v>
      </c>
      <c r="D9" s="45">
        <v>39.729999999999997</v>
      </c>
      <c r="E9" s="4"/>
      <c r="F9" s="4"/>
      <c r="G9" s="4"/>
      <c r="H9" s="4"/>
      <c r="I9" s="4"/>
      <c r="J9" s="4"/>
      <c r="K9" s="4"/>
      <c r="L9" s="4"/>
      <c r="M9" s="4"/>
    </row>
    <row r="10" spans="1:13" ht="14.9" customHeight="1" x14ac:dyDescent="0.3">
      <c r="A10" s="44" t="s">
        <v>21</v>
      </c>
      <c r="B10" s="25">
        <v>696407</v>
      </c>
      <c r="C10" s="25">
        <v>628008</v>
      </c>
      <c r="D10" s="45">
        <v>-9.82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14.9" customHeight="1" x14ac:dyDescent="0.3">
      <c r="A11" s="44" t="s">
        <v>22</v>
      </c>
      <c r="B11" s="25"/>
      <c r="C11" s="25"/>
      <c r="D11" s="45"/>
      <c r="E11" s="4"/>
      <c r="F11" s="4"/>
      <c r="G11" s="4"/>
      <c r="H11" s="4"/>
      <c r="I11" s="4"/>
      <c r="J11" s="4"/>
      <c r="K11" s="4"/>
      <c r="L11" s="4"/>
      <c r="M11" s="4"/>
    </row>
    <row r="12" spans="1:13" ht="14.9" customHeight="1" x14ac:dyDescent="0.3">
      <c r="A12" s="44" t="s">
        <v>23</v>
      </c>
      <c r="B12" s="25">
        <v>4253395</v>
      </c>
      <c r="C12" s="25">
        <v>4556790</v>
      </c>
      <c r="D12" s="45">
        <v>7.13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ht="14.9" customHeight="1" x14ac:dyDescent="0.3">
      <c r="A13" s="44" t="s">
        <v>24</v>
      </c>
      <c r="B13" s="17">
        <v>356274</v>
      </c>
      <c r="C13" s="17">
        <v>244392</v>
      </c>
      <c r="D13" s="45">
        <v>-31.4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 ht="14.9" customHeight="1" x14ac:dyDescent="0.3">
      <c r="A14" s="44" t="s">
        <v>25</v>
      </c>
      <c r="B14" s="17"/>
      <c r="C14" s="17"/>
      <c r="D14" s="45"/>
      <c r="E14" s="4"/>
      <c r="F14" s="4"/>
      <c r="G14" s="4"/>
      <c r="H14" s="4"/>
      <c r="I14" s="4"/>
      <c r="J14" s="4"/>
      <c r="K14" s="4"/>
      <c r="L14" s="4"/>
      <c r="M14" s="4"/>
    </row>
    <row r="15" spans="1:13" ht="14.9" customHeight="1" x14ac:dyDescent="0.3">
      <c r="A15" s="44" t="s">
        <v>26</v>
      </c>
      <c r="B15" s="25">
        <v>4159560</v>
      </c>
      <c r="C15" s="25">
        <v>4623657</v>
      </c>
      <c r="D15" s="45">
        <f>(C15/B15-1)*100</f>
        <v>11.157357989787386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 ht="14.9" customHeight="1" x14ac:dyDescent="0.3">
      <c r="A16" s="44" t="s">
        <v>27</v>
      </c>
      <c r="B16" s="25">
        <v>1633951</v>
      </c>
      <c r="C16" s="25">
        <v>2047651</v>
      </c>
      <c r="D16" s="45">
        <f t="shared" ref="D16:D24" si="0">(C16/B16-1)*100</f>
        <v>25.31899671409974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4.9" customHeight="1" x14ac:dyDescent="0.3">
      <c r="A17" s="44" t="s">
        <v>28</v>
      </c>
      <c r="B17" s="25">
        <v>463569</v>
      </c>
      <c r="C17" s="25">
        <v>512747</v>
      </c>
      <c r="D17" s="45">
        <f t="shared" si="0"/>
        <v>10.60856096934868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ht="14.15" customHeight="1" x14ac:dyDescent="0.3">
      <c r="A18" s="42" t="s">
        <v>29</v>
      </c>
      <c r="B18" s="46"/>
      <c r="C18" s="46"/>
      <c r="D18" s="43"/>
      <c r="E18" s="4"/>
      <c r="F18" s="4"/>
      <c r="G18" s="4"/>
      <c r="H18" s="4"/>
      <c r="I18" s="4"/>
      <c r="J18" s="4"/>
      <c r="K18" s="4"/>
      <c r="L18" s="4"/>
      <c r="M18" s="4"/>
    </row>
    <row r="19" spans="1:13" ht="14.9" customHeight="1" x14ac:dyDescent="0.3">
      <c r="A19" s="44" t="s">
        <v>30</v>
      </c>
      <c r="B19" s="47">
        <v>3617406</v>
      </c>
      <c r="C19" s="47">
        <v>2821716</v>
      </c>
      <c r="D19" s="43">
        <f t="shared" si="0"/>
        <v>-21.996148621415458</v>
      </c>
      <c r="E19" s="4"/>
      <c r="F19" s="4"/>
      <c r="G19" s="4"/>
      <c r="H19" s="4"/>
      <c r="I19" s="4"/>
      <c r="J19" s="4"/>
      <c r="K19" s="4"/>
      <c r="L19" s="4"/>
      <c r="M19" s="4"/>
    </row>
    <row r="20" spans="1:13" ht="14.9" customHeight="1" x14ac:dyDescent="0.3">
      <c r="A20" s="44" t="s">
        <v>31</v>
      </c>
      <c r="B20" s="47">
        <v>2289243</v>
      </c>
      <c r="C20" s="47">
        <v>1845223</v>
      </c>
      <c r="D20" s="43">
        <f t="shared" si="0"/>
        <v>-19.395931318780924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 ht="14.9" customHeight="1" x14ac:dyDescent="0.3">
      <c r="A21" s="44" t="s">
        <v>32</v>
      </c>
      <c r="B21" s="47">
        <v>987206</v>
      </c>
      <c r="C21" s="47">
        <v>1278233</v>
      </c>
      <c r="D21" s="43">
        <f t="shared" si="0"/>
        <v>29.479865397900753</v>
      </c>
      <c r="E21" s="4"/>
      <c r="F21" s="4"/>
      <c r="G21" s="4"/>
      <c r="H21" s="4"/>
      <c r="I21" s="4"/>
      <c r="J21" s="4"/>
      <c r="K21" s="4"/>
      <c r="L21" s="4"/>
      <c r="M21" s="4"/>
    </row>
    <row r="22" spans="1:13" ht="14.9" customHeight="1" x14ac:dyDescent="0.3">
      <c r="A22" s="44" t="s">
        <v>31</v>
      </c>
      <c r="B22" s="47">
        <v>631278</v>
      </c>
      <c r="C22" s="47">
        <v>809635</v>
      </c>
      <c r="D22" s="43">
        <f t="shared" si="0"/>
        <v>28.253321040809286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ht="14.9" customHeight="1" x14ac:dyDescent="0.3">
      <c r="A23" s="44" t="s">
        <v>33</v>
      </c>
      <c r="B23" s="47">
        <v>184940</v>
      </c>
      <c r="C23" s="47">
        <v>222778</v>
      </c>
      <c r="D23" s="43">
        <f t="shared" si="0"/>
        <v>20.459608521682714</v>
      </c>
      <c r="E23" s="4"/>
      <c r="F23" s="4"/>
      <c r="G23" s="4"/>
      <c r="H23" s="4"/>
      <c r="I23" s="4"/>
      <c r="J23" s="4"/>
      <c r="K23" s="4"/>
      <c r="L23" s="4"/>
      <c r="M23" s="4"/>
    </row>
    <row r="24" spans="1:13" ht="14.9" customHeight="1" thickBot="1" x14ac:dyDescent="0.35">
      <c r="A24" s="48" t="s">
        <v>31</v>
      </c>
      <c r="B24" s="49">
        <v>108212</v>
      </c>
      <c r="C24" s="49">
        <v>123400</v>
      </c>
      <c r="D24" s="50">
        <f t="shared" si="0"/>
        <v>14.0354119690977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ht="39.75" customHeight="1" x14ac:dyDescent="0.3">
      <c r="A25" s="74" t="s">
        <v>185</v>
      </c>
      <c r="B25" s="74"/>
      <c r="C25" s="74"/>
      <c r="D25" s="74"/>
      <c r="E25" s="4"/>
      <c r="F25" s="4"/>
      <c r="G25" s="4"/>
      <c r="H25" s="4"/>
      <c r="I25" s="4"/>
      <c r="J25" s="4"/>
      <c r="K25" s="4"/>
      <c r="L25" s="4"/>
      <c r="M25" s="4"/>
    </row>
    <row r="26" spans="1:13" ht="14.15" customHeight="1" x14ac:dyDescent="0.3">
      <c r="A26" s="4"/>
      <c r="B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4.15" customHeight="1" x14ac:dyDescent="0.3">
      <c r="A27" s="4"/>
      <c r="B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4.15" customHeight="1" x14ac:dyDescent="0.3">
      <c r="A28" s="4"/>
      <c r="B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4.15" customHeight="1" x14ac:dyDescent="0.3">
      <c r="A29" s="4"/>
      <c r="B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4.15" customHeight="1" x14ac:dyDescent="0.3">
      <c r="A30" s="4"/>
      <c r="B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4.15" customHeight="1" x14ac:dyDescent="0.3">
      <c r="A31" s="4"/>
      <c r="B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4.15" customHeight="1" x14ac:dyDescent="0.3">
      <c r="A32" s="4"/>
      <c r="B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15" customHeight="1" x14ac:dyDescent="0.3">
      <c r="A33" s="4"/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15" customHeight="1" x14ac:dyDescent="0.3">
      <c r="A34" s="4"/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4.15" customHeight="1" x14ac:dyDescent="0.3">
      <c r="A35" s="4"/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4.15" customHeight="1" x14ac:dyDescent="0.3">
      <c r="A36" s="4"/>
      <c r="B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4.15" customHeight="1" x14ac:dyDescent="0.3">
      <c r="A37" s="4"/>
      <c r="B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4.15" customHeight="1" x14ac:dyDescent="0.3">
      <c r="A38" s="4"/>
      <c r="B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4.15" customHeight="1" x14ac:dyDescent="0.3">
      <c r="A39" s="4"/>
      <c r="B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4.15" customHeight="1" x14ac:dyDescent="0.3">
      <c r="A40" s="4"/>
      <c r="B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4.15" customHeight="1" x14ac:dyDescent="0.3">
      <c r="A41" s="4"/>
      <c r="B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4.15" customHeight="1" x14ac:dyDescent="0.3">
      <c r="A42" s="4"/>
      <c r="B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4.15" customHeight="1" x14ac:dyDescent="0.3">
      <c r="A43" s="4"/>
      <c r="B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4.15" customHeight="1" x14ac:dyDescent="0.3">
      <c r="A44" s="4"/>
      <c r="B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4.15" customHeight="1" x14ac:dyDescent="0.3">
      <c r="A45" s="4"/>
      <c r="B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4.15" customHeight="1" x14ac:dyDescent="0.3">
      <c r="A46" s="4"/>
      <c r="B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4.15" customHeight="1" x14ac:dyDescent="0.3">
      <c r="A47" s="4"/>
      <c r="B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4.15" customHeight="1" x14ac:dyDescent="0.3">
      <c r="A48" s="4"/>
      <c r="B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4.15" customHeight="1" x14ac:dyDescent="0.3">
      <c r="A49" s="4"/>
      <c r="B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15" customHeight="1" x14ac:dyDescent="0.3">
      <c r="A50" s="4"/>
      <c r="B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15" customHeight="1" x14ac:dyDescent="0.3">
      <c r="A51" s="4"/>
      <c r="B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4.15" customHeight="1" x14ac:dyDescent="0.3">
      <c r="A52" s="4"/>
      <c r="B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15" customHeight="1" x14ac:dyDescent="0.3">
      <c r="A53" s="4"/>
      <c r="B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15" customHeight="1" x14ac:dyDescent="0.3">
      <c r="A54" s="4"/>
      <c r="B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4.15" customHeight="1" x14ac:dyDescent="0.3">
      <c r="A55" s="4"/>
      <c r="B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4.15" customHeight="1" x14ac:dyDescent="0.3">
      <c r="A56" s="4"/>
      <c r="B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4.15" customHeight="1" x14ac:dyDescent="0.3">
      <c r="A57" s="4"/>
      <c r="B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4.15" customHeight="1" x14ac:dyDescent="0.3">
      <c r="A58" s="4"/>
      <c r="B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4.15" customHeight="1" x14ac:dyDescent="0.3">
      <c r="A59" s="4"/>
      <c r="B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4.15" customHeight="1" x14ac:dyDescent="0.3">
      <c r="A60" s="4"/>
      <c r="B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4.15" customHeight="1" x14ac:dyDescent="0.3">
      <c r="A61" s="4"/>
      <c r="B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4.15" customHeight="1" x14ac:dyDescent="0.3">
      <c r="A62" s="4"/>
      <c r="B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4.15" customHeight="1" x14ac:dyDescent="0.3">
      <c r="A63" s="4"/>
      <c r="B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4.15" customHeight="1" x14ac:dyDescent="0.3">
      <c r="A64" s="4"/>
      <c r="B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4.15" customHeight="1" x14ac:dyDescent="0.3">
      <c r="A65" s="4"/>
      <c r="B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4.15" customHeight="1" x14ac:dyDescent="0.3">
      <c r="A66" s="4"/>
      <c r="B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4.15" customHeight="1" x14ac:dyDescent="0.3">
      <c r="A67" s="4"/>
      <c r="B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4.15" customHeight="1" x14ac:dyDescent="0.3">
      <c r="A68" s="4"/>
      <c r="B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4.15" customHeight="1" x14ac:dyDescent="0.3">
      <c r="A69" s="4"/>
      <c r="B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4.15" customHeight="1" x14ac:dyDescent="0.3">
      <c r="A70" s="4"/>
      <c r="B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4.15" customHeight="1" x14ac:dyDescent="0.3">
      <c r="A71" s="4"/>
      <c r="B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4.15" customHeight="1" x14ac:dyDescent="0.3">
      <c r="A72" s="4"/>
      <c r="B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4.15" customHeight="1" x14ac:dyDescent="0.3">
      <c r="A73" s="4"/>
      <c r="B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4.15" customHeight="1" x14ac:dyDescent="0.3">
      <c r="A74" s="4"/>
      <c r="B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4.15" customHeight="1" x14ac:dyDescent="0.3">
      <c r="A75" s="4"/>
      <c r="B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4.15" customHeight="1" x14ac:dyDescent="0.3">
      <c r="A76" s="4"/>
      <c r="B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4.15" customHeight="1" x14ac:dyDescent="0.3">
      <c r="A77" s="4"/>
      <c r="B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4.15" customHeight="1" x14ac:dyDescent="0.3">
      <c r="A78" s="4"/>
      <c r="B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4.15" customHeight="1" x14ac:dyDescent="0.3">
      <c r="A79" s="4"/>
      <c r="B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4.15" customHeight="1" x14ac:dyDescent="0.3">
      <c r="A80" s="4"/>
      <c r="B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4.15" customHeight="1" x14ac:dyDescent="0.3">
      <c r="A81" s="4"/>
      <c r="B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4.15" customHeight="1" x14ac:dyDescent="0.3">
      <c r="A82" s="4"/>
      <c r="B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4.15" customHeight="1" x14ac:dyDescent="0.3">
      <c r="A83" s="4"/>
      <c r="B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4.15" customHeight="1" x14ac:dyDescent="0.3">
      <c r="A84" s="4"/>
      <c r="B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4.15" customHeight="1" x14ac:dyDescent="0.3">
      <c r="A85" s="4"/>
      <c r="B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4.15" customHeight="1" x14ac:dyDescent="0.3">
      <c r="A86" s="4"/>
      <c r="B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4.15" customHeight="1" x14ac:dyDescent="0.3">
      <c r="A87" s="4"/>
      <c r="B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4.15" customHeight="1" x14ac:dyDescent="0.3">
      <c r="A88" s="4"/>
      <c r="B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4.15" customHeight="1" x14ac:dyDescent="0.3">
      <c r="A89" s="4"/>
      <c r="B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4.15" customHeight="1" x14ac:dyDescent="0.3">
      <c r="A90" s="4"/>
      <c r="B90" s="4"/>
      <c r="D90" s="4"/>
      <c r="E90" s="4"/>
      <c r="F90" s="4"/>
      <c r="G90" s="4"/>
      <c r="H90" s="4"/>
      <c r="I90" s="4"/>
      <c r="J90" s="4"/>
      <c r="K90" s="4"/>
      <c r="L90" s="4"/>
      <c r="M90" s="4"/>
    </row>
  </sheetData>
  <mergeCells count="2">
    <mergeCell ref="A1:D1"/>
    <mergeCell ref="A25:D25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94"/>
  <sheetViews>
    <sheetView showOutlineSymbols="0" topLeftCell="A24" zoomScale="160" zoomScaleNormal="160" workbookViewId="0">
      <selection activeCell="F35" sqref="F35"/>
    </sheetView>
  </sheetViews>
  <sheetFormatPr defaultColWidth="8.7109375" defaultRowHeight="15" x14ac:dyDescent="0.3"/>
  <cols>
    <col min="1" max="1" width="23.85546875" style="2" customWidth="1"/>
  </cols>
  <sheetData>
    <row r="1" spans="1:6" ht="35.15" customHeight="1" x14ac:dyDescent="0.5">
      <c r="A1" s="73" t="s">
        <v>34</v>
      </c>
      <c r="B1" s="73"/>
      <c r="C1" s="73"/>
      <c r="D1" s="73"/>
      <c r="E1" s="73"/>
      <c r="F1" s="73"/>
    </row>
    <row r="2" spans="1:6" ht="14.9" customHeight="1" x14ac:dyDescent="0.5">
      <c r="A2" s="3"/>
      <c r="B2" s="3"/>
      <c r="C2" s="3"/>
      <c r="D2" s="3"/>
      <c r="E2" s="3"/>
      <c r="F2" s="3"/>
    </row>
    <row r="3" spans="1:6" ht="14.9" customHeight="1" thickBot="1" x14ac:dyDescent="0.35">
      <c r="A3" s="35"/>
      <c r="B3" s="35"/>
      <c r="C3" s="75" t="s">
        <v>35</v>
      </c>
      <c r="D3" s="75"/>
      <c r="E3" s="75"/>
      <c r="F3" s="75"/>
    </row>
    <row r="4" spans="1:6" ht="14.15" customHeight="1" x14ac:dyDescent="0.3">
      <c r="A4" s="76"/>
      <c r="B4" s="76" t="s">
        <v>36</v>
      </c>
      <c r="C4" s="76" t="s">
        <v>37</v>
      </c>
      <c r="D4" s="76"/>
      <c r="E4" s="76"/>
      <c r="F4" s="76"/>
    </row>
    <row r="5" spans="1:6" ht="14.15" customHeight="1" x14ac:dyDescent="0.3">
      <c r="A5" s="77"/>
      <c r="B5" s="77"/>
      <c r="C5" s="51" t="s">
        <v>38</v>
      </c>
      <c r="D5" s="51" t="s">
        <v>39</v>
      </c>
      <c r="E5" s="51" t="s">
        <v>40</v>
      </c>
      <c r="F5" s="51" t="s">
        <v>41</v>
      </c>
    </row>
    <row r="6" spans="1:6" ht="14.15" customHeight="1" x14ac:dyDescent="0.3">
      <c r="A6" s="42" t="s">
        <v>42</v>
      </c>
      <c r="B6" s="8">
        <v>7184055</v>
      </c>
      <c r="C6" s="6">
        <v>1921884</v>
      </c>
      <c r="D6" s="8">
        <v>5262171</v>
      </c>
      <c r="E6" s="6">
        <f>D6-F6</f>
        <v>1090476</v>
      </c>
      <c r="F6" s="8">
        <v>4171695</v>
      </c>
    </row>
    <row r="7" spans="1:6" ht="14.9" customHeight="1" x14ac:dyDescent="0.3">
      <c r="A7" s="28" t="s">
        <v>143</v>
      </c>
      <c r="B7" s="8">
        <v>6943206</v>
      </c>
      <c r="C7" s="6">
        <f>B7-D7</f>
        <v>1909884</v>
      </c>
      <c r="D7" s="8">
        <v>5033322</v>
      </c>
      <c r="E7" s="6">
        <f t="shared" ref="E7:E12" si="0">D7-F7</f>
        <v>1090476</v>
      </c>
      <c r="F7" s="8">
        <v>3942846</v>
      </c>
    </row>
    <row r="8" spans="1:6" ht="14.9" customHeight="1" x14ac:dyDescent="0.3">
      <c r="A8" s="28" t="s">
        <v>159</v>
      </c>
      <c r="B8" s="8">
        <v>3567643</v>
      </c>
      <c r="C8" s="6">
        <f>B8-D8</f>
        <v>1056134</v>
      </c>
      <c r="D8" s="8">
        <v>2511509</v>
      </c>
      <c r="E8" s="6">
        <f t="shared" si="0"/>
        <v>409117</v>
      </c>
      <c r="F8" s="8">
        <v>2102392</v>
      </c>
    </row>
    <row r="9" spans="1:6" ht="14.9" customHeight="1" x14ac:dyDescent="0.3">
      <c r="A9" s="28" t="s">
        <v>158</v>
      </c>
      <c r="B9" s="8"/>
      <c r="C9" s="6"/>
      <c r="D9" s="8"/>
      <c r="E9" s="6"/>
      <c r="F9" s="8"/>
    </row>
    <row r="10" spans="1:6" ht="14.9" customHeight="1" x14ac:dyDescent="0.3">
      <c r="A10" s="28" t="s">
        <v>157</v>
      </c>
      <c r="B10" s="8">
        <v>396635</v>
      </c>
      <c r="C10" s="6"/>
      <c r="D10" s="8">
        <v>396635</v>
      </c>
      <c r="E10" s="6"/>
      <c r="F10" s="8"/>
    </row>
    <row r="11" spans="1:6" ht="14.9" customHeight="1" x14ac:dyDescent="0.3">
      <c r="A11" s="28" t="s">
        <v>144</v>
      </c>
      <c r="B11" s="8">
        <v>25368</v>
      </c>
      <c r="C11" s="6"/>
      <c r="D11" s="8">
        <v>25368</v>
      </c>
      <c r="E11" s="6">
        <f t="shared" si="0"/>
        <v>0</v>
      </c>
      <c r="F11" s="8">
        <v>25368</v>
      </c>
    </row>
    <row r="12" spans="1:6" ht="14.9" customHeight="1" x14ac:dyDescent="0.3">
      <c r="A12" s="28" t="s">
        <v>156</v>
      </c>
      <c r="B12" s="5">
        <v>1573039</v>
      </c>
      <c r="C12" s="6">
        <f>B12-D12</f>
        <v>367460</v>
      </c>
      <c r="D12" s="5">
        <v>1205579</v>
      </c>
      <c r="E12" s="6">
        <f t="shared" si="0"/>
        <v>681359</v>
      </c>
      <c r="F12" s="5">
        <v>524220</v>
      </c>
    </row>
    <row r="13" spans="1:6" ht="14.9" customHeight="1" x14ac:dyDescent="0.3">
      <c r="A13" s="28" t="s">
        <v>155</v>
      </c>
      <c r="B13" s="8">
        <v>122477</v>
      </c>
      <c r="C13" s="6">
        <f>B13-D13</f>
        <v>87800</v>
      </c>
      <c r="D13" s="8">
        <v>34677</v>
      </c>
      <c r="E13" s="6">
        <f>D13-F13</f>
        <v>0</v>
      </c>
      <c r="F13" s="8">
        <v>34677</v>
      </c>
    </row>
    <row r="14" spans="1:6" ht="14.9" customHeight="1" x14ac:dyDescent="0.3">
      <c r="A14" s="28" t="s">
        <v>154</v>
      </c>
      <c r="B14" s="6">
        <v>1147243</v>
      </c>
      <c r="C14" s="6"/>
      <c r="D14" s="6">
        <v>1145388</v>
      </c>
      <c r="E14" s="6"/>
      <c r="F14" s="6">
        <v>1145388</v>
      </c>
    </row>
    <row r="15" spans="1:6" ht="14.9" customHeight="1" x14ac:dyDescent="0.3">
      <c r="A15" s="28" t="s">
        <v>145</v>
      </c>
      <c r="B15" s="8">
        <v>12209</v>
      </c>
      <c r="C15" s="6"/>
      <c r="D15" s="8">
        <v>12209</v>
      </c>
      <c r="E15" s="6"/>
      <c r="F15" s="8">
        <v>12209</v>
      </c>
    </row>
    <row r="16" spans="1:6" ht="14.9" customHeight="1" x14ac:dyDescent="0.3">
      <c r="A16" s="28" t="s">
        <v>72</v>
      </c>
      <c r="B16" s="8">
        <v>10607</v>
      </c>
      <c r="C16" s="6"/>
      <c r="D16" s="8">
        <v>10607</v>
      </c>
      <c r="E16" s="6"/>
      <c r="F16" s="8">
        <v>10607</v>
      </c>
    </row>
    <row r="17" spans="1:8" ht="14.9" customHeight="1" x14ac:dyDescent="0.3">
      <c r="A17" s="28" t="s">
        <v>146</v>
      </c>
      <c r="B17" s="6">
        <v>12651</v>
      </c>
      <c r="C17" s="6">
        <f>B17-D17</f>
        <v>12000</v>
      </c>
      <c r="D17" s="6">
        <v>651</v>
      </c>
      <c r="E17" s="6"/>
      <c r="F17" s="6">
        <v>651</v>
      </c>
    </row>
    <row r="18" spans="1:8" ht="14.15" customHeight="1" x14ac:dyDescent="0.3">
      <c r="A18" s="52" t="s">
        <v>153</v>
      </c>
      <c r="B18" s="8">
        <v>12001</v>
      </c>
      <c r="C18" s="6"/>
      <c r="D18" s="8"/>
      <c r="E18" s="6"/>
      <c r="F18" s="8" t="s">
        <v>46</v>
      </c>
    </row>
    <row r="19" spans="1:8" ht="14.9" customHeight="1" x14ac:dyDescent="0.3">
      <c r="A19" s="28" t="s">
        <v>73</v>
      </c>
      <c r="B19" s="8">
        <v>650</v>
      </c>
      <c r="C19" s="6"/>
      <c r="D19" s="8">
        <v>650</v>
      </c>
      <c r="E19" s="6"/>
      <c r="F19" s="8">
        <v>650</v>
      </c>
    </row>
    <row r="20" spans="1:8" ht="14.9" customHeight="1" x14ac:dyDescent="0.3">
      <c r="A20" s="28" t="s">
        <v>147</v>
      </c>
      <c r="B20" s="8"/>
      <c r="C20" s="6"/>
      <c r="D20" s="8"/>
      <c r="E20" s="6"/>
      <c r="F20" s="8"/>
    </row>
    <row r="21" spans="1:8" ht="14.9" customHeight="1" x14ac:dyDescent="0.3">
      <c r="A21" s="28" t="s">
        <v>148</v>
      </c>
      <c r="B21" s="6">
        <v>700</v>
      </c>
      <c r="C21" s="6"/>
      <c r="D21" s="6">
        <v>700</v>
      </c>
      <c r="E21" s="6"/>
      <c r="F21" s="6">
        <v>700</v>
      </c>
    </row>
    <row r="22" spans="1:8" ht="14.15" customHeight="1" x14ac:dyDescent="0.3">
      <c r="A22" s="52" t="s">
        <v>151</v>
      </c>
      <c r="B22" s="8"/>
      <c r="C22" s="6"/>
      <c r="D22" s="8"/>
      <c r="E22" s="6"/>
      <c r="F22" s="8"/>
    </row>
    <row r="23" spans="1:8" ht="14.9" customHeight="1" x14ac:dyDescent="0.3">
      <c r="A23" s="28" t="s">
        <v>74</v>
      </c>
      <c r="B23" s="6">
        <v>700</v>
      </c>
      <c r="C23" s="6"/>
      <c r="D23" s="6">
        <v>700</v>
      </c>
      <c r="E23" s="6"/>
      <c r="F23" s="6">
        <v>700</v>
      </c>
    </row>
    <row r="24" spans="1:8" ht="14.9" customHeight="1" x14ac:dyDescent="0.3">
      <c r="A24" s="28" t="s">
        <v>149</v>
      </c>
      <c r="B24" s="6">
        <v>227498</v>
      </c>
      <c r="C24" s="6"/>
      <c r="D24" s="6">
        <v>227498</v>
      </c>
      <c r="E24" s="6"/>
      <c r="F24" s="6">
        <v>227498</v>
      </c>
    </row>
    <row r="25" spans="1:8" ht="14.15" customHeight="1" x14ac:dyDescent="0.3">
      <c r="A25" s="52" t="s">
        <v>152</v>
      </c>
      <c r="B25" s="8">
        <v>18701</v>
      </c>
      <c r="C25" s="6"/>
      <c r="D25" s="8">
        <v>18701</v>
      </c>
      <c r="E25" s="6"/>
      <c r="F25" s="8">
        <v>18701</v>
      </c>
    </row>
    <row r="26" spans="1:8" ht="14.9" customHeight="1" x14ac:dyDescent="0.3">
      <c r="A26" s="28" t="s">
        <v>150</v>
      </c>
      <c r="B26" s="8">
        <v>208797</v>
      </c>
      <c r="C26" s="6"/>
      <c r="D26" s="8">
        <v>208797</v>
      </c>
      <c r="E26" s="6"/>
      <c r="F26" s="8">
        <v>208797</v>
      </c>
    </row>
    <row r="27" spans="1:8" ht="14.9" customHeight="1" x14ac:dyDescent="0.3">
      <c r="A27" s="53" t="s">
        <v>75</v>
      </c>
      <c r="B27" s="29">
        <v>5922572</v>
      </c>
      <c r="C27" s="30">
        <f t="shared" ref="C27:C33" si="1">B27-D27</f>
        <v>1118872</v>
      </c>
      <c r="D27" s="29">
        <v>4803700</v>
      </c>
      <c r="E27" s="30">
        <f t="shared" ref="E27:E33" si="2">D27-F27</f>
        <v>985876</v>
      </c>
      <c r="F27" s="29">
        <v>3817824</v>
      </c>
    </row>
    <row r="28" spans="1:8" ht="14.9" customHeight="1" x14ac:dyDescent="0.3">
      <c r="A28" s="42" t="s">
        <v>43</v>
      </c>
      <c r="B28" s="29">
        <v>672810</v>
      </c>
      <c r="C28" s="30">
        <f t="shared" si="1"/>
        <v>221087</v>
      </c>
      <c r="D28" s="29">
        <v>451723</v>
      </c>
      <c r="E28" s="30">
        <f t="shared" si="2"/>
        <v>0</v>
      </c>
      <c r="F28" s="29">
        <v>451723</v>
      </c>
    </row>
    <row r="29" spans="1:8" ht="14.15" customHeight="1" x14ac:dyDescent="0.3">
      <c r="A29" s="42" t="s">
        <v>44</v>
      </c>
      <c r="B29" s="8">
        <v>379865</v>
      </c>
      <c r="C29" s="6">
        <f t="shared" si="1"/>
        <v>37025</v>
      </c>
      <c r="D29" s="8">
        <v>342840</v>
      </c>
      <c r="E29" s="6">
        <f t="shared" si="2"/>
        <v>4600</v>
      </c>
      <c r="F29" s="8">
        <v>338240</v>
      </c>
      <c r="H29" s="25"/>
    </row>
    <row r="30" spans="1:8" ht="14.9" customHeight="1" x14ac:dyDescent="0.3">
      <c r="A30" s="52" t="s">
        <v>160</v>
      </c>
      <c r="B30" s="8">
        <v>3897685</v>
      </c>
      <c r="C30" s="6">
        <f t="shared" si="1"/>
        <v>823488</v>
      </c>
      <c r="D30" s="8">
        <v>3074197</v>
      </c>
      <c r="E30" s="6">
        <f t="shared" si="2"/>
        <v>329787</v>
      </c>
      <c r="F30" s="8">
        <v>2744410</v>
      </c>
      <c r="H30" s="25"/>
    </row>
    <row r="31" spans="1:8" ht="14.9" customHeight="1" x14ac:dyDescent="0.3">
      <c r="A31" s="52" t="s">
        <v>161</v>
      </c>
      <c r="B31" s="8">
        <v>725972</v>
      </c>
      <c r="C31" s="6">
        <f t="shared" si="1"/>
        <v>448359</v>
      </c>
      <c r="D31" s="8">
        <v>277613</v>
      </c>
      <c r="E31" s="6">
        <f t="shared" si="2"/>
        <v>29723</v>
      </c>
      <c r="F31" s="8">
        <v>247890</v>
      </c>
      <c r="H31" s="25"/>
    </row>
    <row r="32" spans="1:8" ht="14.9" customHeight="1" x14ac:dyDescent="0.3">
      <c r="A32" s="52" t="s">
        <v>162</v>
      </c>
      <c r="B32" s="8">
        <v>2047651</v>
      </c>
      <c r="C32" s="6">
        <f t="shared" si="1"/>
        <v>607727</v>
      </c>
      <c r="D32" s="8">
        <v>1439924</v>
      </c>
      <c r="E32" s="6">
        <f t="shared" si="2"/>
        <v>601796</v>
      </c>
      <c r="F32" s="8">
        <v>838128</v>
      </c>
    </row>
    <row r="33" spans="1:6" ht="14.9" customHeight="1" thickBot="1" x14ac:dyDescent="0.35">
      <c r="A33" s="54" t="s">
        <v>163</v>
      </c>
      <c r="B33" s="55">
        <v>512747</v>
      </c>
      <c r="C33" s="56">
        <f t="shared" si="1"/>
        <v>142310</v>
      </c>
      <c r="D33" s="55">
        <v>370437</v>
      </c>
      <c r="E33" s="56">
        <f t="shared" si="2"/>
        <v>29170</v>
      </c>
      <c r="F33" s="55">
        <v>341267</v>
      </c>
    </row>
    <row r="34" spans="1:6" ht="11.9" customHeight="1" x14ac:dyDescent="0.3">
      <c r="A34" s="4" t="s">
        <v>142</v>
      </c>
      <c r="B34" s="6"/>
      <c r="C34" s="6"/>
      <c r="D34" s="6"/>
      <c r="E34" s="6"/>
      <c r="F34" s="6"/>
    </row>
    <row r="35" spans="1:6" ht="14.15" customHeight="1" x14ac:dyDescent="0.3">
      <c r="A35" s="4"/>
      <c r="B35" s="4"/>
      <c r="C35" s="4"/>
      <c r="D35" s="4"/>
      <c r="E35" s="4"/>
      <c r="F35" s="4"/>
    </row>
    <row r="36" spans="1:6" ht="14.15" customHeight="1" x14ac:dyDescent="0.3">
      <c r="A36" s="4"/>
      <c r="B36" s="4"/>
      <c r="C36" s="4"/>
      <c r="D36" s="4"/>
      <c r="E36" s="4"/>
      <c r="F36" s="4"/>
    </row>
    <row r="37" spans="1:6" ht="14.15" customHeight="1" x14ac:dyDescent="0.3">
      <c r="A37" s="4"/>
      <c r="B37" s="4"/>
      <c r="C37" s="4"/>
      <c r="D37" s="4"/>
      <c r="E37" s="4"/>
      <c r="F37" s="4"/>
    </row>
    <row r="38" spans="1:6" ht="14.15" customHeight="1" x14ac:dyDescent="0.3">
      <c r="A38" s="4"/>
      <c r="B38" s="4"/>
      <c r="C38" s="4"/>
      <c r="D38" s="4"/>
      <c r="E38" s="4"/>
      <c r="F38" s="4"/>
    </row>
    <row r="39" spans="1:6" ht="14.15" customHeight="1" x14ac:dyDescent="0.3">
      <c r="A39" s="4"/>
      <c r="B39" s="4"/>
      <c r="C39" s="4"/>
      <c r="D39" s="4"/>
      <c r="E39" s="4"/>
      <c r="F39" s="4"/>
    </row>
    <row r="40" spans="1:6" ht="14.15" customHeight="1" x14ac:dyDescent="0.3">
      <c r="A40" s="4"/>
      <c r="B40" s="4"/>
      <c r="C40" s="4"/>
      <c r="D40" s="4"/>
      <c r="E40" s="4"/>
      <c r="F40" s="4"/>
    </row>
    <row r="41" spans="1:6" ht="14.15" customHeight="1" x14ac:dyDescent="0.3">
      <c r="A41" s="4"/>
      <c r="B41" s="4"/>
      <c r="C41" s="4"/>
      <c r="D41" s="4"/>
      <c r="E41" s="4"/>
      <c r="F41" s="4"/>
    </row>
    <row r="42" spans="1:6" ht="14.15" customHeight="1" x14ac:dyDescent="0.3">
      <c r="A42" s="4"/>
      <c r="B42" s="4"/>
      <c r="C42" s="4"/>
      <c r="D42" s="4"/>
      <c r="E42" s="4"/>
      <c r="F42" s="4"/>
    </row>
    <row r="43" spans="1:6" ht="14.15" customHeight="1" x14ac:dyDescent="0.3">
      <c r="A43" s="4"/>
      <c r="B43" s="4"/>
      <c r="C43" s="4"/>
      <c r="D43" s="4"/>
      <c r="E43" s="4"/>
      <c r="F43" s="4"/>
    </row>
    <row r="44" spans="1:6" ht="14.15" customHeight="1" x14ac:dyDescent="0.3">
      <c r="A44" s="4"/>
      <c r="B44" s="4"/>
      <c r="C44" s="4"/>
      <c r="D44" s="4"/>
      <c r="E44" s="4"/>
      <c r="F44" s="4"/>
    </row>
    <row r="45" spans="1:6" ht="14.15" customHeight="1" x14ac:dyDescent="0.3">
      <c r="A45" s="4"/>
      <c r="B45" s="4"/>
      <c r="C45" s="4"/>
      <c r="D45" s="4"/>
      <c r="E45" s="4"/>
      <c r="F45" s="4"/>
    </row>
    <row r="46" spans="1:6" ht="14.15" customHeight="1" x14ac:dyDescent="0.3">
      <c r="A46" s="4"/>
      <c r="B46" s="4"/>
      <c r="C46" s="4"/>
      <c r="D46" s="4"/>
      <c r="E46" s="4"/>
      <c r="F46" s="4"/>
    </row>
    <row r="47" spans="1:6" ht="14.15" customHeight="1" x14ac:dyDescent="0.3">
      <c r="A47" s="4"/>
      <c r="B47" s="4"/>
      <c r="C47" s="4"/>
      <c r="D47" s="4"/>
      <c r="E47" s="4"/>
      <c r="F47" s="4"/>
    </row>
    <row r="48" spans="1:6" ht="14.15" customHeight="1" x14ac:dyDescent="0.3">
      <c r="A48" s="4"/>
      <c r="B48" s="4"/>
      <c r="C48" s="4"/>
      <c r="D48" s="4"/>
      <c r="E48" s="4"/>
      <c r="F48" s="4"/>
    </row>
    <row r="49" spans="1:6" ht="14.15" customHeight="1" x14ac:dyDescent="0.3">
      <c r="A49" s="4"/>
      <c r="B49" s="4"/>
      <c r="C49" s="4"/>
      <c r="D49" s="4"/>
      <c r="E49" s="4"/>
      <c r="F49" s="4"/>
    </row>
    <row r="50" spans="1:6" ht="14.15" customHeight="1" x14ac:dyDescent="0.3">
      <c r="A50" s="4"/>
      <c r="B50" s="4"/>
      <c r="C50" s="4"/>
      <c r="D50" s="4"/>
      <c r="E50" s="4"/>
      <c r="F50" s="4"/>
    </row>
    <row r="51" spans="1:6" ht="14.15" customHeight="1" x14ac:dyDescent="0.3">
      <c r="A51" s="4"/>
      <c r="B51" s="4"/>
      <c r="C51" s="4"/>
      <c r="D51" s="4"/>
      <c r="E51" s="4"/>
      <c r="F51" s="4"/>
    </row>
    <row r="52" spans="1:6" ht="14.15" customHeight="1" x14ac:dyDescent="0.3">
      <c r="A52" s="4"/>
      <c r="B52" s="4"/>
      <c r="C52" s="4"/>
      <c r="D52" s="4"/>
      <c r="E52" s="4"/>
      <c r="F52" s="4"/>
    </row>
    <row r="53" spans="1:6" ht="14.15" customHeight="1" x14ac:dyDescent="0.3">
      <c r="A53" s="4"/>
      <c r="B53" s="4"/>
      <c r="C53" s="4"/>
      <c r="D53" s="4"/>
      <c r="E53" s="4"/>
      <c r="F53" s="4"/>
    </row>
    <row r="54" spans="1:6" ht="14.15" customHeight="1" x14ac:dyDescent="0.3">
      <c r="A54" s="4"/>
      <c r="B54" s="4"/>
      <c r="C54" s="4"/>
      <c r="D54" s="4"/>
      <c r="E54" s="4"/>
      <c r="F54" s="4"/>
    </row>
    <row r="55" spans="1:6" ht="14.15" customHeight="1" x14ac:dyDescent="0.3">
      <c r="A55" s="4"/>
      <c r="B55" s="4"/>
      <c r="C55" s="4"/>
      <c r="D55" s="4"/>
      <c r="E55" s="4"/>
      <c r="F55" s="4"/>
    </row>
    <row r="56" spans="1:6" ht="14.15" customHeight="1" x14ac:dyDescent="0.3">
      <c r="A56" s="4"/>
      <c r="B56" s="4"/>
      <c r="C56" s="4"/>
      <c r="D56" s="4"/>
      <c r="E56" s="4"/>
      <c r="F56" s="4"/>
    </row>
    <row r="57" spans="1:6" ht="14.15" customHeight="1" x14ac:dyDescent="0.3">
      <c r="A57" s="4"/>
      <c r="B57" s="4"/>
      <c r="C57" s="4"/>
      <c r="D57" s="4"/>
      <c r="E57" s="4"/>
      <c r="F57" s="4"/>
    </row>
    <row r="58" spans="1:6" ht="14.15" customHeight="1" x14ac:dyDescent="0.3">
      <c r="A58" s="4"/>
      <c r="B58" s="4"/>
      <c r="C58" s="4"/>
      <c r="D58" s="4"/>
      <c r="E58" s="4"/>
      <c r="F58" s="4"/>
    </row>
    <row r="59" spans="1:6" ht="14.15" customHeight="1" x14ac:dyDescent="0.3">
      <c r="A59" s="4"/>
      <c r="B59" s="4"/>
      <c r="C59" s="4"/>
      <c r="D59" s="4"/>
      <c r="E59" s="4"/>
      <c r="F59" s="4"/>
    </row>
    <row r="60" spans="1:6" ht="14.15" customHeight="1" x14ac:dyDescent="0.3">
      <c r="A60" s="4"/>
      <c r="B60" s="4"/>
      <c r="C60" s="4"/>
      <c r="D60" s="4"/>
      <c r="E60" s="4"/>
      <c r="F60" s="4"/>
    </row>
    <row r="61" spans="1:6" ht="14.15" customHeight="1" x14ac:dyDescent="0.3">
      <c r="A61" s="4"/>
      <c r="B61" s="4"/>
      <c r="C61" s="4"/>
      <c r="D61" s="4"/>
      <c r="E61" s="4"/>
      <c r="F61" s="4"/>
    </row>
    <row r="62" spans="1:6" ht="14.15" customHeight="1" x14ac:dyDescent="0.3">
      <c r="A62" s="4"/>
      <c r="B62" s="4"/>
      <c r="C62" s="4"/>
      <c r="D62" s="4"/>
      <c r="E62" s="4"/>
      <c r="F62" s="4"/>
    </row>
    <row r="63" spans="1:6" ht="14.15" customHeight="1" x14ac:dyDescent="0.3">
      <c r="A63" s="4"/>
      <c r="B63" s="4"/>
      <c r="C63" s="4"/>
      <c r="D63" s="4"/>
      <c r="E63" s="4"/>
      <c r="F63" s="4"/>
    </row>
    <row r="64" spans="1:6" ht="14.15" customHeight="1" x14ac:dyDescent="0.3">
      <c r="A64" s="4"/>
      <c r="B64" s="4"/>
      <c r="C64" s="4"/>
      <c r="D64" s="4"/>
      <c r="E64" s="4"/>
      <c r="F64" s="4"/>
    </row>
    <row r="65" spans="1:6" ht="14.15" customHeight="1" x14ac:dyDescent="0.3">
      <c r="A65" s="4"/>
      <c r="B65" s="4"/>
      <c r="C65" s="4"/>
      <c r="D65" s="4"/>
      <c r="E65" s="4"/>
      <c r="F65" s="4"/>
    </row>
    <row r="66" spans="1:6" ht="14.15" customHeight="1" x14ac:dyDescent="0.3">
      <c r="A66" s="4"/>
      <c r="B66" s="4"/>
      <c r="C66" s="4"/>
      <c r="D66" s="4"/>
      <c r="E66" s="4"/>
      <c r="F66" s="4"/>
    </row>
    <row r="67" spans="1:6" ht="14.15" customHeight="1" x14ac:dyDescent="0.3">
      <c r="A67" s="4"/>
      <c r="B67" s="4"/>
      <c r="C67" s="4"/>
      <c r="D67" s="4"/>
      <c r="E67" s="4"/>
      <c r="F67" s="4"/>
    </row>
    <row r="68" spans="1:6" ht="14.15" customHeight="1" x14ac:dyDescent="0.3">
      <c r="A68" s="4"/>
      <c r="B68" s="4"/>
      <c r="C68" s="4"/>
      <c r="D68" s="4"/>
      <c r="E68" s="4"/>
      <c r="F68" s="4"/>
    </row>
    <row r="69" spans="1:6" ht="14.15" customHeight="1" x14ac:dyDescent="0.3">
      <c r="A69" s="4"/>
      <c r="B69" s="4"/>
      <c r="C69" s="4"/>
      <c r="D69" s="4"/>
      <c r="E69" s="4"/>
      <c r="F69" s="4"/>
    </row>
    <row r="70" spans="1:6" ht="14.15" customHeight="1" x14ac:dyDescent="0.3">
      <c r="A70" s="4"/>
      <c r="B70" s="4"/>
      <c r="C70" s="4"/>
      <c r="D70" s="4"/>
      <c r="E70" s="4"/>
      <c r="F70" s="4"/>
    </row>
    <row r="71" spans="1:6" ht="14.15" customHeight="1" x14ac:dyDescent="0.3">
      <c r="A71" s="4"/>
      <c r="B71" s="4"/>
      <c r="C71" s="4"/>
      <c r="D71" s="4"/>
      <c r="E71" s="4"/>
      <c r="F71" s="4"/>
    </row>
    <row r="72" spans="1:6" ht="14.15" customHeight="1" x14ac:dyDescent="0.3">
      <c r="A72" s="4"/>
      <c r="B72" s="4"/>
      <c r="C72" s="4"/>
      <c r="D72" s="4"/>
      <c r="E72" s="4"/>
      <c r="F72" s="4"/>
    </row>
    <row r="73" spans="1:6" ht="14.15" customHeight="1" x14ac:dyDescent="0.3">
      <c r="A73" s="4"/>
      <c r="B73" s="4"/>
      <c r="C73" s="4"/>
      <c r="D73" s="4"/>
      <c r="E73" s="4"/>
      <c r="F73" s="4"/>
    </row>
    <row r="74" spans="1:6" ht="14.15" customHeight="1" x14ac:dyDescent="0.3">
      <c r="A74" s="4"/>
      <c r="B74" s="4"/>
      <c r="C74" s="4"/>
      <c r="D74" s="4"/>
      <c r="E74" s="4"/>
      <c r="F74" s="4"/>
    </row>
    <row r="75" spans="1:6" ht="14.15" customHeight="1" x14ac:dyDescent="0.3">
      <c r="A75" s="4"/>
      <c r="B75" s="4"/>
      <c r="C75" s="4"/>
      <c r="D75" s="4"/>
      <c r="E75" s="4"/>
      <c r="F75" s="4"/>
    </row>
    <row r="76" spans="1:6" ht="14.15" customHeight="1" x14ac:dyDescent="0.3">
      <c r="A76" s="4"/>
      <c r="B76" s="4"/>
      <c r="C76" s="4"/>
      <c r="D76" s="4"/>
      <c r="E76" s="4"/>
      <c r="F76" s="4"/>
    </row>
    <row r="77" spans="1:6" ht="14.15" customHeight="1" x14ac:dyDescent="0.3">
      <c r="A77" s="4"/>
      <c r="B77" s="4"/>
      <c r="C77" s="4"/>
      <c r="D77" s="4"/>
      <c r="E77" s="4"/>
      <c r="F77" s="4"/>
    </row>
    <row r="78" spans="1:6" ht="14.15" customHeight="1" x14ac:dyDescent="0.3">
      <c r="A78" s="4"/>
      <c r="B78" s="4"/>
      <c r="C78" s="4"/>
      <c r="D78" s="4"/>
      <c r="E78" s="4"/>
      <c r="F78" s="4"/>
    </row>
    <row r="79" spans="1:6" ht="14.15" customHeight="1" x14ac:dyDescent="0.3">
      <c r="A79" s="4"/>
      <c r="B79" s="4"/>
      <c r="C79" s="4"/>
      <c r="D79" s="4"/>
      <c r="E79" s="4"/>
      <c r="F79" s="4"/>
    </row>
    <row r="80" spans="1:6" ht="14.15" customHeight="1" x14ac:dyDescent="0.3">
      <c r="A80" s="4"/>
      <c r="B80" s="4"/>
      <c r="C80" s="4"/>
      <c r="D80" s="4"/>
      <c r="E80" s="4"/>
      <c r="F80" s="4"/>
    </row>
    <row r="81" spans="1:6" ht="14.15" customHeight="1" x14ac:dyDescent="0.3">
      <c r="A81" s="4"/>
      <c r="B81" s="4"/>
      <c r="C81" s="4"/>
      <c r="D81" s="4"/>
      <c r="E81" s="4"/>
      <c r="F81" s="4"/>
    </row>
    <row r="82" spans="1:6" ht="14.15" customHeight="1" x14ac:dyDescent="0.3">
      <c r="A82" s="4"/>
      <c r="B82" s="4"/>
      <c r="C82" s="4"/>
      <c r="D82" s="4"/>
      <c r="E82" s="4"/>
      <c r="F82" s="4"/>
    </row>
    <row r="83" spans="1:6" ht="14.15" customHeight="1" x14ac:dyDescent="0.3">
      <c r="A83" s="4"/>
      <c r="B83" s="4"/>
      <c r="C83" s="4"/>
      <c r="D83" s="4"/>
      <c r="E83" s="4"/>
      <c r="F83" s="4"/>
    </row>
    <row r="84" spans="1:6" ht="14.15" customHeight="1" x14ac:dyDescent="0.3">
      <c r="A84" s="4"/>
      <c r="B84" s="4"/>
      <c r="C84" s="4"/>
      <c r="D84" s="4"/>
      <c r="E84" s="4"/>
      <c r="F84" s="4"/>
    </row>
    <row r="85" spans="1:6" ht="14.15" customHeight="1" x14ac:dyDescent="0.3">
      <c r="A85" s="4"/>
      <c r="B85" s="4"/>
      <c r="C85" s="4"/>
      <c r="D85" s="4"/>
      <c r="E85" s="4"/>
      <c r="F85" s="4"/>
    </row>
    <row r="86" spans="1:6" ht="14.15" customHeight="1" x14ac:dyDescent="0.3">
      <c r="A86" s="4"/>
      <c r="B86" s="4"/>
      <c r="C86" s="4"/>
      <c r="D86" s="4"/>
      <c r="E86" s="4"/>
      <c r="F86" s="4"/>
    </row>
    <row r="87" spans="1:6" ht="14.15" customHeight="1" x14ac:dyDescent="0.3">
      <c r="A87" s="4"/>
      <c r="B87" s="4"/>
      <c r="C87" s="4"/>
      <c r="D87" s="4"/>
      <c r="E87" s="4"/>
      <c r="F87" s="4"/>
    </row>
    <row r="88" spans="1:6" ht="14.15" customHeight="1" x14ac:dyDescent="0.3">
      <c r="A88" s="4"/>
      <c r="B88" s="4"/>
      <c r="C88" s="4"/>
      <c r="D88" s="4"/>
      <c r="E88" s="4"/>
      <c r="F88" s="4"/>
    </row>
    <row r="89" spans="1:6" ht="14.15" customHeight="1" x14ac:dyDescent="0.3">
      <c r="A89" s="4"/>
      <c r="B89" s="4"/>
      <c r="C89" s="4"/>
      <c r="D89" s="4"/>
      <c r="E89" s="4"/>
      <c r="F89" s="4"/>
    </row>
    <row r="90" spans="1:6" ht="14.15" customHeight="1" x14ac:dyDescent="0.3">
      <c r="A90" s="4"/>
      <c r="B90" s="4"/>
      <c r="C90" s="4"/>
      <c r="D90" s="4"/>
      <c r="E90" s="4"/>
      <c r="F90" s="4"/>
    </row>
    <row r="91" spans="1:6" ht="14.15" customHeight="1" x14ac:dyDescent="0.3">
      <c r="A91" s="4"/>
      <c r="B91" s="4"/>
      <c r="C91" s="4"/>
      <c r="D91" s="4"/>
      <c r="E91" s="4"/>
      <c r="F91" s="4"/>
    </row>
    <row r="92" spans="1:6" ht="14.15" customHeight="1" x14ac:dyDescent="0.3">
      <c r="A92" s="4"/>
      <c r="B92" s="4"/>
      <c r="C92" s="4"/>
      <c r="D92" s="4"/>
      <c r="E92" s="4"/>
      <c r="F92" s="4"/>
    </row>
    <row r="93" spans="1:6" ht="14.15" customHeight="1" x14ac:dyDescent="0.3">
      <c r="A93" s="4"/>
      <c r="B93" s="4"/>
      <c r="C93" s="4"/>
      <c r="D93" s="4"/>
      <c r="E93" s="4"/>
      <c r="F93" s="4"/>
    </row>
    <row r="94" spans="1:6" ht="14.15" customHeight="1" x14ac:dyDescent="0.3">
      <c r="A94" s="4"/>
      <c r="B94" s="4"/>
      <c r="C94" s="4"/>
      <c r="D94" s="4"/>
      <c r="E94" s="4"/>
      <c r="F94" s="4"/>
    </row>
  </sheetData>
  <mergeCells count="5">
    <mergeCell ref="A1:F1"/>
    <mergeCell ref="C3:F3"/>
    <mergeCell ref="C4:F4"/>
    <mergeCell ref="A4:A5"/>
    <mergeCell ref="B4:B5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 horizontalDpi="300" verticalDpi="300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9"/>
  <sheetViews>
    <sheetView showOutlineSymbols="0" topLeftCell="A28" zoomScale="85" zoomScaleNormal="85" workbookViewId="0">
      <selection activeCell="F43" sqref="F43"/>
    </sheetView>
  </sheetViews>
  <sheetFormatPr defaultColWidth="8.7109375" defaultRowHeight="15" x14ac:dyDescent="0.3"/>
  <cols>
    <col min="1" max="1" width="33" style="2" customWidth="1"/>
  </cols>
  <sheetData>
    <row r="1" spans="1:7" ht="35.15" customHeight="1" x14ac:dyDescent="0.5">
      <c r="A1" s="73" t="s">
        <v>45</v>
      </c>
      <c r="B1" s="73"/>
      <c r="C1" s="73"/>
      <c r="D1" s="73"/>
      <c r="E1" s="73"/>
      <c r="F1" s="73"/>
    </row>
    <row r="2" spans="1:7" ht="14.9" customHeight="1" thickBot="1" x14ac:dyDescent="0.35">
      <c r="A2" s="37"/>
      <c r="B2" s="37"/>
      <c r="C2" s="75" t="s">
        <v>35</v>
      </c>
      <c r="D2" s="75"/>
      <c r="E2" s="75"/>
      <c r="F2" s="75"/>
      <c r="G2" s="4"/>
    </row>
    <row r="3" spans="1:7" ht="14.15" customHeight="1" x14ac:dyDescent="0.3">
      <c r="A3" s="76"/>
      <c r="B3" s="76" t="s">
        <v>36</v>
      </c>
      <c r="C3" s="76" t="s">
        <v>37</v>
      </c>
      <c r="D3" s="76"/>
      <c r="E3" s="76"/>
      <c r="F3" s="76"/>
      <c r="G3" s="4"/>
    </row>
    <row r="4" spans="1:7" ht="14.15" customHeight="1" x14ac:dyDescent="0.3">
      <c r="A4" s="77"/>
      <c r="B4" s="77"/>
      <c r="C4" s="51" t="s">
        <v>38</v>
      </c>
      <c r="D4" s="51" t="s">
        <v>39</v>
      </c>
      <c r="E4" s="51" t="s">
        <v>40</v>
      </c>
      <c r="F4" s="51" t="s">
        <v>41</v>
      </c>
      <c r="G4" s="4"/>
    </row>
    <row r="5" spans="1:7" ht="14.15" customHeight="1" x14ac:dyDescent="0.3">
      <c r="A5" s="53" t="s">
        <v>164</v>
      </c>
      <c r="B5" s="8">
        <v>471585</v>
      </c>
      <c r="C5" s="8"/>
      <c r="D5" s="8">
        <v>471585</v>
      </c>
      <c r="E5" s="6"/>
      <c r="F5" s="8">
        <v>471585</v>
      </c>
      <c r="G5" s="4"/>
    </row>
    <row r="6" spans="1:7" ht="14.9" customHeight="1" x14ac:dyDescent="0.3">
      <c r="A6" s="42" t="s">
        <v>76</v>
      </c>
      <c r="B6" s="8">
        <v>106652</v>
      </c>
      <c r="C6" s="8"/>
      <c r="D6" s="8">
        <v>106652</v>
      </c>
      <c r="E6" s="6"/>
      <c r="F6" s="8">
        <v>106652</v>
      </c>
      <c r="G6" s="4"/>
    </row>
    <row r="7" spans="1:7" ht="14.9" customHeight="1" x14ac:dyDescent="0.3">
      <c r="A7" s="42" t="s">
        <v>77</v>
      </c>
      <c r="B7" s="8">
        <v>84099</v>
      </c>
      <c r="C7" s="8"/>
      <c r="D7" s="8">
        <v>84099</v>
      </c>
      <c r="E7" s="6"/>
      <c r="F7" s="8">
        <v>84099</v>
      </c>
      <c r="G7" s="4"/>
    </row>
    <row r="8" spans="1:7" ht="14.9" customHeight="1" x14ac:dyDescent="0.3">
      <c r="A8" s="42" t="s">
        <v>78</v>
      </c>
      <c r="B8" s="8">
        <v>182797</v>
      </c>
      <c r="C8" s="8"/>
      <c r="D8" s="8">
        <v>182797</v>
      </c>
      <c r="E8" s="6"/>
      <c r="F8" s="8">
        <v>182797</v>
      </c>
      <c r="G8" s="4"/>
    </row>
    <row r="9" spans="1:7" ht="14.15" customHeight="1" x14ac:dyDescent="0.3">
      <c r="A9" s="53" t="s">
        <v>79</v>
      </c>
      <c r="B9" s="8">
        <v>98037</v>
      </c>
      <c r="C9" s="8"/>
      <c r="D9" s="8">
        <v>98037</v>
      </c>
      <c r="E9" s="6"/>
      <c r="F9" s="8">
        <v>98037</v>
      </c>
      <c r="G9" s="4"/>
    </row>
    <row r="10" spans="1:7" s="14" customFormat="1" ht="14.9" customHeight="1" x14ac:dyDescent="0.25">
      <c r="A10" s="42" t="s">
        <v>165</v>
      </c>
      <c r="B10" s="8">
        <v>969958</v>
      </c>
      <c r="C10" s="8">
        <f>B10-D10</f>
        <v>339287</v>
      </c>
      <c r="D10" s="8">
        <v>630671</v>
      </c>
      <c r="E10" s="6">
        <f>D10-F10</f>
        <v>269741</v>
      </c>
      <c r="F10" s="8">
        <v>360930</v>
      </c>
      <c r="G10" s="4"/>
    </row>
    <row r="11" spans="1:7" s="14" customFormat="1" ht="14.9" customHeight="1" x14ac:dyDescent="0.25">
      <c r="A11" s="42" t="s">
        <v>80</v>
      </c>
      <c r="B11" s="8">
        <v>512867</v>
      </c>
      <c r="C11" s="8">
        <f>B11-D11</f>
        <v>223317</v>
      </c>
      <c r="D11" s="8">
        <v>289550</v>
      </c>
      <c r="E11" s="6">
        <f>D11-F11</f>
        <v>178853</v>
      </c>
      <c r="F11" s="8">
        <v>110697</v>
      </c>
      <c r="G11" s="4"/>
    </row>
    <row r="12" spans="1:7" s="14" customFormat="1" ht="14.9" customHeight="1" x14ac:dyDescent="0.25">
      <c r="A12" s="42" t="s">
        <v>81</v>
      </c>
      <c r="B12" s="8">
        <v>237320</v>
      </c>
      <c r="C12" s="8">
        <f>B12-D12</f>
        <v>98700</v>
      </c>
      <c r="D12" s="8">
        <v>138620</v>
      </c>
      <c r="E12" s="6"/>
      <c r="F12" s="8">
        <v>133920</v>
      </c>
      <c r="G12" s="4"/>
    </row>
    <row r="13" spans="1:7" s="14" customFormat="1" ht="14.9" customHeight="1" x14ac:dyDescent="0.25">
      <c r="A13" s="42" t="s">
        <v>82</v>
      </c>
      <c r="B13" s="8">
        <v>15130</v>
      </c>
      <c r="C13" s="8"/>
      <c r="D13" s="8">
        <v>15130</v>
      </c>
      <c r="E13" s="6"/>
      <c r="F13" s="8">
        <v>15130</v>
      </c>
      <c r="G13" s="4"/>
    </row>
    <row r="14" spans="1:7" s="14" customFormat="1" ht="14.9" customHeight="1" x14ac:dyDescent="0.25">
      <c r="A14" s="42" t="s">
        <v>83</v>
      </c>
      <c r="B14" s="8">
        <v>193230</v>
      </c>
      <c r="C14" s="8">
        <f>B14-D14</f>
        <v>17270</v>
      </c>
      <c r="D14" s="8">
        <v>175960</v>
      </c>
      <c r="E14" s="6">
        <f>D14-F14</f>
        <v>86188</v>
      </c>
      <c r="F14" s="8">
        <v>89772</v>
      </c>
      <c r="G14" s="4"/>
    </row>
    <row r="15" spans="1:7" s="14" customFormat="1" ht="14.15" customHeight="1" x14ac:dyDescent="0.25">
      <c r="A15" s="53" t="s">
        <v>84</v>
      </c>
      <c r="B15" s="8">
        <v>8887</v>
      </c>
      <c r="C15" s="8"/>
      <c r="D15" s="8">
        <v>8887</v>
      </c>
      <c r="E15" s="6"/>
      <c r="F15" s="8">
        <v>8887</v>
      </c>
      <c r="G15" s="4"/>
    </row>
    <row r="16" spans="1:7" ht="14.9" customHeight="1" x14ac:dyDescent="0.3">
      <c r="A16" s="42" t="s">
        <v>166</v>
      </c>
      <c r="B16" s="8">
        <v>633498</v>
      </c>
      <c r="C16" s="8"/>
      <c r="D16" s="8">
        <v>633498</v>
      </c>
      <c r="E16" s="6">
        <f>D16-F16</f>
        <v>0</v>
      </c>
      <c r="F16" s="8">
        <v>633498</v>
      </c>
      <c r="G16" s="4"/>
    </row>
    <row r="17" spans="1:7" ht="14.9" customHeight="1" x14ac:dyDescent="0.3">
      <c r="A17" s="42" t="s">
        <v>85</v>
      </c>
      <c r="B17" s="8">
        <v>131143</v>
      </c>
      <c r="C17" s="8"/>
      <c r="D17" s="8">
        <v>131143</v>
      </c>
      <c r="E17" s="6"/>
      <c r="F17" s="8">
        <v>131143</v>
      </c>
      <c r="G17" s="4"/>
    </row>
    <row r="18" spans="1:7" ht="14.9" customHeight="1" x14ac:dyDescent="0.3">
      <c r="A18" s="42" t="s">
        <v>86</v>
      </c>
      <c r="B18" s="8">
        <v>14300</v>
      </c>
      <c r="C18" s="8"/>
      <c r="D18" s="8">
        <v>14300</v>
      </c>
      <c r="E18" s="6">
        <f>D18-F18</f>
        <v>0</v>
      </c>
      <c r="F18" s="8">
        <v>14300</v>
      </c>
      <c r="G18" s="4"/>
    </row>
    <row r="19" spans="1:7" ht="14.9" customHeight="1" x14ac:dyDescent="0.3">
      <c r="A19" s="42" t="s">
        <v>87</v>
      </c>
      <c r="B19" s="8">
        <v>2891</v>
      </c>
      <c r="C19" s="8"/>
      <c r="D19" s="8">
        <v>2891</v>
      </c>
      <c r="E19" s="6"/>
      <c r="F19" s="8">
        <v>2891</v>
      </c>
      <c r="G19" s="4"/>
    </row>
    <row r="20" spans="1:7" ht="14.9" customHeight="1" x14ac:dyDescent="0.3">
      <c r="A20" s="42" t="s">
        <v>88</v>
      </c>
      <c r="B20" s="8">
        <v>42940</v>
      </c>
      <c r="C20" s="8"/>
      <c r="D20" s="8">
        <v>42940</v>
      </c>
      <c r="E20" s="6"/>
      <c r="F20" s="8">
        <v>42940</v>
      </c>
      <c r="G20" s="4"/>
    </row>
    <row r="21" spans="1:7" ht="14.9" customHeight="1" x14ac:dyDescent="0.3">
      <c r="A21" s="42" t="s">
        <v>89</v>
      </c>
      <c r="B21" s="8">
        <v>16150</v>
      </c>
      <c r="C21" s="8"/>
      <c r="D21" s="8">
        <v>16150</v>
      </c>
      <c r="E21" s="6"/>
      <c r="F21" s="8">
        <v>16150</v>
      </c>
      <c r="G21" s="4"/>
    </row>
    <row r="22" spans="1:7" ht="14.9" customHeight="1" x14ac:dyDescent="0.3">
      <c r="A22" s="42" t="s">
        <v>90</v>
      </c>
      <c r="B22" s="8">
        <v>3000</v>
      </c>
      <c r="C22" s="8"/>
      <c r="D22" s="8">
        <v>3000</v>
      </c>
      <c r="E22" s="6"/>
      <c r="F22" s="8">
        <v>3000</v>
      </c>
      <c r="G22" s="4"/>
    </row>
    <row r="23" spans="1:7" ht="14.9" customHeight="1" x14ac:dyDescent="0.3">
      <c r="A23" s="57" t="s">
        <v>205</v>
      </c>
      <c r="B23" s="8">
        <v>1000</v>
      </c>
      <c r="C23" s="8"/>
      <c r="D23" s="8">
        <v>1000</v>
      </c>
      <c r="E23" s="6"/>
      <c r="F23" s="8">
        <v>1000</v>
      </c>
      <c r="G23" s="4"/>
    </row>
    <row r="24" spans="1:7" ht="14.9" customHeight="1" x14ac:dyDescent="0.3">
      <c r="A24" s="57" t="s">
        <v>206</v>
      </c>
      <c r="B24" s="8">
        <v>11100</v>
      </c>
      <c r="C24" s="8"/>
      <c r="D24" s="8">
        <v>11100</v>
      </c>
      <c r="E24" s="6"/>
      <c r="F24" s="8">
        <v>11100</v>
      </c>
      <c r="G24" s="4"/>
    </row>
    <row r="25" spans="1:7" ht="14.9" customHeight="1" x14ac:dyDescent="0.3">
      <c r="A25" s="42" t="s">
        <v>91</v>
      </c>
      <c r="B25" s="8">
        <v>19100</v>
      </c>
      <c r="C25" s="8"/>
      <c r="D25" s="8">
        <v>19100</v>
      </c>
      <c r="E25" s="6"/>
      <c r="F25" s="6">
        <v>19100</v>
      </c>
      <c r="G25" s="4"/>
    </row>
    <row r="26" spans="1:7" ht="14.15" customHeight="1" x14ac:dyDescent="0.3">
      <c r="A26" s="57" t="s">
        <v>207</v>
      </c>
      <c r="B26" s="8">
        <v>59315</v>
      </c>
      <c r="C26" s="8"/>
      <c r="D26" s="8">
        <v>59315</v>
      </c>
      <c r="E26" s="6"/>
      <c r="F26" s="8">
        <v>59315</v>
      </c>
      <c r="G26" s="4"/>
    </row>
    <row r="27" spans="1:7" ht="14.15" customHeight="1" x14ac:dyDescent="0.3">
      <c r="A27" s="42" t="s">
        <v>92</v>
      </c>
      <c r="B27" s="31">
        <v>14630</v>
      </c>
      <c r="C27" s="32"/>
      <c r="D27" s="31">
        <v>14630</v>
      </c>
      <c r="E27" s="33"/>
      <c r="F27" s="31">
        <v>14630</v>
      </c>
      <c r="G27" s="4"/>
    </row>
    <row r="28" spans="1:7" ht="14.15" customHeight="1" x14ac:dyDescent="0.3">
      <c r="A28" s="42" t="s">
        <v>93</v>
      </c>
      <c r="B28" s="8">
        <v>71301</v>
      </c>
      <c r="C28" s="8"/>
      <c r="D28" s="8">
        <v>71301</v>
      </c>
      <c r="E28" s="6"/>
      <c r="F28" s="6">
        <v>71301</v>
      </c>
      <c r="G28" s="4"/>
    </row>
    <row r="29" spans="1:7" ht="14.15" customHeight="1" x14ac:dyDescent="0.3">
      <c r="A29" s="42" t="s">
        <v>94</v>
      </c>
      <c r="B29" s="8">
        <v>10100</v>
      </c>
      <c r="C29" s="8"/>
      <c r="D29" s="8">
        <v>10100</v>
      </c>
      <c r="E29" s="6"/>
      <c r="F29" s="8">
        <v>10100</v>
      </c>
      <c r="G29" s="4"/>
    </row>
    <row r="30" spans="1:7" ht="14.9" customHeight="1" x14ac:dyDescent="0.3">
      <c r="A30" s="42" t="s">
        <v>95</v>
      </c>
      <c r="B30" s="8">
        <v>13280</v>
      </c>
      <c r="C30" s="8"/>
      <c r="D30" s="8">
        <v>13280</v>
      </c>
      <c r="E30" s="6"/>
      <c r="F30" s="8">
        <v>13280</v>
      </c>
      <c r="G30" s="4"/>
    </row>
    <row r="31" spans="1:7" ht="14.9" customHeight="1" x14ac:dyDescent="0.3">
      <c r="A31" s="42" t="s">
        <v>96</v>
      </c>
      <c r="B31" s="8">
        <v>4791</v>
      </c>
      <c r="C31" s="8"/>
      <c r="D31" s="8">
        <v>4791</v>
      </c>
      <c r="E31" s="6"/>
      <c r="F31" s="8">
        <v>4791</v>
      </c>
      <c r="G31" s="4"/>
    </row>
    <row r="32" spans="1:7" ht="14.9" customHeight="1" x14ac:dyDescent="0.3">
      <c r="A32" s="53" t="s">
        <v>97</v>
      </c>
      <c r="B32" s="8">
        <v>40790</v>
      </c>
      <c r="C32" s="8"/>
      <c r="D32" s="8">
        <v>40790</v>
      </c>
      <c r="E32" s="6"/>
      <c r="F32" s="8">
        <v>40790</v>
      </c>
      <c r="G32" s="4"/>
    </row>
    <row r="33" spans="1:7" s="1" customFormat="1" ht="14.9" customHeight="1" x14ac:dyDescent="0.3">
      <c r="A33" s="42" t="s">
        <v>98</v>
      </c>
      <c r="B33" s="8">
        <v>8300</v>
      </c>
      <c r="C33" s="8"/>
      <c r="D33" s="8">
        <v>8300</v>
      </c>
      <c r="E33" s="6"/>
      <c r="F33" s="8">
        <v>8300</v>
      </c>
      <c r="G33" s="13"/>
    </row>
    <row r="34" spans="1:7" ht="14.15" customHeight="1" x14ac:dyDescent="0.3">
      <c r="A34" s="57" t="s">
        <v>208</v>
      </c>
      <c r="B34" s="8">
        <v>16930</v>
      </c>
      <c r="C34" s="8"/>
      <c r="D34" s="8">
        <v>16930</v>
      </c>
      <c r="E34" s="6"/>
      <c r="F34" s="8">
        <v>16930</v>
      </c>
      <c r="G34" s="4"/>
    </row>
    <row r="35" spans="1:7" ht="14.9" customHeight="1" x14ac:dyDescent="0.3">
      <c r="A35" s="57" t="s">
        <v>209</v>
      </c>
      <c r="B35" s="8">
        <v>21530</v>
      </c>
      <c r="C35" s="8"/>
      <c r="D35" s="8">
        <v>21530</v>
      </c>
      <c r="E35" s="6"/>
      <c r="F35" s="8">
        <v>21530</v>
      </c>
      <c r="G35" s="4"/>
    </row>
    <row r="36" spans="1:7" ht="14.15" customHeight="1" x14ac:dyDescent="0.3">
      <c r="A36" s="53" t="s">
        <v>99</v>
      </c>
      <c r="B36" s="8">
        <v>126620</v>
      </c>
      <c r="C36" s="8"/>
      <c r="D36" s="8">
        <v>126620</v>
      </c>
      <c r="E36" s="6"/>
      <c r="F36" s="8">
        <v>126620</v>
      </c>
      <c r="G36" s="4"/>
    </row>
    <row r="37" spans="1:7" ht="14.15" customHeight="1" x14ac:dyDescent="0.3">
      <c r="A37" s="53" t="s">
        <v>100</v>
      </c>
      <c r="B37" s="8">
        <v>507</v>
      </c>
      <c r="C37" s="8"/>
      <c r="D37" s="8">
        <v>507</v>
      </c>
      <c r="E37" s="6"/>
      <c r="F37" s="8">
        <v>507</v>
      </c>
      <c r="G37" s="4"/>
    </row>
    <row r="38" spans="1:7" ht="14.15" customHeight="1" x14ac:dyDescent="0.3">
      <c r="A38" s="53" t="s">
        <v>101</v>
      </c>
      <c r="B38" s="8">
        <v>1600</v>
      </c>
      <c r="C38" s="8"/>
      <c r="D38" s="8">
        <v>1600</v>
      </c>
      <c r="E38" s="6"/>
      <c r="F38" s="8">
        <v>1600</v>
      </c>
      <c r="G38" s="4"/>
    </row>
    <row r="39" spans="1:7" ht="14.15" customHeight="1" x14ac:dyDescent="0.3">
      <c r="A39" s="53" t="s">
        <v>167</v>
      </c>
      <c r="B39" s="8">
        <v>2627996</v>
      </c>
      <c r="C39" s="8">
        <f t="shared" ref="C39:C47" si="0">B39-D39</f>
        <v>1502058</v>
      </c>
      <c r="D39" s="8">
        <v>1125938</v>
      </c>
      <c r="E39" s="6">
        <f t="shared" ref="E39:E47" si="1">D39-F39</f>
        <v>545366</v>
      </c>
      <c r="F39" s="8">
        <v>580572</v>
      </c>
      <c r="G39" s="4"/>
    </row>
    <row r="40" spans="1:7" ht="14.15" customHeight="1" x14ac:dyDescent="0.3">
      <c r="A40" s="53" t="s">
        <v>102</v>
      </c>
      <c r="B40" s="8">
        <v>2590175</v>
      </c>
      <c r="C40" s="8">
        <f t="shared" si="0"/>
        <v>1490058</v>
      </c>
      <c r="D40" s="8">
        <v>1100117</v>
      </c>
      <c r="E40" s="6">
        <f t="shared" si="1"/>
        <v>545366</v>
      </c>
      <c r="F40" s="8">
        <v>554751</v>
      </c>
      <c r="G40" s="4"/>
    </row>
    <row r="41" spans="1:7" ht="14.15" customHeight="1" x14ac:dyDescent="0.3">
      <c r="A41" s="53" t="s">
        <v>103</v>
      </c>
      <c r="B41" s="8">
        <v>1113</v>
      </c>
      <c r="C41" s="8">
        <f t="shared" si="0"/>
        <v>0</v>
      </c>
      <c r="D41" s="8">
        <v>1113</v>
      </c>
      <c r="E41" s="6">
        <f t="shared" si="1"/>
        <v>0</v>
      </c>
      <c r="F41" s="8">
        <v>1113</v>
      </c>
      <c r="G41" s="4"/>
    </row>
    <row r="42" spans="1:7" ht="14.15" customHeight="1" x14ac:dyDescent="0.3">
      <c r="A42" s="53" t="s">
        <v>104</v>
      </c>
      <c r="B42" s="8">
        <v>36708</v>
      </c>
      <c r="C42" s="8">
        <f t="shared" si="0"/>
        <v>12000</v>
      </c>
      <c r="D42" s="8">
        <v>24708</v>
      </c>
      <c r="E42" s="6">
        <f t="shared" si="1"/>
        <v>0</v>
      </c>
      <c r="F42" s="8">
        <v>24708</v>
      </c>
      <c r="G42" s="4"/>
    </row>
    <row r="43" spans="1:7" ht="14.15" customHeight="1" x14ac:dyDescent="0.3">
      <c r="A43" s="53" t="s">
        <v>168</v>
      </c>
      <c r="B43" s="8">
        <v>95837</v>
      </c>
      <c r="C43" s="8">
        <f t="shared" si="0"/>
        <v>0</v>
      </c>
      <c r="D43" s="8">
        <v>95837</v>
      </c>
      <c r="E43" s="6">
        <f t="shared" si="1"/>
        <v>0</v>
      </c>
      <c r="F43" s="8">
        <v>95837</v>
      </c>
      <c r="G43" s="4"/>
    </row>
    <row r="44" spans="1:7" ht="14.15" customHeight="1" x14ac:dyDescent="0.3">
      <c r="A44" s="53" t="s">
        <v>105</v>
      </c>
      <c r="B44" s="8">
        <v>28600</v>
      </c>
      <c r="C44" s="8">
        <f t="shared" si="0"/>
        <v>0</v>
      </c>
      <c r="D44" s="8">
        <v>28600</v>
      </c>
      <c r="E44" s="6">
        <f t="shared" si="1"/>
        <v>0</v>
      </c>
      <c r="F44" s="8">
        <v>28600</v>
      </c>
      <c r="G44" s="4"/>
    </row>
    <row r="45" spans="1:7" ht="14.15" customHeight="1" x14ac:dyDescent="0.3">
      <c r="A45" s="53" t="s">
        <v>169</v>
      </c>
      <c r="B45" s="8">
        <v>67237</v>
      </c>
      <c r="C45" s="8">
        <f t="shared" si="0"/>
        <v>0</v>
      </c>
      <c r="D45" s="8">
        <v>67237</v>
      </c>
      <c r="E45" s="6">
        <f t="shared" si="1"/>
        <v>0</v>
      </c>
      <c r="F45" s="8">
        <v>67237</v>
      </c>
      <c r="G45" s="4"/>
    </row>
    <row r="46" spans="1:7" ht="14.15" customHeight="1" x14ac:dyDescent="0.3">
      <c r="A46" s="53" t="s">
        <v>170</v>
      </c>
      <c r="B46" s="8">
        <v>635997</v>
      </c>
      <c r="C46" s="8">
        <f t="shared" si="0"/>
        <v>168641</v>
      </c>
      <c r="D46" s="8">
        <v>467356</v>
      </c>
      <c r="E46" s="6">
        <f t="shared" si="1"/>
        <v>65610</v>
      </c>
      <c r="F46" s="8">
        <v>401746</v>
      </c>
      <c r="G46" s="4"/>
    </row>
    <row r="47" spans="1:7" ht="14.15" customHeight="1" thickBot="1" x14ac:dyDescent="0.35">
      <c r="A47" s="58" t="s">
        <v>171</v>
      </c>
      <c r="B47" s="55">
        <v>107301</v>
      </c>
      <c r="C47" s="55">
        <f t="shared" si="0"/>
        <v>0</v>
      </c>
      <c r="D47" s="55">
        <v>107301</v>
      </c>
      <c r="E47" s="56">
        <f t="shared" si="1"/>
        <v>0</v>
      </c>
      <c r="F47" s="55">
        <v>107301</v>
      </c>
      <c r="G47" s="4"/>
    </row>
    <row r="48" spans="1:7" ht="14.15" customHeight="1" x14ac:dyDescent="0.3">
      <c r="A48" s="4" t="s">
        <v>142</v>
      </c>
      <c r="G48" s="4"/>
    </row>
    <row r="49" spans="7:7" ht="14.15" customHeight="1" x14ac:dyDescent="0.3">
      <c r="G49" s="4"/>
    </row>
    <row r="50" spans="7:7" ht="14.15" customHeight="1" x14ac:dyDescent="0.3">
      <c r="G50" s="4"/>
    </row>
    <row r="51" spans="7:7" ht="14.15" customHeight="1" x14ac:dyDescent="0.3">
      <c r="G51" s="4"/>
    </row>
    <row r="52" spans="7:7" ht="14.15" customHeight="1" x14ac:dyDescent="0.3">
      <c r="G52" s="4"/>
    </row>
    <row r="53" spans="7:7" ht="14.15" customHeight="1" x14ac:dyDescent="0.3">
      <c r="G53" s="4"/>
    </row>
    <row r="54" spans="7:7" ht="14.15" customHeight="1" x14ac:dyDescent="0.3">
      <c r="G54" s="4"/>
    </row>
    <row r="55" spans="7:7" ht="14.15" customHeight="1" x14ac:dyDescent="0.3">
      <c r="G55" s="4"/>
    </row>
    <row r="56" spans="7:7" ht="14.15" customHeight="1" x14ac:dyDescent="0.3">
      <c r="G56" s="4"/>
    </row>
    <row r="57" spans="7:7" ht="14.15" customHeight="1" x14ac:dyDescent="0.3">
      <c r="G57" s="4"/>
    </row>
    <row r="58" spans="7:7" ht="14.15" customHeight="1" x14ac:dyDescent="0.3">
      <c r="G58" s="4"/>
    </row>
    <row r="59" spans="7:7" ht="14.15" customHeight="1" x14ac:dyDescent="0.3">
      <c r="G59" s="4"/>
    </row>
    <row r="60" spans="7:7" ht="14.15" customHeight="1" x14ac:dyDescent="0.3">
      <c r="G60" s="4"/>
    </row>
    <row r="61" spans="7:7" ht="14.15" customHeight="1" x14ac:dyDescent="0.3">
      <c r="G61" s="4"/>
    </row>
    <row r="62" spans="7:7" ht="14.15" customHeight="1" x14ac:dyDescent="0.3">
      <c r="G62" s="4"/>
    </row>
    <row r="63" spans="7:7" ht="14.15" customHeight="1" x14ac:dyDescent="0.3">
      <c r="G63" s="4"/>
    </row>
    <row r="64" spans="7:7" ht="14.15" customHeight="1" x14ac:dyDescent="0.3">
      <c r="G64" s="4"/>
    </row>
    <row r="65" spans="7:7" ht="14.15" customHeight="1" x14ac:dyDescent="0.3">
      <c r="G65" s="4"/>
    </row>
    <row r="66" spans="7:7" ht="14.15" customHeight="1" x14ac:dyDescent="0.3">
      <c r="G66" s="4"/>
    </row>
    <row r="67" spans="7:7" ht="14.15" customHeight="1" x14ac:dyDescent="0.3">
      <c r="G67" s="4"/>
    </row>
    <row r="68" spans="7:7" ht="14.15" customHeight="1" x14ac:dyDescent="0.3">
      <c r="G68" s="4"/>
    </row>
    <row r="69" spans="7:7" ht="14.15" customHeight="1" x14ac:dyDescent="0.3">
      <c r="G69" s="4"/>
    </row>
  </sheetData>
  <mergeCells count="5">
    <mergeCell ref="A1:F1"/>
    <mergeCell ref="C2:F2"/>
    <mergeCell ref="C3:F3"/>
    <mergeCell ref="A3:A4"/>
    <mergeCell ref="B3:B4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 horizontalDpi="300" verticalDpi="30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88"/>
  <sheetViews>
    <sheetView showOutlineSymbols="0" topLeftCell="A25" zoomScale="85" zoomScaleNormal="85" workbookViewId="0">
      <selection activeCell="C47" sqref="C47"/>
    </sheetView>
  </sheetViews>
  <sheetFormatPr defaultColWidth="8.7109375" defaultRowHeight="15" x14ac:dyDescent="0.3"/>
  <cols>
    <col min="1" max="1" width="34.35546875" style="2" customWidth="1"/>
    <col min="2" max="6" width="7.7109375" style="2" customWidth="1"/>
  </cols>
  <sheetData>
    <row r="1" spans="1:9" ht="35.15" customHeight="1" x14ac:dyDescent="0.5">
      <c r="A1" s="78" t="s">
        <v>47</v>
      </c>
      <c r="B1" s="78"/>
      <c r="C1" s="78"/>
      <c r="D1" s="78"/>
      <c r="E1" s="78"/>
      <c r="F1" s="78"/>
    </row>
    <row r="2" spans="1:9" ht="14.9" customHeight="1" x14ac:dyDescent="0.5">
      <c r="A2" s="12"/>
      <c r="B2" s="12"/>
      <c r="C2" s="12"/>
      <c r="D2" s="12"/>
      <c r="E2" s="12"/>
      <c r="F2" s="12"/>
    </row>
    <row r="3" spans="1:9" ht="14.9" customHeight="1" thickBot="1" x14ac:dyDescent="0.35">
      <c r="A3" s="35"/>
      <c r="B3" s="35"/>
      <c r="C3" s="75" t="s">
        <v>35</v>
      </c>
      <c r="D3" s="75"/>
      <c r="E3" s="75"/>
      <c r="F3" s="75"/>
      <c r="G3" s="4"/>
      <c r="H3" s="4"/>
      <c r="I3" s="4"/>
    </row>
    <row r="4" spans="1:9" ht="14.15" customHeight="1" x14ac:dyDescent="0.3">
      <c r="A4" s="76"/>
      <c r="B4" s="76" t="s">
        <v>36</v>
      </c>
      <c r="C4" s="76" t="s">
        <v>37</v>
      </c>
      <c r="D4" s="76"/>
      <c r="E4" s="76"/>
      <c r="F4" s="76"/>
      <c r="G4" s="4"/>
      <c r="H4" s="4"/>
      <c r="I4" s="4"/>
    </row>
    <row r="5" spans="1:9" ht="14.15" customHeight="1" x14ac:dyDescent="0.3">
      <c r="A5" s="77"/>
      <c r="B5" s="77"/>
      <c r="C5" s="51" t="s">
        <v>38</v>
      </c>
      <c r="D5" s="51" t="s">
        <v>39</v>
      </c>
      <c r="E5" s="51" t="s">
        <v>40</v>
      </c>
      <c r="F5" s="51" t="s">
        <v>41</v>
      </c>
      <c r="G5" s="4"/>
      <c r="H5" s="4"/>
      <c r="I5" s="4"/>
    </row>
    <row r="6" spans="1:9" ht="14.15" customHeight="1" x14ac:dyDescent="0.3">
      <c r="A6" s="53" t="s">
        <v>106</v>
      </c>
      <c r="B6" s="8">
        <v>458278</v>
      </c>
      <c r="C6" s="8">
        <f>B6-D6</f>
        <v>68641</v>
      </c>
      <c r="D6" s="8">
        <v>389637</v>
      </c>
      <c r="E6" s="6">
        <f>D6-F6</f>
        <v>148160</v>
      </c>
      <c r="F6" s="8">
        <v>241477</v>
      </c>
      <c r="G6" s="4"/>
      <c r="H6" s="4"/>
      <c r="I6" s="4"/>
    </row>
    <row r="7" spans="1:9" ht="14.9" customHeight="1" x14ac:dyDescent="0.3">
      <c r="A7" s="53" t="s">
        <v>107</v>
      </c>
      <c r="B7" s="8">
        <v>8010</v>
      </c>
      <c r="C7" s="8"/>
      <c r="D7" s="8">
        <v>8010</v>
      </c>
      <c r="E7" s="6"/>
      <c r="F7" s="8">
        <v>8010</v>
      </c>
      <c r="G7" s="4"/>
      <c r="H7" s="4"/>
      <c r="I7" s="4"/>
    </row>
    <row r="8" spans="1:9" ht="14.9" customHeight="1" x14ac:dyDescent="0.3">
      <c r="A8" s="53" t="s">
        <v>108</v>
      </c>
      <c r="B8" s="8">
        <v>52188</v>
      </c>
      <c r="C8" s="8"/>
      <c r="D8" s="8">
        <v>52188</v>
      </c>
      <c r="E8" s="6"/>
      <c r="F8" s="8">
        <v>52188</v>
      </c>
      <c r="G8" s="4"/>
      <c r="H8" s="4"/>
      <c r="I8" s="4"/>
    </row>
    <row r="9" spans="1:9" ht="14.15" customHeight="1" x14ac:dyDescent="0.3">
      <c r="A9" s="53" t="s">
        <v>109</v>
      </c>
      <c r="B9" s="8">
        <v>33460</v>
      </c>
      <c r="C9" s="8"/>
      <c r="D9" s="8">
        <v>33460</v>
      </c>
      <c r="E9" s="6"/>
      <c r="F9" s="8">
        <v>33460</v>
      </c>
      <c r="G9" s="4"/>
      <c r="H9" s="4"/>
      <c r="I9" s="4"/>
    </row>
    <row r="10" spans="1:9" ht="14.9" customHeight="1" x14ac:dyDescent="0.3">
      <c r="A10" s="53" t="s">
        <v>172</v>
      </c>
      <c r="B10" s="8">
        <v>23262</v>
      </c>
      <c r="C10" s="8"/>
      <c r="D10" s="8">
        <v>23262</v>
      </c>
      <c r="E10" s="6">
        <f>D10-F10</f>
        <v>0</v>
      </c>
      <c r="F10" s="8">
        <v>23262</v>
      </c>
      <c r="G10" s="4"/>
      <c r="H10" s="4"/>
      <c r="I10" s="4"/>
    </row>
    <row r="11" spans="1:9" ht="14.9" customHeight="1" x14ac:dyDescent="0.3">
      <c r="A11" s="53" t="s">
        <v>110</v>
      </c>
      <c r="B11" s="8">
        <v>21862</v>
      </c>
      <c r="C11" s="8"/>
      <c r="D11" s="8">
        <v>21862</v>
      </c>
      <c r="E11" s="6">
        <f>D11-F11</f>
        <v>0</v>
      </c>
      <c r="F11" s="8">
        <v>21862</v>
      </c>
      <c r="G11" s="4"/>
      <c r="H11" s="4"/>
      <c r="I11" s="4"/>
    </row>
    <row r="12" spans="1:9" ht="14.15" customHeight="1" x14ac:dyDescent="0.3">
      <c r="A12" s="53" t="s">
        <v>173</v>
      </c>
      <c r="B12" s="8">
        <v>1400</v>
      </c>
      <c r="C12" s="8"/>
      <c r="D12" s="8">
        <v>1400</v>
      </c>
      <c r="E12" s="6"/>
      <c r="F12" s="8">
        <v>1400</v>
      </c>
      <c r="G12" s="4"/>
      <c r="H12" s="4"/>
      <c r="I12" s="4"/>
    </row>
    <row r="13" spans="1:9" ht="14.9" customHeight="1" x14ac:dyDescent="0.3">
      <c r="A13" s="53" t="s">
        <v>174</v>
      </c>
      <c r="B13" s="8">
        <v>45519</v>
      </c>
      <c r="C13" s="8">
        <f t="shared" ref="C13:C18" si="0">B13-D13</f>
        <v>208</v>
      </c>
      <c r="D13" s="8">
        <v>45311</v>
      </c>
      <c r="E13" s="6">
        <f>D13-F13</f>
        <v>244</v>
      </c>
      <c r="F13" s="8">
        <v>45067</v>
      </c>
      <c r="G13" s="4"/>
      <c r="H13" s="4"/>
      <c r="I13" s="4"/>
    </row>
    <row r="14" spans="1:9" ht="14.9" customHeight="1" x14ac:dyDescent="0.3">
      <c r="A14" s="53" t="s">
        <v>111</v>
      </c>
      <c r="B14" s="8">
        <v>37497</v>
      </c>
      <c r="C14" s="8">
        <f t="shared" si="0"/>
        <v>208</v>
      </c>
      <c r="D14" s="8">
        <v>37289</v>
      </c>
      <c r="E14" s="6">
        <f>D14-F14</f>
        <v>244</v>
      </c>
      <c r="F14" s="8">
        <v>37045</v>
      </c>
      <c r="G14" s="4"/>
      <c r="H14" s="4"/>
      <c r="I14" s="4"/>
    </row>
    <row r="15" spans="1:9" ht="14.15" customHeight="1" x14ac:dyDescent="0.3">
      <c r="A15" s="53" t="s">
        <v>112</v>
      </c>
      <c r="B15" s="8">
        <v>5650</v>
      </c>
      <c r="C15" s="8">
        <f t="shared" si="0"/>
        <v>0</v>
      </c>
      <c r="D15" s="8">
        <v>5650</v>
      </c>
      <c r="E15" s="6">
        <f>D15-F15</f>
        <v>0</v>
      </c>
      <c r="F15" s="8">
        <v>5650</v>
      </c>
      <c r="G15" s="4"/>
      <c r="H15" s="4"/>
      <c r="I15" s="4"/>
    </row>
    <row r="16" spans="1:9" ht="14.9" customHeight="1" x14ac:dyDescent="0.3">
      <c r="A16" s="53" t="s">
        <v>113</v>
      </c>
      <c r="B16" s="8">
        <v>2372</v>
      </c>
      <c r="C16" s="8">
        <f t="shared" si="0"/>
        <v>0</v>
      </c>
      <c r="D16" s="8">
        <v>2372</v>
      </c>
      <c r="E16" s="6"/>
      <c r="F16" s="8">
        <v>2372</v>
      </c>
      <c r="G16" s="4"/>
      <c r="H16" s="4"/>
      <c r="I16" s="4"/>
    </row>
    <row r="17" spans="1:9" ht="14.15" customHeight="1" x14ac:dyDescent="0.3">
      <c r="A17" s="53" t="s">
        <v>175</v>
      </c>
      <c r="B17" s="8">
        <v>10163</v>
      </c>
      <c r="C17" s="8">
        <f t="shared" si="0"/>
        <v>480</v>
      </c>
      <c r="D17" s="8">
        <v>9683</v>
      </c>
      <c r="E17" s="6">
        <f>D17-F17</f>
        <v>0</v>
      </c>
      <c r="F17" s="8">
        <v>9683</v>
      </c>
      <c r="G17" s="4"/>
      <c r="H17" s="4"/>
      <c r="I17" s="4"/>
    </row>
    <row r="18" spans="1:9" ht="14.9" customHeight="1" x14ac:dyDescent="0.3">
      <c r="A18" s="53" t="s">
        <v>114</v>
      </c>
      <c r="B18" s="8">
        <v>5470</v>
      </c>
      <c r="C18" s="8">
        <f t="shared" si="0"/>
        <v>480</v>
      </c>
      <c r="D18" s="8">
        <v>4990</v>
      </c>
      <c r="E18" s="6">
        <f>D18-F18</f>
        <v>0</v>
      </c>
      <c r="F18" s="8">
        <v>4990</v>
      </c>
      <c r="G18" s="4"/>
      <c r="H18" s="4"/>
      <c r="I18" s="4"/>
    </row>
    <row r="19" spans="1:9" ht="14.9" customHeight="1" x14ac:dyDescent="0.3">
      <c r="A19" s="57" t="s">
        <v>210</v>
      </c>
      <c r="B19" s="8">
        <v>4693</v>
      </c>
      <c r="C19" s="8"/>
      <c r="D19" s="8">
        <v>4693</v>
      </c>
      <c r="E19" s="6"/>
      <c r="F19" s="8">
        <v>4693</v>
      </c>
      <c r="G19" s="4"/>
      <c r="H19" s="4"/>
      <c r="I19" s="4"/>
    </row>
    <row r="20" spans="1:9" ht="14.15" customHeight="1" x14ac:dyDescent="0.3">
      <c r="A20" s="53" t="s">
        <v>176</v>
      </c>
      <c r="B20" s="8">
        <v>379112</v>
      </c>
      <c r="C20" s="8"/>
      <c r="D20" s="8">
        <v>379112</v>
      </c>
      <c r="E20" s="6">
        <f>D20-F20</f>
        <v>0</v>
      </c>
      <c r="F20" s="8">
        <v>379112</v>
      </c>
      <c r="G20" s="4"/>
      <c r="H20" s="4"/>
      <c r="I20" s="4"/>
    </row>
    <row r="21" spans="1:9" ht="14.9" customHeight="1" x14ac:dyDescent="0.3">
      <c r="A21" s="53" t="s">
        <v>115</v>
      </c>
      <c r="B21" s="8">
        <v>379112</v>
      </c>
      <c r="C21" s="8"/>
      <c r="D21" s="8">
        <v>379112</v>
      </c>
      <c r="E21" s="6">
        <f>D21-F21</f>
        <v>0</v>
      </c>
      <c r="F21" s="8">
        <v>379112</v>
      </c>
      <c r="G21" s="4"/>
      <c r="H21" s="4"/>
      <c r="I21" s="4"/>
    </row>
    <row r="22" spans="1:9" ht="14.9" customHeight="1" x14ac:dyDescent="0.3">
      <c r="A22" s="53" t="s">
        <v>177</v>
      </c>
      <c r="B22" s="8">
        <v>96749</v>
      </c>
      <c r="C22" s="8"/>
      <c r="D22" s="8">
        <v>96749</v>
      </c>
      <c r="E22" s="6"/>
      <c r="F22" s="8">
        <v>96749</v>
      </c>
      <c r="G22" s="4"/>
      <c r="H22" s="4"/>
      <c r="I22" s="4"/>
    </row>
    <row r="23" spans="1:9" ht="14.9" customHeight="1" x14ac:dyDescent="0.3">
      <c r="A23" s="53" t="s">
        <v>116</v>
      </c>
      <c r="B23" s="8">
        <v>96749</v>
      </c>
      <c r="C23" s="8"/>
      <c r="D23" s="8">
        <v>96749</v>
      </c>
      <c r="E23" s="6"/>
      <c r="F23" s="8">
        <v>96749</v>
      </c>
      <c r="G23" s="4"/>
      <c r="H23" s="4"/>
      <c r="I23" s="4"/>
    </row>
    <row r="24" spans="1:9" ht="14.15" customHeight="1" x14ac:dyDescent="0.3">
      <c r="A24" s="53" t="s">
        <v>178</v>
      </c>
      <c r="B24" s="8">
        <v>131781</v>
      </c>
      <c r="C24" s="8">
        <f>B24-D24</f>
        <v>4000</v>
      </c>
      <c r="D24" s="8">
        <v>127781</v>
      </c>
      <c r="E24" s="6">
        <f>D24-F24</f>
        <v>2100</v>
      </c>
      <c r="F24" s="8">
        <v>125681</v>
      </c>
      <c r="G24" s="4"/>
      <c r="H24" s="4"/>
      <c r="I24" s="4"/>
    </row>
    <row r="25" spans="1:9" ht="14.9" customHeight="1" x14ac:dyDescent="0.3">
      <c r="A25" s="53" t="s">
        <v>117</v>
      </c>
      <c r="B25" s="8">
        <v>131781</v>
      </c>
      <c r="C25" s="8">
        <f>B25-D25</f>
        <v>4000</v>
      </c>
      <c r="D25" s="8">
        <v>127781</v>
      </c>
      <c r="E25" s="6">
        <f>D25-F25</f>
        <v>2100</v>
      </c>
      <c r="F25" s="8">
        <v>125681</v>
      </c>
      <c r="G25" s="4"/>
      <c r="H25" s="13"/>
      <c r="I25" s="4"/>
    </row>
    <row r="26" spans="1:9" ht="14.15" customHeight="1" x14ac:dyDescent="0.3">
      <c r="A26" s="53" t="s">
        <v>179</v>
      </c>
      <c r="B26" s="8">
        <v>644015</v>
      </c>
      <c r="C26" s="8">
        <f t="shared" ref="C26:C44" si="1">B26-D26</f>
        <v>0</v>
      </c>
      <c r="D26" s="8">
        <v>644015</v>
      </c>
      <c r="E26" s="6"/>
      <c r="F26" s="8">
        <v>644015</v>
      </c>
      <c r="G26" s="4"/>
      <c r="H26" s="4"/>
      <c r="I26" s="4"/>
    </row>
    <row r="27" spans="1:9" ht="14.9" customHeight="1" x14ac:dyDescent="0.3">
      <c r="A27" s="53" t="s">
        <v>118</v>
      </c>
      <c r="B27" s="8">
        <v>32874</v>
      </c>
      <c r="C27" s="8">
        <f t="shared" si="1"/>
        <v>0</v>
      </c>
      <c r="D27" s="8">
        <v>32874</v>
      </c>
      <c r="E27" s="6"/>
      <c r="F27" s="8">
        <v>32874</v>
      </c>
      <c r="G27" s="4"/>
      <c r="H27" s="4"/>
      <c r="I27" s="4"/>
    </row>
    <row r="28" spans="1:9" ht="14.9" customHeight="1" x14ac:dyDescent="0.3">
      <c r="A28" s="53" t="s">
        <v>119</v>
      </c>
      <c r="B28" s="8">
        <v>39374</v>
      </c>
      <c r="C28" s="8">
        <f t="shared" si="1"/>
        <v>0</v>
      </c>
      <c r="D28" s="8">
        <v>39374</v>
      </c>
      <c r="E28" s="6"/>
      <c r="F28" s="8">
        <v>39374</v>
      </c>
      <c r="G28" s="4"/>
      <c r="H28" s="4"/>
      <c r="I28" s="4"/>
    </row>
    <row r="29" spans="1:9" ht="14.9" customHeight="1" x14ac:dyDescent="0.3">
      <c r="A29" s="53" t="s">
        <v>120</v>
      </c>
      <c r="B29" s="8">
        <v>571767</v>
      </c>
      <c r="C29" s="8">
        <f t="shared" si="1"/>
        <v>0</v>
      </c>
      <c r="D29" s="8">
        <v>571767</v>
      </c>
      <c r="E29" s="6"/>
      <c r="F29" s="8">
        <v>571767</v>
      </c>
      <c r="G29" s="4"/>
      <c r="H29" s="4"/>
      <c r="I29" s="4"/>
    </row>
    <row r="30" spans="1:9" ht="14.9" customHeight="1" x14ac:dyDescent="0.3">
      <c r="A30" s="53" t="s">
        <v>180</v>
      </c>
      <c r="B30" s="8">
        <v>16085</v>
      </c>
      <c r="C30" s="8">
        <f t="shared" si="1"/>
        <v>0</v>
      </c>
      <c r="D30" s="8">
        <v>16085</v>
      </c>
      <c r="E30" s="6"/>
      <c r="F30" s="8">
        <v>16085</v>
      </c>
      <c r="G30" s="4"/>
      <c r="H30" s="4"/>
      <c r="I30" s="4"/>
    </row>
    <row r="31" spans="1:9" ht="14.15" customHeight="1" x14ac:dyDescent="0.3">
      <c r="A31" s="53" t="s">
        <v>121</v>
      </c>
      <c r="B31" s="8">
        <v>16085</v>
      </c>
      <c r="C31" s="8">
        <f t="shared" si="1"/>
        <v>0</v>
      </c>
      <c r="D31" s="8">
        <v>16085</v>
      </c>
      <c r="E31" s="6"/>
      <c r="F31" s="8">
        <v>16085</v>
      </c>
      <c r="G31" s="4"/>
      <c r="H31" s="4"/>
      <c r="I31" s="4"/>
    </row>
    <row r="32" spans="1:9" ht="14.9" customHeight="1" x14ac:dyDescent="0.3">
      <c r="A32" s="53" t="s">
        <v>181</v>
      </c>
      <c r="B32" s="8">
        <v>54729</v>
      </c>
      <c r="C32" s="8">
        <f t="shared" si="1"/>
        <v>0</v>
      </c>
      <c r="D32" s="8">
        <v>54729</v>
      </c>
      <c r="E32" s="6">
        <f>D32-F32</f>
        <v>6015</v>
      </c>
      <c r="F32" s="8">
        <v>48714</v>
      </c>
      <c r="G32" s="4"/>
      <c r="H32" s="4"/>
      <c r="I32" s="4"/>
    </row>
    <row r="33" spans="1:9" ht="14.9" customHeight="1" x14ac:dyDescent="0.3">
      <c r="A33" s="53" t="s">
        <v>122</v>
      </c>
      <c r="B33" s="8">
        <v>54729</v>
      </c>
      <c r="C33" s="8">
        <f t="shared" si="1"/>
        <v>0</v>
      </c>
      <c r="D33" s="8">
        <v>54729</v>
      </c>
      <c r="E33" s="6">
        <f>D33-F33</f>
        <v>6015</v>
      </c>
      <c r="F33" s="8">
        <v>48714</v>
      </c>
      <c r="G33" s="4"/>
      <c r="H33" s="4"/>
      <c r="I33" s="4"/>
    </row>
    <row r="34" spans="1:9" ht="14.15" customHeight="1" x14ac:dyDescent="0.3">
      <c r="A34" s="53" t="s">
        <v>182</v>
      </c>
      <c r="B34" s="8">
        <v>29750</v>
      </c>
      <c r="C34" s="8">
        <f t="shared" si="1"/>
        <v>0</v>
      </c>
      <c r="D34" s="8">
        <v>29750</v>
      </c>
      <c r="E34" s="6"/>
      <c r="F34" s="8">
        <v>29750</v>
      </c>
      <c r="G34" s="4"/>
      <c r="H34" s="4"/>
      <c r="I34" s="4"/>
    </row>
    <row r="35" spans="1:9" ht="14.9" customHeight="1" x14ac:dyDescent="0.3">
      <c r="A35" s="53" t="s">
        <v>123</v>
      </c>
      <c r="B35" s="8">
        <v>6600</v>
      </c>
      <c r="C35" s="8">
        <f t="shared" si="1"/>
        <v>0</v>
      </c>
      <c r="D35" s="8">
        <v>6600</v>
      </c>
      <c r="E35" s="6"/>
      <c r="F35" s="8">
        <v>6600</v>
      </c>
      <c r="G35" s="4"/>
      <c r="H35" s="4"/>
      <c r="I35" s="4"/>
    </row>
    <row r="36" spans="1:9" ht="14.9" customHeight="1" x14ac:dyDescent="0.3">
      <c r="A36" s="53" t="s">
        <v>124</v>
      </c>
      <c r="B36" s="8">
        <v>23150</v>
      </c>
      <c r="C36" s="8">
        <f t="shared" si="1"/>
        <v>0</v>
      </c>
      <c r="D36" s="8">
        <v>23150</v>
      </c>
      <c r="E36" s="6"/>
      <c r="F36" s="8">
        <v>23150</v>
      </c>
      <c r="G36" s="4"/>
      <c r="H36" s="4"/>
      <c r="I36" s="4"/>
    </row>
    <row r="37" spans="1:9" ht="14.9" customHeight="1" x14ac:dyDescent="0.3">
      <c r="A37" s="53" t="s">
        <v>183</v>
      </c>
      <c r="B37" s="8">
        <v>62263</v>
      </c>
      <c r="C37" s="8">
        <f t="shared" si="1"/>
        <v>0</v>
      </c>
      <c r="D37" s="8">
        <v>62263</v>
      </c>
      <c r="E37" s="6">
        <f>D37-F37</f>
        <v>0</v>
      </c>
      <c r="F37" s="8">
        <v>62263</v>
      </c>
      <c r="G37" s="4"/>
      <c r="H37" s="4"/>
      <c r="I37" s="4"/>
    </row>
    <row r="38" spans="1:9" ht="14.9" customHeight="1" x14ac:dyDescent="0.3">
      <c r="A38" s="53" t="s">
        <v>125</v>
      </c>
      <c r="B38" s="8">
        <v>11578</v>
      </c>
      <c r="C38" s="8">
        <f t="shared" si="1"/>
        <v>0</v>
      </c>
      <c r="D38" s="8">
        <v>11578</v>
      </c>
      <c r="E38" s="6"/>
      <c r="F38" s="8">
        <v>11578</v>
      </c>
      <c r="G38" s="4"/>
      <c r="H38" s="4"/>
      <c r="I38" s="4"/>
    </row>
    <row r="39" spans="1:9" ht="14.9" customHeight="1" x14ac:dyDescent="0.3">
      <c r="A39" s="53" t="s">
        <v>126</v>
      </c>
      <c r="B39" s="8">
        <v>33495</v>
      </c>
      <c r="C39" s="8">
        <f t="shared" si="1"/>
        <v>0</v>
      </c>
      <c r="D39" s="8">
        <v>33495</v>
      </c>
      <c r="E39" s="6"/>
      <c r="F39" s="8">
        <v>33495</v>
      </c>
      <c r="G39" s="4"/>
      <c r="H39" s="4"/>
      <c r="I39" s="4"/>
    </row>
    <row r="40" spans="1:9" ht="14.15" customHeight="1" x14ac:dyDescent="0.3">
      <c r="A40" s="53" t="s">
        <v>127</v>
      </c>
      <c r="B40" s="8">
        <v>15100</v>
      </c>
      <c r="C40" s="8">
        <f t="shared" si="1"/>
        <v>0</v>
      </c>
      <c r="D40" s="8">
        <v>15100</v>
      </c>
      <c r="E40" s="6"/>
      <c r="F40" s="8">
        <v>15100</v>
      </c>
      <c r="G40" s="4"/>
      <c r="H40" s="4"/>
      <c r="I40" s="4"/>
    </row>
    <row r="41" spans="1:9" ht="14.15" customHeight="1" x14ac:dyDescent="0.3">
      <c r="A41" s="53" t="s">
        <v>128</v>
      </c>
      <c r="B41" s="8">
        <v>2090</v>
      </c>
      <c r="C41" s="8">
        <f t="shared" si="1"/>
        <v>0</v>
      </c>
      <c r="D41" s="8">
        <v>2090</v>
      </c>
      <c r="E41" s="6">
        <f>D41-F41</f>
        <v>0</v>
      </c>
      <c r="F41" s="8">
        <v>2090</v>
      </c>
      <c r="G41" s="4"/>
      <c r="H41" s="4"/>
      <c r="I41" s="4"/>
    </row>
    <row r="42" spans="1:9" ht="14.9" customHeight="1" x14ac:dyDescent="0.3">
      <c r="A42" s="53" t="s">
        <v>184</v>
      </c>
      <c r="B42" s="8">
        <v>255756</v>
      </c>
      <c r="C42" s="8">
        <f t="shared" si="1"/>
        <v>7210</v>
      </c>
      <c r="D42" s="8">
        <v>248546</v>
      </c>
      <c r="E42" s="6">
        <f>D42-F42</f>
        <v>0</v>
      </c>
      <c r="F42" s="8">
        <v>248546</v>
      </c>
      <c r="G42" s="4"/>
      <c r="H42" s="4"/>
      <c r="I42" s="4"/>
    </row>
    <row r="43" spans="1:9" ht="14.9" customHeight="1" x14ac:dyDescent="0.3">
      <c r="A43" s="53" t="s">
        <v>129</v>
      </c>
      <c r="B43" s="8">
        <v>253974</v>
      </c>
      <c r="C43" s="8">
        <f t="shared" si="1"/>
        <v>7180</v>
      </c>
      <c r="D43" s="8">
        <v>246794</v>
      </c>
      <c r="E43" s="6">
        <f>D43-F43</f>
        <v>30</v>
      </c>
      <c r="F43" s="8">
        <v>246764</v>
      </c>
      <c r="G43" s="4"/>
      <c r="H43" s="4"/>
      <c r="I43" s="4"/>
    </row>
    <row r="44" spans="1:9" ht="14.9" customHeight="1" thickBot="1" x14ac:dyDescent="0.35">
      <c r="A44" s="58" t="s">
        <v>130</v>
      </c>
      <c r="B44" s="55">
        <v>1782</v>
      </c>
      <c r="C44" s="55">
        <f t="shared" si="1"/>
        <v>0</v>
      </c>
      <c r="D44" s="55">
        <v>1782</v>
      </c>
      <c r="E44" s="56"/>
      <c r="F44" s="55">
        <v>1782</v>
      </c>
      <c r="G44" s="4"/>
      <c r="H44" s="4"/>
      <c r="I44" s="4"/>
    </row>
    <row r="45" spans="1:9" ht="14.15" customHeight="1" x14ac:dyDescent="0.3">
      <c r="A45" s="4" t="s">
        <v>142</v>
      </c>
      <c r="B45" s="4"/>
      <c r="C45" s="4"/>
      <c r="D45" s="4"/>
      <c r="E45" s="4"/>
      <c r="F45" s="4"/>
      <c r="G45" s="4"/>
      <c r="H45" s="4"/>
      <c r="I45" s="4"/>
    </row>
    <row r="46" spans="1:9" ht="14.1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4.1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4.1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4.1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4.1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4.1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4.1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4.1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4.1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4.1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4.1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4.1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4.1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4.1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4.1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4.1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4.1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4.1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4.1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4.1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4.1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4.1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4.1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4.1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4.1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4.1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4.1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4.1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4.1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4.1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4.1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4.1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4.1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4.1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4.1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4.1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4.1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4.1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4.1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4.1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4.1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4.1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4.1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</sheetData>
  <mergeCells count="5">
    <mergeCell ref="A1:F1"/>
    <mergeCell ref="C3:F3"/>
    <mergeCell ref="C4:F4"/>
    <mergeCell ref="A4:A5"/>
    <mergeCell ref="B4:B5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96"/>
  <sheetViews>
    <sheetView showOutlineSymbols="0" zoomScaleNormal="100" workbookViewId="0">
      <selection activeCell="F25" sqref="A3:F25"/>
    </sheetView>
  </sheetViews>
  <sheetFormatPr defaultColWidth="8.7109375" defaultRowHeight="15" x14ac:dyDescent="0.3"/>
  <cols>
    <col min="1" max="1" width="22.640625" style="2" customWidth="1"/>
  </cols>
  <sheetData>
    <row r="1" spans="1:9" ht="35.15" customHeight="1" x14ac:dyDescent="0.5">
      <c r="A1" s="67" t="s">
        <v>48</v>
      </c>
      <c r="B1" s="67"/>
      <c r="C1" s="67"/>
      <c r="D1" s="67"/>
      <c r="E1" s="67"/>
      <c r="F1" s="67"/>
    </row>
    <row r="2" spans="1:9" ht="14.9" customHeight="1" thickBot="1" x14ac:dyDescent="0.35">
      <c r="A2" s="35"/>
      <c r="B2" s="35"/>
      <c r="C2" s="75" t="s">
        <v>49</v>
      </c>
      <c r="D2" s="75"/>
      <c r="E2" s="75"/>
      <c r="F2" s="75"/>
      <c r="G2" s="4"/>
      <c r="H2" s="4"/>
      <c r="I2" s="4"/>
    </row>
    <row r="3" spans="1:9" ht="14.15" customHeight="1" x14ac:dyDescent="0.3">
      <c r="A3" s="76"/>
      <c r="B3" s="76" t="s">
        <v>36</v>
      </c>
      <c r="C3" s="76" t="s">
        <v>37</v>
      </c>
      <c r="D3" s="76"/>
      <c r="E3" s="76"/>
      <c r="F3" s="76"/>
      <c r="G3" s="4"/>
      <c r="H3" s="4"/>
      <c r="I3" s="4"/>
    </row>
    <row r="4" spans="1:9" ht="14.25" customHeight="1" x14ac:dyDescent="0.3">
      <c r="A4" s="77"/>
      <c r="B4" s="77"/>
      <c r="C4" s="51" t="s">
        <v>38</v>
      </c>
      <c r="D4" s="51" t="s">
        <v>39</v>
      </c>
      <c r="E4" s="51" t="s">
        <v>40</v>
      </c>
      <c r="F4" s="51" t="s">
        <v>41</v>
      </c>
      <c r="G4" s="4"/>
      <c r="H4" s="4"/>
      <c r="I4" s="4"/>
    </row>
    <row r="5" spans="1:9" ht="14.15" customHeight="1" x14ac:dyDescent="0.3">
      <c r="A5" s="42" t="s">
        <v>50</v>
      </c>
      <c r="B5" s="8">
        <v>4370772</v>
      </c>
      <c r="C5" s="5">
        <f>B5-D5</f>
        <v>262679</v>
      </c>
      <c r="D5" s="8">
        <v>4108093</v>
      </c>
      <c r="E5" s="6">
        <f>D5-F5</f>
        <v>189230</v>
      </c>
      <c r="F5" s="8">
        <v>3918863</v>
      </c>
      <c r="G5" s="4"/>
      <c r="H5" s="4"/>
      <c r="I5" s="4"/>
    </row>
    <row r="6" spans="1:9" ht="14.9" customHeight="1" x14ac:dyDescent="0.3">
      <c r="A6" s="42" t="s">
        <v>51</v>
      </c>
      <c r="B6" s="8">
        <v>1325</v>
      </c>
      <c r="C6" s="5">
        <f t="shared" ref="C6:C25" si="0">B6-D6</f>
        <v>32</v>
      </c>
      <c r="D6" s="8">
        <v>1293</v>
      </c>
      <c r="E6" s="6">
        <f t="shared" ref="E6:E25" si="1">D6-F6</f>
        <v>51</v>
      </c>
      <c r="F6" s="8">
        <v>1242</v>
      </c>
      <c r="G6" s="4"/>
      <c r="H6" s="4"/>
      <c r="I6" s="4"/>
    </row>
    <row r="7" spans="1:9" ht="14.15" customHeight="1" x14ac:dyDescent="0.3">
      <c r="A7" s="42" t="s">
        <v>52</v>
      </c>
      <c r="B7" s="8">
        <v>1140</v>
      </c>
      <c r="C7" s="5">
        <f t="shared" si="0"/>
        <v>23</v>
      </c>
      <c r="D7" s="8">
        <v>1117</v>
      </c>
      <c r="E7" s="6">
        <f t="shared" si="1"/>
        <v>36</v>
      </c>
      <c r="F7" s="8">
        <v>1081</v>
      </c>
      <c r="G7" s="4"/>
      <c r="H7" s="4"/>
      <c r="I7" s="4"/>
    </row>
    <row r="8" spans="1:9" ht="14.15" customHeight="1" x14ac:dyDescent="0.3">
      <c r="A8" s="42" t="s">
        <v>53</v>
      </c>
      <c r="B8" s="8">
        <v>1080</v>
      </c>
      <c r="C8" s="5">
        <f t="shared" si="0"/>
        <v>8</v>
      </c>
      <c r="D8" s="8">
        <v>1072</v>
      </c>
      <c r="E8" s="6">
        <f t="shared" si="1"/>
        <v>36</v>
      </c>
      <c r="F8" s="8">
        <v>1036</v>
      </c>
      <c r="G8" s="4"/>
      <c r="H8" s="4"/>
      <c r="I8" s="4"/>
    </row>
    <row r="9" spans="1:9" ht="14.15" customHeight="1" x14ac:dyDescent="0.3">
      <c r="A9" s="42" t="s">
        <v>54</v>
      </c>
      <c r="B9" s="8">
        <v>4973083</v>
      </c>
      <c r="C9" s="5">
        <f t="shared" si="0"/>
        <v>0</v>
      </c>
      <c r="D9" s="8">
        <v>4973083</v>
      </c>
      <c r="E9" s="6">
        <f t="shared" si="1"/>
        <v>64216</v>
      </c>
      <c r="F9" s="8">
        <v>4908867</v>
      </c>
      <c r="G9" s="4"/>
      <c r="H9" s="4"/>
      <c r="I9" s="4"/>
    </row>
    <row r="10" spans="1:9" ht="14.9" customHeight="1" x14ac:dyDescent="0.3">
      <c r="A10" s="28" t="s">
        <v>55</v>
      </c>
      <c r="B10" s="8">
        <v>2455816</v>
      </c>
      <c r="C10" s="5"/>
      <c r="D10" s="8">
        <v>2455816</v>
      </c>
      <c r="E10" s="6">
        <f t="shared" si="1"/>
        <v>0</v>
      </c>
      <c r="F10" s="8">
        <v>2455816</v>
      </c>
      <c r="G10" s="4"/>
      <c r="H10" s="4"/>
      <c r="I10" s="4"/>
    </row>
    <row r="11" spans="1:9" ht="14.15" customHeight="1" x14ac:dyDescent="0.3">
      <c r="A11" s="42" t="s">
        <v>56</v>
      </c>
      <c r="B11" s="8">
        <v>2765292</v>
      </c>
      <c r="C11" s="5">
        <f t="shared" si="0"/>
        <v>45000</v>
      </c>
      <c r="D11" s="8">
        <v>2720292</v>
      </c>
      <c r="E11" s="6">
        <f t="shared" si="1"/>
        <v>18113</v>
      </c>
      <c r="F11" s="8">
        <v>2702179</v>
      </c>
      <c r="G11" s="4"/>
      <c r="H11" s="4"/>
      <c r="I11" s="4"/>
    </row>
    <row r="12" spans="1:9" ht="14.9" customHeight="1" x14ac:dyDescent="0.3">
      <c r="A12" s="28" t="s">
        <v>55</v>
      </c>
      <c r="B12" s="8">
        <v>1123025</v>
      </c>
      <c r="C12" s="5"/>
      <c r="D12" s="8">
        <v>1123025</v>
      </c>
      <c r="E12" s="6">
        <f t="shared" si="1"/>
        <v>0</v>
      </c>
      <c r="F12" s="8">
        <v>1123025</v>
      </c>
      <c r="G12" s="4"/>
      <c r="H12" s="4"/>
      <c r="I12" s="4"/>
    </row>
    <row r="13" spans="1:9" ht="14.15" customHeight="1" x14ac:dyDescent="0.3">
      <c r="A13" s="52" t="s">
        <v>196</v>
      </c>
      <c r="B13" s="8">
        <v>5984728</v>
      </c>
      <c r="C13" s="5">
        <f t="shared" si="0"/>
        <v>1802127</v>
      </c>
      <c r="D13" s="8">
        <v>4182601</v>
      </c>
      <c r="E13" s="6">
        <f t="shared" si="1"/>
        <v>511473</v>
      </c>
      <c r="F13" s="8">
        <v>3671128</v>
      </c>
      <c r="G13" s="4"/>
      <c r="H13" s="4"/>
      <c r="I13" s="4"/>
    </row>
    <row r="14" spans="1:9" ht="14.15" customHeight="1" x14ac:dyDescent="0.3">
      <c r="A14" s="42" t="s">
        <v>186</v>
      </c>
      <c r="B14" s="8">
        <v>64036</v>
      </c>
      <c r="C14" s="5"/>
      <c r="D14" s="8">
        <v>56035</v>
      </c>
      <c r="E14" s="6"/>
      <c r="F14" s="8">
        <v>43215</v>
      </c>
      <c r="G14" s="4"/>
      <c r="H14" s="4"/>
      <c r="I14" s="4"/>
    </row>
    <row r="15" spans="1:9" ht="14.15" customHeight="1" x14ac:dyDescent="0.3">
      <c r="A15" s="42" t="s">
        <v>187</v>
      </c>
      <c r="B15" s="8">
        <v>5920692</v>
      </c>
      <c r="C15" s="5">
        <f t="shared" si="0"/>
        <v>1794126</v>
      </c>
      <c r="D15" s="8">
        <v>4126566</v>
      </c>
      <c r="E15" s="6">
        <f t="shared" si="1"/>
        <v>498653</v>
      </c>
      <c r="F15" s="8">
        <v>3627913</v>
      </c>
      <c r="G15" s="4"/>
      <c r="H15" s="4"/>
      <c r="I15" s="4"/>
    </row>
    <row r="16" spans="1:9" ht="14.15" customHeight="1" x14ac:dyDescent="0.3">
      <c r="A16" s="42" t="s">
        <v>188</v>
      </c>
      <c r="B16" s="8">
        <v>488452</v>
      </c>
      <c r="C16" s="5">
        <f t="shared" si="0"/>
        <v>25840</v>
      </c>
      <c r="D16" s="8">
        <v>462612</v>
      </c>
      <c r="E16" s="6">
        <f t="shared" si="1"/>
        <v>20152</v>
      </c>
      <c r="F16" s="8">
        <v>442460</v>
      </c>
      <c r="G16" s="4"/>
      <c r="H16" s="4"/>
      <c r="I16" s="4"/>
    </row>
    <row r="17" spans="1:9" ht="14.15" customHeight="1" x14ac:dyDescent="0.3">
      <c r="A17" s="42" t="s">
        <v>189</v>
      </c>
      <c r="B17" s="8">
        <v>628008</v>
      </c>
      <c r="C17" s="5">
        <f t="shared" si="0"/>
        <v>333380</v>
      </c>
      <c r="D17" s="8">
        <v>294628</v>
      </c>
      <c r="E17" s="6">
        <f t="shared" si="1"/>
        <v>112717</v>
      </c>
      <c r="F17" s="8">
        <v>181911</v>
      </c>
      <c r="G17" s="4"/>
      <c r="H17" s="4"/>
      <c r="I17" s="4"/>
    </row>
    <row r="18" spans="1:9" ht="14.15" customHeight="1" x14ac:dyDescent="0.3">
      <c r="A18" s="10" t="s">
        <v>190</v>
      </c>
      <c r="B18" s="9"/>
      <c r="C18" s="5"/>
      <c r="D18" s="9"/>
      <c r="E18" s="6"/>
      <c r="F18" s="6"/>
      <c r="G18" s="4"/>
      <c r="H18" s="4"/>
      <c r="I18" s="4"/>
    </row>
    <row r="19" spans="1:9" ht="14.9" customHeight="1" x14ac:dyDescent="0.3">
      <c r="A19" s="42" t="s">
        <v>191</v>
      </c>
      <c r="B19" s="32">
        <v>3050</v>
      </c>
      <c r="C19" s="5"/>
      <c r="D19" s="32">
        <v>3050</v>
      </c>
      <c r="E19" s="6"/>
      <c r="F19" s="32">
        <v>3050</v>
      </c>
      <c r="G19" s="4"/>
      <c r="H19" s="4"/>
      <c r="I19" s="4"/>
    </row>
    <row r="20" spans="1:9" ht="14.15" customHeight="1" x14ac:dyDescent="0.3">
      <c r="A20" s="42" t="s">
        <v>192</v>
      </c>
      <c r="B20" s="8"/>
      <c r="C20" s="5"/>
      <c r="D20" s="8"/>
      <c r="E20" s="6"/>
      <c r="F20" s="8"/>
      <c r="G20" s="4"/>
      <c r="H20" s="4"/>
      <c r="I20" s="4"/>
    </row>
    <row r="21" spans="1:9" ht="14.15" customHeight="1" x14ac:dyDescent="0.3">
      <c r="A21" s="42" t="s">
        <v>193</v>
      </c>
      <c r="B21" s="8">
        <v>4556790</v>
      </c>
      <c r="C21" s="5">
        <f t="shared" si="0"/>
        <v>1434906</v>
      </c>
      <c r="D21" s="8">
        <v>3121884</v>
      </c>
      <c r="E21" s="6">
        <f t="shared" si="1"/>
        <v>312952</v>
      </c>
      <c r="F21" s="8">
        <v>2808932</v>
      </c>
      <c r="G21" s="4"/>
      <c r="H21" s="4"/>
      <c r="I21" s="4"/>
    </row>
    <row r="22" spans="1:9" ht="14.15" customHeight="1" x14ac:dyDescent="0.3">
      <c r="A22" s="42" t="s">
        <v>194</v>
      </c>
      <c r="B22" s="8">
        <v>1107475</v>
      </c>
      <c r="C22" s="5">
        <f t="shared" si="0"/>
        <v>515802</v>
      </c>
      <c r="D22" s="8">
        <v>591673</v>
      </c>
      <c r="E22" s="6">
        <f t="shared" si="1"/>
        <v>71500</v>
      </c>
      <c r="F22" s="8">
        <v>520173</v>
      </c>
      <c r="G22" s="4"/>
      <c r="H22" s="4"/>
      <c r="I22" s="4"/>
    </row>
    <row r="23" spans="1:9" ht="14.15" customHeight="1" x14ac:dyDescent="0.3">
      <c r="A23" s="42" t="s">
        <v>195</v>
      </c>
      <c r="B23" s="8">
        <v>244392</v>
      </c>
      <c r="C23" s="5">
        <f t="shared" si="0"/>
        <v>0</v>
      </c>
      <c r="D23" s="8">
        <v>244392</v>
      </c>
      <c r="E23" s="6">
        <f t="shared" si="1"/>
        <v>52832</v>
      </c>
      <c r="F23" s="8">
        <v>191560</v>
      </c>
      <c r="G23" s="4"/>
      <c r="H23" s="4"/>
      <c r="I23" s="4"/>
    </row>
    <row r="24" spans="1:9" ht="14.9" customHeight="1" x14ac:dyDescent="0.3">
      <c r="A24" s="28" t="s">
        <v>197</v>
      </c>
      <c r="B24" s="8">
        <v>1428507</v>
      </c>
      <c r="C24" s="5">
        <f t="shared" si="0"/>
        <v>206278</v>
      </c>
      <c r="D24" s="8">
        <v>1222229</v>
      </c>
      <c r="E24" s="6">
        <f t="shared" si="1"/>
        <v>501964</v>
      </c>
      <c r="F24" s="8">
        <v>720265</v>
      </c>
      <c r="G24" s="4"/>
      <c r="H24" s="4"/>
      <c r="I24" s="4"/>
    </row>
    <row r="25" spans="1:9" ht="14.15" customHeight="1" thickBot="1" x14ac:dyDescent="0.35">
      <c r="A25" s="48" t="s">
        <v>198</v>
      </c>
      <c r="B25" s="55">
        <v>586469</v>
      </c>
      <c r="C25" s="59">
        <f t="shared" si="0"/>
        <v>0</v>
      </c>
      <c r="D25" s="55">
        <v>586469</v>
      </c>
      <c r="E25" s="56">
        <f t="shared" si="1"/>
        <v>175244</v>
      </c>
      <c r="F25" s="55">
        <v>411225</v>
      </c>
      <c r="G25" s="4"/>
      <c r="H25" s="4"/>
      <c r="I25" s="4"/>
    </row>
    <row r="26" spans="1:9" ht="36.75" customHeight="1" x14ac:dyDescent="0.3">
      <c r="A26" s="79" t="s">
        <v>201</v>
      </c>
      <c r="B26" s="74"/>
      <c r="C26" s="74"/>
      <c r="D26" s="74"/>
      <c r="E26" s="74"/>
      <c r="F26" s="74"/>
      <c r="G26" s="4"/>
      <c r="H26" s="4"/>
      <c r="I26" s="4"/>
    </row>
    <row r="27" spans="1:9" ht="14.1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4.1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4.1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4.1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4.1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4.1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4.1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4.1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4.1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4.1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4.1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4.1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4.1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4.1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4.1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4.1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4.1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4.1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4.1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4.1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4.1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4.1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4.1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4.1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4.1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4.1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4.1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4.1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4.1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4.1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4.1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4.1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4.1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4.1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4.1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4.1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4.1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4.1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4.1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4.1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4.1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4.1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4.1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4.1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4.1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4.1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4.1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4.1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4.1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4.1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4.1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4.1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4.1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4.1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4.1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4.1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4.1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4.1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4.1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4.1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4.1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4.1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4.15" customHeight="1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4.15" customHeight="1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4.15" customHeight="1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4.15" customHeight="1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4.15" customHeight="1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4.15" customHeight="1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4.15" customHeight="1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4.15" customHeight="1" x14ac:dyDescent="0.3">
      <c r="A96" s="4"/>
      <c r="B96" s="4"/>
      <c r="C96" s="4"/>
      <c r="D96" s="4"/>
      <c r="E96" s="4"/>
      <c r="F96" s="4"/>
      <c r="G96" s="4"/>
      <c r="H96" s="4"/>
      <c r="I96" s="4"/>
    </row>
  </sheetData>
  <mergeCells count="6">
    <mergeCell ref="A1:F1"/>
    <mergeCell ref="C2:F2"/>
    <mergeCell ref="C3:F3"/>
    <mergeCell ref="A3:A4"/>
    <mergeCell ref="B3:B4"/>
    <mergeCell ref="A26:F26"/>
  </mergeCells>
  <phoneticPr fontId="2" type="noConversion"/>
  <pageMargins left="0.66805555555555551" right="0.62986111111111109" top="0.82708333333333328" bottom="0.66805555555555551" header="0.51111111111111107" footer="0.51111111111111107"/>
  <pageSetup paperSize="256" firstPageNumber="4294963572" orientation="portrait" useFirstPageNumber="1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O79"/>
  <sheetViews>
    <sheetView tabSelected="1" showOutlineSymbols="0" zoomScale="115" zoomScaleNormal="115" workbookViewId="0">
      <selection activeCell="D21" sqref="D21"/>
    </sheetView>
  </sheetViews>
  <sheetFormatPr defaultColWidth="8.7109375" defaultRowHeight="15" x14ac:dyDescent="0.3"/>
  <cols>
    <col min="1" max="1" width="21.35546875" style="2" customWidth="1"/>
    <col min="2" max="2" width="11" style="2" customWidth="1"/>
    <col min="6" max="6" width="10.640625" customWidth="1"/>
  </cols>
  <sheetData>
    <row r="2" spans="1:15" ht="26.5" customHeight="1" x14ac:dyDescent="0.3">
      <c r="A2" s="80" t="s">
        <v>57</v>
      </c>
      <c r="B2" s="81"/>
      <c r="C2" s="81"/>
      <c r="D2" s="81"/>
      <c r="E2" s="81"/>
      <c r="F2" s="81"/>
      <c r="G2" s="81"/>
    </row>
    <row r="3" spans="1:15" ht="14.9" customHeight="1" thickBot="1" x14ac:dyDescent="0.55000000000000004">
      <c r="A3" s="3"/>
      <c r="B3" s="3"/>
      <c r="C3" s="3"/>
      <c r="D3" s="3"/>
      <c r="E3" s="3"/>
      <c r="F3" s="3"/>
      <c r="G3" s="3"/>
    </row>
    <row r="4" spans="1:15" ht="14.15" customHeight="1" x14ac:dyDescent="0.3">
      <c r="A4" s="76"/>
      <c r="B4" s="76" t="s">
        <v>58</v>
      </c>
      <c r="C4" s="76" t="s">
        <v>59</v>
      </c>
      <c r="D4" s="76" t="s">
        <v>60</v>
      </c>
      <c r="E4" s="76" t="s">
        <v>61</v>
      </c>
      <c r="F4" s="76" t="s">
        <v>62</v>
      </c>
      <c r="G4" s="76" t="s">
        <v>63</v>
      </c>
      <c r="H4" s="4"/>
    </row>
    <row r="5" spans="1:15" ht="14.15" customHeight="1" x14ac:dyDescent="0.3">
      <c r="A5" s="77"/>
      <c r="B5" s="77"/>
      <c r="C5" s="77"/>
      <c r="D5" s="77"/>
      <c r="E5" s="77"/>
      <c r="F5" s="77"/>
      <c r="G5" s="77"/>
      <c r="H5" s="4"/>
    </row>
    <row r="6" spans="1:15" ht="11.25" customHeight="1" x14ac:dyDescent="0.3">
      <c r="A6" s="42" t="s">
        <v>64</v>
      </c>
      <c r="B6" s="37" t="s">
        <v>65</v>
      </c>
      <c r="C6" s="5">
        <v>9516</v>
      </c>
      <c r="D6" s="5">
        <v>250.23</v>
      </c>
      <c r="E6" s="5">
        <v>250.23</v>
      </c>
      <c r="F6" s="5">
        <v>2260</v>
      </c>
      <c r="G6" s="5">
        <v>250.23</v>
      </c>
      <c r="H6" s="6"/>
    </row>
    <row r="7" spans="1:15" ht="11.25" customHeight="1" x14ac:dyDescent="0.3">
      <c r="A7" s="42" t="s">
        <v>68</v>
      </c>
      <c r="B7" s="37" t="s">
        <v>66</v>
      </c>
      <c r="C7" s="5">
        <v>785.9</v>
      </c>
      <c r="D7" s="5">
        <v>556.1</v>
      </c>
      <c r="E7" s="5">
        <v>448</v>
      </c>
      <c r="F7" s="5">
        <v>734.1</v>
      </c>
      <c r="G7" s="5">
        <v>556.1</v>
      </c>
      <c r="H7" s="6"/>
    </row>
    <row r="8" spans="1:15" ht="11.25" customHeight="1" x14ac:dyDescent="0.3">
      <c r="A8" s="42" t="s">
        <v>69</v>
      </c>
      <c r="B8" s="37" t="s">
        <v>66</v>
      </c>
      <c r="C8" s="5">
        <v>226.2</v>
      </c>
      <c r="D8" s="5">
        <v>156</v>
      </c>
      <c r="E8" s="5">
        <v>156</v>
      </c>
      <c r="F8" s="5">
        <v>184.8</v>
      </c>
      <c r="G8" s="5">
        <v>156</v>
      </c>
      <c r="H8" s="6"/>
    </row>
    <row r="9" spans="1:15" ht="11.25" customHeight="1" x14ac:dyDescent="0.3">
      <c r="A9" s="42" t="s">
        <v>131</v>
      </c>
      <c r="B9" s="37" t="s">
        <v>65</v>
      </c>
      <c r="C9" s="5">
        <v>850</v>
      </c>
      <c r="D9" s="5">
        <v>803</v>
      </c>
      <c r="E9" s="5">
        <v>803</v>
      </c>
      <c r="F9" s="5">
        <v>805</v>
      </c>
      <c r="G9" s="5">
        <v>803</v>
      </c>
      <c r="H9" s="6"/>
    </row>
    <row r="10" spans="1:15" ht="11.25" customHeight="1" x14ac:dyDescent="0.3">
      <c r="A10" s="60" t="s">
        <v>211</v>
      </c>
      <c r="B10" s="61" t="s">
        <v>212</v>
      </c>
      <c r="C10" s="5">
        <v>1.2</v>
      </c>
      <c r="D10" s="5">
        <v>0.7</v>
      </c>
      <c r="E10" s="5">
        <v>0.7</v>
      </c>
      <c r="F10" s="5">
        <v>0.7</v>
      </c>
      <c r="G10" s="5">
        <v>0.7</v>
      </c>
      <c r="H10" s="6"/>
    </row>
    <row r="11" spans="1:15" s="1" customFormat="1" ht="11.25" customHeight="1" x14ac:dyDescent="0.3">
      <c r="A11" s="62" t="s">
        <v>132</v>
      </c>
      <c r="B11" s="37" t="s">
        <v>65</v>
      </c>
      <c r="C11" s="5">
        <v>162</v>
      </c>
      <c r="D11" s="5">
        <v>160.80000000000001</v>
      </c>
      <c r="E11" s="5">
        <v>0.8</v>
      </c>
      <c r="F11" s="5">
        <v>161</v>
      </c>
      <c r="G11" s="5">
        <v>0.8</v>
      </c>
      <c r="H11" s="7"/>
    </row>
    <row r="12" spans="1:15" s="1" customFormat="1" ht="11.25" customHeight="1" x14ac:dyDescent="0.3">
      <c r="A12" s="42" t="s">
        <v>133</v>
      </c>
      <c r="B12" s="63" t="s">
        <v>65</v>
      </c>
      <c r="C12" s="5">
        <v>33</v>
      </c>
      <c r="D12" s="5">
        <v>3</v>
      </c>
      <c r="E12" s="5">
        <v>3</v>
      </c>
      <c r="F12" s="5">
        <v>3</v>
      </c>
      <c r="G12" s="5">
        <v>3</v>
      </c>
      <c r="H12" s="7"/>
    </row>
    <row r="13" spans="1:15" ht="11.25" customHeight="1" x14ac:dyDescent="0.3">
      <c r="A13" s="42" t="s">
        <v>134</v>
      </c>
      <c r="B13" s="63" t="s">
        <v>70</v>
      </c>
      <c r="C13" s="5">
        <v>101000</v>
      </c>
      <c r="D13" s="5">
        <v>1000</v>
      </c>
      <c r="E13" s="5">
        <v>1000</v>
      </c>
      <c r="F13" s="5">
        <v>1000</v>
      </c>
      <c r="G13" s="5">
        <v>1000</v>
      </c>
      <c r="H13" s="6"/>
      <c r="I13" s="4"/>
      <c r="J13" s="4"/>
      <c r="K13" s="4"/>
      <c r="L13" s="4"/>
      <c r="M13" s="4"/>
      <c r="N13" s="4"/>
      <c r="O13" s="4"/>
    </row>
    <row r="14" spans="1:15" ht="11.25" customHeight="1" x14ac:dyDescent="0.3">
      <c r="A14" s="42" t="s">
        <v>135</v>
      </c>
      <c r="B14" s="63" t="s">
        <v>71</v>
      </c>
      <c r="C14" s="5">
        <v>18.5</v>
      </c>
      <c r="D14" s="5">
        <v>8.6999999999999993</v>
      </c>
      <c r="E14" s="5">
        <v>8.6999999999999993</v>
      </c>
      <c r="F14" s="5">
        <v>18.5</v>
      </c>
      <c r="G14" s="5">
        <v>8.6999999999999993</v>
      </c>
      <c r="H14" s="4"/>
      <c r="I14" s="4"/>
      <c r="J14" s="4"/>
      <c r="K14" s="4"/>
      <c r="L14" s="4"/>
      <c r="M14" s="4"/>
      <c r="N14" s="4"/>
      <c r="O14" s="4"/>
    </row>
    <row r="15" spans="1:15" ht="11.25" customHeight="1" x14ac:dyDescent="0.3">
      <c r="A15" s="52" t="s">
        <v>199</v>
      </c>
      <c r="B15" s="63" t="s">
        <v>70</v>
      </c>
      <c r="C15" s="5">
        <v>50000</v>
      </c>
      <c r="D15" s="5">
        <v>50000</v>
      </c>
      <c r="E15" s="5">
        <v>50000</v>
      </c>
      <c r="F15" s="5">
        <v>50000</v>
      </c>
      <c r="G15" s="5">
        <v>50000</v>
      </c>
      <c r="H15" s="4"/>
      <c r="I15" s="4"/>
      <c r="J15" s="4"/>
      <c r="K15" s="4"/>
      <c r="L15" s="4"/>
      <c r="M15" s="4"/>
      <c r="N15" s="4"/>
      <c r="O15" s="4"/>
    </row>
    <row r="16" spans="1:15" ht="11.25" customHeight="1" x14ac:dyDescent="0.3">
      <c r="A16" s="60" t="s">
        <v>213</v>
      </c>
      <c r="B16" s="64" t="s">
        <v>200</v>
      </c>
      <c r="C16" s="5">
        <v>50</v>
      </c>
      <c r="D16" s="5">
        <v>5</v>
      </c>
      <c r="E16" s="5">
        <v>5</v>
      </c>
      <c r="F16" s="5">
        <v>20</v>
      </c>
      <c r="G16" s="5">
        <v>5</v>
      </c>
      <c r="H16" s="4"/>
      <c r="I16" s="4"/>
      <c r="J16" s="4"/>
      <c r="K16" s="4"/>
      <c r="L16" s="4"/>
      <c r="M16" s="4"/>
      <c r="N16" s="4"/>
      <c r="O16" s="4"/>
    </row>
    <row r="17" spans="1:15" ht="11.25" customHeight="1" x14ac:dyDescent="0.3">
      <c r="A17" s="60" t="s">
        <v>214</v>
      </c>
      <c r="B17" s="64" t="s">
        <v>200</v>
      </c>
      <c r="C17" s="5">
        <v>29000</v>
      </c>
      <c r="D17" s="5">
        <v>29000</v>
      </c>
      <c r="E17" s="5">
        <v>29000</v>
      </c>
      <c r="F17" s="5">
        <v>29000</v>
      </c>
      <c r="G17" s="5">
        <v>29000</v>
      </c>
      <c r="H17" s="4"/>
      <c r="I17" s="4"/>
      <c r="J17" s="4"/>
      <c r="K17" s="4"/>
      <c r="L17" s="4"/>
      <c r="M17" s="4"/>
      <c r="N17" s="4"/>
      <c r="O17" s="4"/>
    </row>
    <row r="18" spans="1:15" ht="11.25" customHeight="1" x14ac:dyDescent="0.3">
      <c r="A18" s="60" t="s">
        <v>136</v>
      </c>
      <c r="B18" s="63" t="s">
        <v>67</v>
      </c>
      <c r="C18" s="5">
        <v>862</v>
      </c>
      <c r="D18" s="5">
        <v>535</v>
      </c>
      <c r="E18" s="5">
        <v>132</v>
      </c>
      <c r="F18" s="5"/>
      <c r="G18" s="5"/>
      <c r="H18" s="4"/>
      <c r="I18" s="4"/>
      <c r="J18" s="4"/>
      <c r="K18" s="4"/>
      <c r="L18" s="4"/>
      <c r="M18" s="4"/>
      <c r="N18" s="4"/>
      <c r="O18" s="4"/>
    </row>
    <row r="19" spans="1:15" ht="11.25" customHeight="1" x14ac:dyDescent="0.3">
      <c r="A19" s="42" t="s">
        <v>137</v>
      </c>
      <c r="B19" s="63" t="s">
        <v>67</v>
      </c>
      <c r="C19" s="5">
        <v>60.5</v>
      </c>
      <c r="D19" s="5">
        <v>55.5</v>
      </c>
      <c r="E19" s="5">
        <v>55.5</v>
      </c>
      <c r="F19" s="5">
        <v>50.5</v>
      </c>
      <c r="G19" s="5">
        <v>50.5</v>
      </c>
      <c r="H19" s="4"/>
      <c r="I19" s="4"/>
      <c r="J19" s="4"/>
      <c r="K19" s="4"/>
      <c r="L19" s="4"/>
      <c r="M19" s="4"/>
      <c r="N19" s="4"/>
      <c r="O19" s="4"/>
    </row>
    <row r="20" spans="1:15" ht="11.25" customHeight="1" x14ac:dyDescent="0.3">
      <c r="A20" s="42" t="s">
        <v>138</v>
      </c>
      <c r="B20" s="63" t="s">
        <v>67</v>
      </c>
      <c r="C20" s="5">
        <v>78</v>
      </c>
      <c r="D20" s="5">
        <v>59.5</v>
      </c>
      <c r="E20" s="5">
        <v>59.5</v>
      </c>
      <c r="F20" s="5">
        <v>59.5</v>
      </c>
      <c r="G20" s="5">
        <v>59.5</v>
      </c>
      <c r="H20" s="4"/>
      <c r="I20" s="4"/>
      <c r="J20" s="4"/>
      <c r="K20" s="4"/>
      <c r="L20" s="4"/>
      <c r="M20" s="4"/>
      <c r="N20" s="4"/>
      <c r="O20" s="4"/>
    </row>
    <row r="21" spans="1:15" ht="11.25" customHeight="1" x14ac:dyDescent="0.3">
      <c r="A21" s="60" t="s">
        <v>215</v>
      </c>
      <c r="B21" s="63" t="s">
        <v>67</v>
      </c>
      <c r="C21" s="5">
        <v>5</v>
      </c>
      <c r="D21" s="5">
        <v>5</v>
      </c>
      <c r="E21" s="5">
        <v>5</v>
      </c>
      <c r="F21" s="5">
        <v>5</v>
      </c>
      <c r="G21" s="5">
        <v>5</v>
      </c>
      <c r="H21" s="4"/>
      <c r="I21" s="4"/>
      <c r="J21" s="4"/>
      <c r="K21" s="4"/>
      <c r="L21" s="4"/>
      <c r="M21" s="4"/>
      <c r="N21" s="4"/>
      <c r="O21" s="4"/>
    </row>
    <row r="22" spans="1:15" ht="11.25" customHeight="1" x14ac:dyDescent="0.3">
      <c r="A22" s="42" t="s">
        <v>139</v>
      </c>
      <c r="B22" s="63" t="s">
        <v>66</v>
      </c>
      <c r="C22" s="5">
        <v>442.34</v>
      </c>
      <c r="D22" s="5">
        <v>410.34</v>
      </c>
      <c r="E22" s="5">
        <v>410.34</v>
      </c>
      <c r="F22" s="5">
        <v>256.52</v>
      </c>
      <c r="G22" s="5">
        <v>330.34</v>
      </c>
      <c r="H22" s="6"/>
      <c r="I22" s="4"/>
      <c r="J22" s="4"/>
      <c r="K22" s="4"/>
      <c r="L22" s="4"/>
      <c r="M22" s="4"/>
      <c r="N22" s="4"/>
      <c r="O22" s="4"/>
    </row>
    <row r="23" spans="1:15" ht="11.25" customHeight="1" x14ac:dyDescent="0.3">
      <c r="A23" s="42" t="s">
        <v>140</v>
      </c>
      <c r="B23" s="64" t="s">
        <v>218</v>
      </c>
      <c r="C23" s="5">
        <v>6</v>
      </c>
      <c r="D23" s="5">
        <v>6</v>
      </c>
      <c r="E23" s="5">
        <v>6</v>
      </c>
      <c r="F23" s="5">
        <v>6</v>
      </c>
      <c r="G23" s="5">
        <v>6</v>
      </c>
      <c r="H23" s="6"/>
      <c r="I23" s="4"/>
      <c r="J23" s="4"/>
      <c r="K23" s="4"/>
      <c r="L23" s="4"/>
      <c r="M23" s="4"/>
      <c r="N23" s="4"/>
      <c r="O23" s="4"/>
    </row>
    <row r="24" spans="1:15" ht="11.25" customHeight="1" x14ac:dyDescent="0.3">
      <c r="A24" s="60" t="s">
        <v>141</v>
      </c>
      <c r="B24" s="63" t="s">
        <v>70</v>
      </c>
      <c r="C24" s="5">
        <v>150000</v>
      </c>
      <c r="D24" s="5">
        <v>150000</v>
      </c>
      <c r="E24" s="5">
        <v>150000</v>
      </c>
      <c r="F24" s="5">
        <v>150000</v>
      </c>
      <c r="G24" s="5">
        <v>150000</v>
      </c>
      <c r="H24" s="4"/>
      <c r="I24" s="4"/>
      <c r="J24" s="4"/>
      <c r="K24" s="4"/>
      <c r="L24" s="4"/>
      <c r="M24" s="4"/>
      <c r="N24" s="4"/>
      <c r="O24" s="4"/>
    </row>
    <row r="25" spans="1:15" ht="11.25" customHeight="1" thickBot="1" x14ac:dyDescent="0.35">
      <c r="A25" s="65" t="s">
        <v>216</v>
      </c>
      <c r="B25" s="66" t="s">
        <v>217</v>
      </c>
      <c r="C25" s="59">
        <v>60.6</v>
      </c>
      <c r="D25" s="59">
        <v>60.6</v>
      </c>
      <c r="E25" s="59"/>
      <c r="F25" s="59">
        <v>60.6</v>
      </c>
      <c r="G25" s="59"/>
      <c r="H25" s="4"/>
      <c r="I25" s="4"/>
      <c r="J25" s="4"/>
      <c r="K25" s="4"/>
      <c r="L25" s="4"/>
      <c r="M25" s="4"/>
      <c r="N25" s="4"/>
      <c r="O25" s="4"/>
    </row>
    <row r="26" spans="1:15" ht="14.1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4.1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4.1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4.1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4.1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4.1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4.1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4.1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4.1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4.1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4.1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4.1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4.1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4.1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4.1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4.1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4.1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4.1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4.1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4.1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4.1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4.1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4.1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4.1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4.1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4.1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4.1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4.1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4.1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4.1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4.1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4.1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4.1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4.1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4.1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4.1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4.1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4.1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4.1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4.1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4.1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4.1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4.1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4.1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4.1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4.1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4.1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4.1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4.1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4.1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4.1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4.1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4.1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4.1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</sheetData>
  <mergeCells count="8">
    <mergeCell ref="A2:G2"/>
    <mergeCell ref="A4:A5"/>
    <mergeCell ref="B4:B5"/>
    <mergeCell ref="C4:C5"/>
    <mergeCell ref="D4:D5"/>
    <mergeCell ref="E4:E5"/>
    <mergeCell ref="F4:F5"/>
    <mergeCell ref="G4:G5"/>
  </mergeCells>
  <phoneticPr fontId="2" type="noConversion"/>
  <pageMargins left="0.47222222222222221" right="0.47222222222222221" top="0.98402777777777772" bottom="0.98402777777777772" header="0.5" footer="0.5"/>
  <pageSetup paperSize="9" firstPageNumber="4294963572" orientation="portrait" useFirstPageNumber="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2" type="noConversion"/>
  <pageMargins left="0.75" right="0.75" top="1" bottom="1" header="0.51180555555555551" footer="0.51180555555555551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12-1</vt:lpstr>
      <vt:lpstr>12-2</vt:lpstr>
      <vt:lpstr>12-3</vt:lpstr>
      <vt:lpstr>12-4</vt:lpstr>
      <vt:lpstr>12-4续</vt:lpstr>
      <vt:lpstr>12-5</vt:lpstr>
      <vt:lpstr>12-6</vt:lpstr>
      <vt:lpstr>Sheet1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cp:lastPrinted>2013-06-06T07:44:10Z</cp:lastPrinted>
  <dcterms:created xsi:type="dcterms:W3CDTF">2007-12-12T06:16:17Z</dcterms:created>
  <dcterms:modified xsi:type="dcterms:W3CDTF">2025-03-30T13:11:05Z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