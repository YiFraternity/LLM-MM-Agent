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C827D4F1-B04E-4F8A-93B1-F9BFD7A541BC}" xr6:coauthVersionLast="36" xr6:coauthVersionMax="36" xr10:uidLastSave="{00000000-0000-0000-0000-000000000000}"/>
  <bookViews>
    <workbookView xWindow="120" yWindow="32769" windowWidth="10997" windowHeight="10183"/>
  </bookViews>
  <sheets>
    <sheet name="1和2" sheetId="1" r:id="rId1"/>
    <sheet name="3和4" sheetId="4" r:id="rId2"/>
    <sheet name="Sheet1" sheetId="2" r:id="rId3"/>
  </sheets>
  <calcPr calcId="191029"/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<sst xmlns="http://schemas.openxmlformats.org/spreadsheetml/2006/main" count="96" uniqueCount="78">
  <si>
    <t xml:space="preserve"> </t>
  </si>
  <si>
    <t>六月末</t>
  </si>
  <si>
    <t>十二月末</t>
  </si>
  <si>
    <t>二连浩特市</t>
  </si>
  <si>
    <t>锡林浩特市</t>
  </si>
  <si>
    <t>苏尼特左旗</t>
  </si>
  <si>
    <t>苏尼特右旗</t>
  </si>
  <si>
    <t>东乌珠穆沁旗</t>
  </si>
  <si>
    <t>西乌珠穆沁旗</t>
  </si>
  <si>
    <t>乌拉盖管理区</t>
  </si>
  <si>
    <r>
      <t>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林</t>
    </r>
    <r>
      <rPr>
        <sz val="9"/>
        <rFont val="Times New Roman"/>
        <family val="1"/>
      </rPr>
      <t xml:space="preserve">                                                                                              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                                                                                             </t>
    </r>
    <r>
      <rPr>
        <sz val="9"/>
        <rFont val="宋体"/>
        <charset val="134"/>
      </rPr>
      <t>（公顷）</t>
    </r>
  </si>
  <si>
    <r>
      <t>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口</t>
    </r>
    <r>
      <rPr>
        <sz val="9"/>
        <rFont val="Times New Roman"/>
        <family val="1"/>
      </rPr>
      <t xml:space="preserve">                                                                                               </t>
    </r>
    <r>
      <rPr>
        <sz val="9"/>
        <rFont val="宋体"/>
        <charset val="134"/>
      </rPr>
      <t>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度</t>
    </r>
    <r>
      <rPr>
        <sz val="9"/>
        <rFont val="Times New Roman"/>
        <family val="1"/>
      </rPr>
      <t xml:space="preserve">                                                                                                       </t>
    </r>
    <r>
      <rPr>
        <sz val="9"/>
        <rFont val="宋体"/>
        <charset val="134"/>
      </rPr>
      <t>（人</t>
    </r>
    <r>
      <rPr>
        <sz val="9"/>
        <rFont val="Times New Roman"/>
        <family val="1"/>
      </rPr>
      <t>/km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)</t>
    </r>
  </si>
  <si>
    <r>
      <t>草场载畜量（羊单位</t>
    </r>
    <r>
      <rPr>
        <sz val="9"/>
        <rFont val="Times New Roman"/>
        <family val="1"/>
      </rPr>
      <t>/km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)</t>
    </r>
  </si>
  <si>
    <r>
      <t>森林覆</t>
    </r>
    <r>
      <rPr>
        <sz val="9"/>
        <rFont val="Times New Roman"/>
        <family val="1"/>
      </rPr>
      <t xml:space="preserve">                                                                                                            </t>
    </r>
    <r>
      <rPr>
        <sz val="9"/>
        <color indexed="8"/>
        <rFont val="宋体"/>
        <charset val="134"/>
      </rPr>
      <t>盖</t>
    </r>
    <r>
      <rPr>
        <sz val="9"/>
        <rFont val="宋体"/>
        <charset val="134"/>
      </rPr>
      <t>率（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</si>
  <si>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</si>
  <si>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</si>
  <si>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</si>
  <si>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</si>
  <si>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</si>
  <si>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</si>
  <si>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t>人口</t>
    <phoneticPr fontId="1" type="noConversion"/>
  </si>
  <si>
    <r>
      <t xml:space="preserve">22-1 </t>
    </r>
    <r>
      <rPr>
        <sz val="16"/>
        <rFont val="宋体"/>
        <charset val="134"/>
      </rPr>
      <t>自然概况</t>
    </r>
    <phoneticPr fontId="1" type="noConversion"/>
  </si>
  <si>
    <t>22-2 人口和城镇化</t>
    <phoneticPr fontId="1" type="noConversion"/>
  </si>
  <si>
    <t>镶    黄    旗</t>
  </si>
  <si>
    <t>正    蓝    旗</t>
  </si>
  <si>
    <t>多    伦    县</t>
  </si>
  <si>
    <t>常住人口</t>
    <phoneticPr fontId="1" type="noConversion"/>
  </si>
  <si>
    <t>常住人口（万人、%）</t>
    <phoneticPr fontId="1" type="noConversion"/>
  </si>
  <si>
    <t>户籍人口（户、人、%）</t>
    <phoneticPr fontId="1" type="noConversion"/>
  </si>
  <si>
    <t>城镇人口</t>
    <phoneticPr fontId="1" type="noConversion"/>
  </si>
  <si>
    <t>城镇化率</t>
    <phoneticPr fontId="1" type="noConversion"/>
  </si>
  <si>
    <t>总户数</t>
    <phoneticPr fontId="1" type="noConversion"/>
  </si>
  <si>
    <t>#男性</t>
    <phoneticPr fontId="1" type="noConversion"/>
  </si>
  <si>
    <t>户籍城镇化率</t>
    <phoneticPr fontId="1" type="noConversion"/>
  </si>
  <si>
    <t>60岁以上</t>
  </si>
  <si>
    <t>35-60岁</t>
  </si>
  <si>
    <t>18-35岁</t>
  </si>
  <si>
    <t>18岁以下</t>
  </si>
  <si>
    <t>年龄组人口</t>
  </si>
  <si>
    <t xml:space="preserve">          单位:人</t>
  </si>
  <si>
    <t>正  镶  白  旗</t>
  </si>
  <si>
    <t>太  仆  寺  旗</t>
  </si>
  <si>
    <t>西    乌    旗</t>
  </si>
  <si>
    <t>东    乌    旗</t>
  </si>
  <si>
    <t>苏 尼 特 右 旗</t>
  </si>
  <si>
    <t>苏 尼 特 左 旗</t>
  </si>
  <si>
    <t>阿  巴  嘎  旗</t>
  </si>
  <si>
    <t>锡 林 浩 特 市</t>
  </si>
  <si>
    <t>二 连 浩 特 市</t>
  </si>
  <si>
    <t>全          盟</t>
  </si>
  <si>
    <t>其他少数民族</t>
  </si>
  <si>
    <t>朝鲜族</t>
  </si>
  <si>
    <t>满 族</t>
  </si>
  <si>
    <t>回 族</t>
  </si>
  <si>
    <t>蒙古族</t>
  </si>
  <si>
    <t>汉 族</t>
  </si>
  <si>
    <r>
      <t>草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地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                                                                                                </t>
    </r>
    <r>
      <rPr>
        <sz val="9"/>
        <rFont val="宋体"/>
        <charset val="134"/>
      </rPr>
      <t>（平方公里）</t>
    </r>
    <phoneticPr fontId="1" type="noConversion"/>
  </si>
  <si>
    <t>#可利用</t>
    <phoneticPr fontId="1" type="noConversion"/>
  </si>
  <si>
    <t>注2：载畜量测算太旗运用贡宝拉格苏木数据、因多伦县属于纯农区故不测算载畜量。</t>
    <phoneticPr fontId="1" type="noConversion"/>
  </si>
  <si>
    <r>
      <t>行政区划</t>
    </r>
    <r>
      <rPr>
        <sz val="9"/>
        <rFont val="Times New Roman"/>
        <family val="1"/>
      </rPr>
      <t xml:space="preserve">                                                                                              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（平方公里）</t>
    </r>
    <phoneticPr fontId="1" type="noConversion"/>
  </si>
  <si>
    <t>注1：草地面积为生态办提供。</t>
    <phoneticPr fontId="1" type="noConversion"/>
  </si>
  <si>
    <r>
      <t>多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伦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县</t>
    </r>
  </si>
  <si>
    <r>
      <t>正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蓝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旗</t>
    </r>
  </si>
  <si>
    <r>
      <t>正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镶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白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旗</t>
    </r>
  </si>
  <si>
    <r>
      <t>镶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黄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旗</t>
    </r>
  </si>
  <si>
    <r>
      <t>太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仆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寺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旗</t>
    </r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</si>
  <si>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乌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旗</t>
    </r>
  </si>
  <si>
    <r>
      <t>东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乌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旗</t>
    </r>
  </si>
  <si>
    <r>
      <t>阿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巴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嘎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旗</t>
    </r>
  </si>
  <si>
    <r>
      <t>全</t>
    </r>
    <r>
      <rPr>
        <sz val="10"/>
        <rFont val="Times New Roman"/>
        <family val="1"/>
      </rPr>
      <t xml:space="preserve">            </t>
    </r>
    <r>
      <rPr>
        <sz val="10"/>
        <rFont val="宋体"/>
        <charset val="134"/>
      </rPr>
      <t>盟</t>
    </r>
  </si>
  <si>
    <t>自然增长率</t>
    <phoneticPr fontId="16" type="noConversion"/>
  </si>
  <si>
    <t>死亡人口</t>
    <phoneticPr fontId="16" type="noConversion"/>
  </si>
  <si>
    <t>出生人口</t>
    <phoneticPr fontId="16" type="noConversion"/>
  </si>
  <si>
    <t>22-4 户籍自然增长率和年龄组人口数</t>
    <phoneticPr fontId="16" type="noConversion"/>
  </si>
  <si>
    <t>达斡尔族</t>
    <phoneticPr fontId="16" type="noConversion"/>
  </si>
  <si>
    <t>22-3 户籍人口民族构成</t>
    <phoneticPr fontId="16" type="noConversion"/>
  </si>
  <si>
    <t>注：户籍人口中乌拉盖数据含在东乌旗中。</t>
    <phoneticPr fontId="16" type="noConversion"/>
  </si>
  <si>
    <t xml:space="preserve">          单位:人、%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</si>
</sst>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;[Red]0"/>
    <numFmt numFmtId="177" formatCode="0_ "/>
    <numFmt numFmtId="178" formatCode="0.00_ "/>
    <numFmt numFmtId="179" formatCode="0.0_ "/>
    <numFmt numFmtId="180" formatCode="0.00_);[Red]\(0.00\)"/>
    <numFmt numFmtId="181" formatCode="#0"/>
  </numFmts>
  <fonts count="26" x14ac:knownFonts="1"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sz val="9"/>
      <color indexed="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0"/>
      <name val="Times New Roman"/>
      <family val="1"/>
    </font>
    <font>
      <sz val="10"/>
      <name val="仿宋_GB2312"/>
      <charset val="134"/>
    </font>
    <font>
      <sz val="12"/>
      <name val="仿宋_GB2312"/>
      <charset val="134"/>
    </font>
    <font>
      <sz val="9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8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15" fillId="0" borderId="0">
      <alignment vertical="center"/>
    </xf>
    <xf numFmtId="0" fontId="15" fillId="0" borderId="0"/>
  </cellStyleXfs>
  <cellXfs count="105">
    <xf numFmtId="0" fontId="0" fillId="0" borderId="0" xfId="0">
      <alignment vertical="center"/>
    </xf>
    <xf numFmtId="178" fontId="4" fillId="2" borderId="1" xfId="0" applyNumberFormat="1" applyFont="1" applyFill="1" applyBorder="1">
      <alignment vertical="center"/>
    </xf>
    <xf numFmtId="178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0" fillId="0" borderId="0" xfId="0" applyFill="1" applyBorder="1">
      <alignment vertical="center"/>
    </xf>
    <xf numFmtId="178" fontId="0" fillId="0" borderId="0" xfId="0" applyNumberFormat="1" applyFill="1">
      <alignment vertical="center"/>
    </xf>
    <xf numFmtId="0" fontId="0" fillId="0" borderId="0" xfId="0" applyFill="1">
      <alignment vertical="center"/>
    </xf>
    <xf numFmtId="180" fontId="0" fillId="0" borderId="2" xfId="0" applyNumberFormat="1" applyBorder="1" applyAlignment="1">
      <alignment horizontal="center" vertical="center"/>
    </xf>
    <xf numFmtId="0" fontId="15" fillId="0" borderId="0" xfId="2"/>
    <xf numFmtId="0" fontId="15" fillId="0" borderId="0" xfId="2" applyBorder="1"/>
    <xf numFmtId="0" fontId="15" fillId="0" borderId="0" xfId="2" applyFill="1"/>
    <xf numFmtId="178" fontId="15" fillId="0" borderId="0" xfId="2" applyNumberFormat="1" applyFill="1"/>
    <xf numFmtId="178" fontId="15" fillId="0" borderId="0" xfId="2" applyNumberFormat="1" applyFill="1" applyBorder="1"/>
    <xf numFmtId="0" fontId="15" fillId="0" borderId="0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7" fillId="0" borderId="2" xfId="2" applyFont="1" applyFill="1" applyBorder="1" applyAlignment="1">
      <alignment vertical="center"/>
    </xf>
    <xf numFmtId="0" fontId="17" fillId="0" borderId="2" xfId="2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/>
    </xf>
    <xf numFmtId="0" fontId="15" fillId="0" borderId="2" xfId="1" applyFont="1" applyBorder="1" applyAlignment="1">
      <alignment horizontal="center"/>
    </xf>
    <xf numFmtId="0" fontId="17" fillId="0" borderId="0" xfId="2" applyFont="1" applyFill="1" applyBorder="1" applyAlignment="1">
      <alignment vertical="center"/>
    </xf>
    <xf numFmtId="0" fontId="15" fillId="0" borderId="2" xfId="2" applyFont="1" applyFill="1" applyBorder="1" applyAlignment="1">
      <alignment horizontal="center" vertical="center"/>
    </xf>
    <xf numFmtId="0" fontId="15" fillId="0" borderId="0" xfId="2" applyFill="1" applyBorder="1"/>
    <xf numFmtId="0" fontId="11" fillId="0" borderId="0" xfId="2" applyFont="1" applyFill="1" applyBorder="1" applyAlignment="1">
      <alignment horizontal="center" vertical="center"/>
    </xf>
    <xf numFmtId="177" fontId="16" fillId="0" borderId="3" xfId="2" applyNumberFormat="1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0" fontId="17" fillId="0" borderId="2" xfId="2" applyFont="1" applyFill="1" applyBorder="1" applyAlignment="1">
      <alignment horizontal="center"/>
    </xf>
    <xf numFmtId="0" fontId="12" fillId="0" borderId="4" xfId="2" applyFont="1" applyFill="1" applyBorder="1" applyAlignment="1">
      <alignment horizontal="center"/>
    </xf>
    <xf numFmtId="0" fontId="15" fillId="0" borderId="4" xfId="2" applyFill="1" applyBorder="1"/>
    <xf numFmtId="176" fontId="15" fillId="0" borderId="2" xfId="2" applyNumberFormat="1" applyFont="1" applyFill="1" applyBorder="1" applyAlignment="1">
      <alignment horizontal="center" vertical="center"/>
    </xf>
    <xf numFmtId="0" fontId="15" fillId="0" borderId="2" xfId="2" applyFill="1" applyBorder="1"/>
    <xf numFmtId="0" fontId="15" fillId="0" borderId="0" xfId="2" applyFill="1" applyAlignment="1">
      <alignment horizontal="right"/>
    </xf>
    <xf numFmtId="178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24" fillId="4" borderId="15" xfId="0" applyNumberFormat="1" applyFont="1" applyFill="1" applyBorder="1" applyAlignment="1">
      <alignment horizontal="center" vertical="center" wrapText="1"/>
    </xf>
    <xf numFmtId="177" fontId="24" fillId="4" borderId="1" xfId="0" applyNumberFormat="1" applyFont="1" applyFill="1" applyBorder="1" applyAlignment="1">
      <alignment horizontal="center" vertical="center" wrapText="1"/>
    </xf>
    <xf numFmtId="177" fontId="24" fillId="4" borderId="6" xfId="0" applyNumberFormat="1" applyFont="1" applyFill="1" applyBorder="1" applyAlignment="1">
      <alignment horizontal="center" vertical="center" wrapText="1"/>
    </xf>
    <xf numFmtId="179" fontId="0" fillId="0" borderId="3" xfId="0" applyNumberFormat="1" applyBorder="1">
      <alignment vertical="center"/>
    </xf>
    <xf numFmtId="179" fontId="15" fillId="0" borderId="2" xfId="2" applyNumberFormat="1" applyFont="1" applyFill="1" applyBorder="1" applyAlignment="1">
      <alignment horizontal="center" vertical="center"/>
    </xf>
    <xf numFmtId="181" fontId="20" fillId="0" borderId="7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1" fontId="20" fillId="0" borderId="2" xfId="0" applyNumberFormat="1" applyFont="1" applyBorder="1" applyAlignment="1">
      <alignment horizontal="center" vertical="center"/>
    </xf>
    <xf numFmtId="181" fontId="20" fillId="0" borderId="9" xfId="0" applyNumberFormat="1" applyFont="1" applyBorder="1" applyAlignment="1">
      <alignment horizontal="center" vertical="center"/>
    </xf>
    <xf numFmtId="181" fontId="21" fillId="0" borderId="2" xfId="0" applyNumberFormat="1" applyFont="1" applyBorder="1" applyAlignment="1">
      <alignment horizontal="center"/>
    </xf>
    <xf numFmtId="177" fontId="22" fillId="0" borderId="10" xfId="0" applyNumberFormat="1" applyFont="1" applyBorder="1" applyAlignment="1">
      <alignment vertical="center"/>
    </xf>
    <xf numFmtId="178" fontId="25" fillId="0" borderId="0" xfId="0" applyNumberFormat="1" applyFont="1">
      <alignment vertical="center"/>
    </xf>
    <xf numFmtId="179" fontId="23" fillId="0" borderId="0" xfId="0" applyNumberFormat="1" applyFont="1">
      <alignment vertical="center"/>
    </xf>
    <xf numFmtId="179" fontId="22" fillId="0" borderId="0" xfId="0" applyNumberFormat="1" applyFont="1">
      <alignment vertical="center"/>
    </xf>
    <xf numFmtId="177" fontId="23" fillId="3" borderId="10" xfId="0" applyNumberFormat="1" applyFont="1" applyFill="1" applyBorder="1" applyAlignment="1">
      <alignment vertical="center"/>
    </xf>
    <xf numFmtId="177" fontId="22" fillId="3" borderId="10" xfId="0" applyNumberFormat="1" applyFont="1" applyFill="1" applyBorder="1" applyAlignment="1">
      <alignment vertical="center"/>
    </xf>
    <xf numFmtId="177" fontId="22" fillId="0" borderId="10" xfId="0" applyNumberFormat="1" applyFont="1" applyFill="1" applyBorder="1" applyAlignment="1">
      <alignment vertical="center"/>
    </xf>
    <xf numFmtId="177" fontId="22" fillId="0" borderId="8" xfId="0" applyNumberFormat="1" applyFont="1" applyFill="1" applyBorder="1" applyAlignment="1">
      <alignment vertical="center"/>
    </xf>
    <xf numFmtId="178" fontId="25" fillId="0" borderId="4" xfId="0" applyNumberFormat="1" applyFont="1" applyBorder="1">
      <alignment vertical="center"/>
    </xf>
    <xf numFmtId="179" fontId="22" fillId="0" borderId="4" xfId="0" applyNumberFormat="1" applyFont="1" applyBorder="1">
      <alignment vertical="center"/>
    </xf>
    <xf numFmtId="0" fontId="15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178" fontId="1" fillId="2" borderId="12" xfId="0" applyNumberFormat="1" applyFont="1" applyFill="1" applyBorder="1" applyAlignment="1">
      <alignment horizontal="center" wrapText="1"/>
    </xf>
    <xf numFmtId="178" fontId="1" fillId="2" borderId="8" xfId="0" applyNumberFormat="1" applyFont="1" applyFill="1" applyBorder="1" applyAlignment="1">
      <alignment horizontal="center" wrapText="1"/>
    </xf>
    <xf numFmtId="0" fontId="1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3" fillId="0" borderId="13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0" borderId="0" xfId="2" applyFont="1" applyFill="1" applyAlignment="1">
      <alignment horizontal="center"/>
    </xf>
    <xf numFmtId="0" fontId="11" fillId="0" borderId="0" xfId="2" applyFont="1" applyFill="1" applyBorder="1" applyAlignment="1">
      <alignment horizontal="right" vertical="center"/>
    </xf>
    <xf numFmtId="0" fontId="15" fillId="0" borderId="2" xfId="2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0" fontId="18" fillId="0" borderId="13" xfId="2" applyFont="1" applyFill="1" applyBorder="1" applyAlignment="1">
      <alignment horizontal="center"/>
    </xf>
    <xf numFmtId="0" fontId="15" fillId="0" borderId="2" xfId="2" applyFill="1" applyBorder="1" applyAlignment="1">
      <alignment horizontal="center" vertical="center" wrapText="1"/>
    </xf>
    <xf numFmtId="0" fontId="15" fillId="0" borderId="2" xfId="2" applyFill="1" applyBorder="1" applyAlignment="1">
      <alignment horizontal="center"/>
    </xf>
    <xf numFmtId="0" fontId="17" fillId="0" borderId="2" xfId="2" applyFont="1" applyFill="1" applyBorder="1" applyAlignment="1">
      <alignment horizontal="center"/>
    </xf>
    <xf numFmtId="0" fontId="11" fillId="0" borderId="4" xfId="2" applyFont="1" applyFill="1" applyBorder="1" applyAlignment="1">
      <alignment horizontal="right" vertical="center"/>
    </xf>
    <xf numFmtId="0" fontId="15" fillId="0" borderId="0" xfId="2" applyFont="1" applyAlignment="1">
      <alignment horizontal="left"/>
    </xf>
    <xf numFmtId="0" fontId="15" fillId="0" borderId="0" xfId="2" applyAlignment="1">
      <alignment horizontal="left"/>
    </xf>
  </cellXfs>
  <cellStyles count="3">
    <cellStyle name="常规" xfId="0" builtinId="0"/>
    <cellStyle name="常规 2" xfId="1"/>
    <cellStyle name="常规_5和6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J8" sqref="J8"/>
    </sheetView>
  </sheetViews>
  <sheetFormatPr defaultRowHeight="15" x14ac:dyDescent="0.3"/>
  <cols>
    <col min="1" max="1" width="11" customWidth="1"/>
    <col min="2" max="2" width="8.2109375" customWidth="1"/>
    <col min="3" max="3" width="9.85546875" customWidth="1"/>
    <col min="4" max="4" width="9.2109375" customWidth="1"/>
    <col min="5" max="5" width="7.35546875" customWidth="1"/>
    <col min="6" max="6" width="7.140625" style="7" customWidth="1"/>
    <col min="7" max="7" width="8.5" customWidth="1"/>
    <col min="8" max="8" width="8.5" style="7" customWidth="1"/>
    <col min="9" max="10" width="8.5" customWidth="1"/>
    <col min="11" max="11" width="9.5" style="9" customWidth="1"/>
    <col min="13" max="13" width="12.640625" customWidth="1"/>
  </cols>
  <sheetData>
    <row r="2" spans="1:14" ht="30.75" customHeight="1" x14ac:dyDescent="0.5">
      <c r="A2" s="73" t="s">
        <v>21</v>
      </c>
      <c r="B2" s="73"/>
      <c r="C2" s="73"/>
      <c r="D2" s="73"/>
      <c r="E2" s="73"/>
      <c r="F2" s="73"/>
      <c r="G2" s="73"/>
      <c r="H2" s="73"/>
      <c r="I2" s="73"/>
      <c r="J2" s="73"/>
    </row>
    <row r="3" spans="1:14" ht="22.2" customHeight="1" x14ac:dyDescent="0.3">
      <c r="A3" s="77"/>
      <c r="B3" s="79" t="s">
        <v>59</v>
      </c>
      <c r="C3" s="81" t="s">
        <v>56</v>
      </c>
      <c r="D3" s="15"/>
      <c r="E3" s="83" t="s">
        <v>10</v>
      </c>
      <c r="F3" s="1" t="s">
        <v>0</v>
      </c>
      <c r="G3" s="84" t="s">
        <v>11</v>
      </c>
      <c r="H3" s="74" t="s">
        <v>12</v>
      </c>
      <c r="I3" s="75"/>
    </row>
    <row r="4" spans="1:14" ht="35.6" x14ac:dyDescent="0.3">
      <c r="A4" s="78"/>
      <c r="B4" s="80"/>
      <c r="C4" s="82"/>
      <c r="D4" s="16" t="s">
        <v>57</v>
      </c>
      <c r="E4" s="82"/>
      <c r="F4" s="2" t="s">
        <v>13</v>
      </c>
      <c r="G4" s="85"/>
      <c r="H4" s="3" t="s">
        <v>1</v>
      </c>
      <c r="I4" s="4" t="s">
        <v>2</v>
      </c>
      <c r="J4" s="8"/>
      <c r="K4" s="14"/>
    </row>
    <row r="5" spans="1:14" ht="18.75" customHeight="1" x14ac:dyDescent="0.25">
      <c r="A5" s="5" t="s">
        <v>3</v>
      </c>
      <c r="B5" s="61">
        <v>4015</v>
      </c>
      <c r="C5" s="61">
        <v>3946.066686397</v>
      </c>
      <c r="D5" s="61">
        <v>3684.4000184219999</v>
      </c>
      <c r="E5" s="61">
        <v>16330.100000000002</v>
      </c>
      <c r="F5" s="62">
        <v>4.0671714278598294</v>
      </c>
      <c r="G5" s="63">
        <f>B23*10000/B5</f>
        <v>18.057285180572851</v>
      </c>
      <c r="H5" s="64">
        <v>29.3863568286888</v>
      </c>
      <c r="I5" s="64">
        <v>74.836532572801502</v>
      </c>
      <c r="L5" s="7"/>
      <c r="M5" s="7"/>
      <c r="N5" s="7"/>
    </row>
    <row r="6" spans="1:14" ht="18.75" customHeight="1" x14ac:dyDescent="0.25">
      <c r="A6" s="5" t="s">
        <v>4</v>
      </c>
      <c r="B6" s="61">
        <v>15758</v>
      </c>
      <c r="C6" s="61">
        <v>15005.800075028999</v>
      </c>
      <c r="D6" s="61">
        <v>14165.200070826002</v>
      </c>
      <c r="E6" s="61">
        <v>81031.100000000006</v>
      </c>
      <c r="F6" s="62">
        <v>5.1422198248508693</v>
      </c>
      <c r="G6" s="63">
        <f t="shared" ref="G6:G17" si="0">B24*10000/B6</f>
        <v>16.829546896814318</v>
      </c>
      <c r="H6" s="64">
        <v>11.7416121961611</v>
      </c>
      <c r="I6" s="64">
        <v>28.1546342604932</v>
      </c>
      <c r="L6" s="7"/>
      <c r="M6" s="7"/>
      <c r="N6" s="7"/>
    </row>
    <row r="7" spans="1:14" ht="18.75" customHeight="1" x14ac:dyDescent="0.3">
      <c r="A7" s="5" t="s">
        <v>14</v>
      </c>
      <c r="B7" s="61">
        <v>27495</v>
      </c>
      <c r="C7" s="61">
        <v>27011.200135056002</v>
      </c>
      <c r="D7" s="61">
        <v>25518.800127594004</v>
      </c>
      <c r="E7" s="61">
        <v>81022.600000000006</v>
      </c>
      <c r="F7" s="62">
        <v>2.9468121476632114</v>
      </c>
      <c r="G7" s="63">
        <f t="shared" si="0"/>
        <v>1.5384615384615388</v>
      </c>
      <c r="H7" s="64">
        <v>13.0817065287654</v>
      </c>
      <c r="I7" s="64">
        <v>32.289429597127999</v>
      </c>
      <c r="L7" s="7"/>
      <c r="M7" s="7"/>
      <c r="N7" s="7"/>
    </row>
    <row r="8" spans="1:14" ht="18.75" customHeight="1" x14ac:dyDescent="0.25">
      <c r="A8" s="5" t="s">
        <v>5</v>
      </c>
      <c r="B8" s="65">
        <v>34251</v>
      </c>
      <c r="C8" s="65">
        <v>34079.266837063005</v>
      </c>
      <c r="D8" s="65">
        <v>31492.066824127003</v>
      </c>
      <c r="E8" s="66">
        <v>197445.9</v>
      </c>
      <c r="F8" s="62">
        <v>5.7645576715900235</v>
      </c>
      <c r="G8" s="63">
        <f t="shared" si="0"/>
        <v>0.94887740503926887</v>
      </c>
      <c r="H8" s="64">
        <v>26.070253653793401</v>
      </c>
      <c r="I8" s="64">
        <v>74.531437546907497</v>
      </c>
      <c r="L8" s="7"/>
      <c r="M8" s="7"/>
      <c r="N8" s="7"/>
    </row>
    <row r="9" spans="1:14" ht="18.75" customHeight="1" x14ac:dyDescent="0.25">
      <c r="A9" s="5" t="s">
        <v>6</v>
      </c>
      <c r="B9" s="61">
        <v>22340</v>
      </c>
      <c r="C9" s="61">
        <v>22033.400110167004</v>
      </c>
      <c r="D9" s="61">
        <v>20278.466768059003</v>
      </c>
      <c r="E9" s="61">
        <v>183191.19999999998</v>
      </c>
      <c r="F9" s="62">
        <v>8.1990422056124963</v>
      </c>
      <c r="G9" s="63">
        <f t="shared" si="0"/>
        <v>3.1244404655326767</v>
      </c>
      <c r="H9" s="64">
        <v>26.2258972001299</v>
      </c>
      <c r="I9" s="64">
        <v>74.594450101833004</v>
      </c>
      <c r="L9" s="7"/>
      <c r="M9" s="7"/>
      <c r="N9" s="7"/>
    </row>
    <row r="10" spans="1:14" ht="18.75" customHeight="1" x14ac:dyDescent="0.25">
      <c r="A10" s="5" t="s">
        <v>7</v>
      </c>
      <c r="B10" s="67">
        <v>42540</v>
      </c>
      <c r="C10" s="67">
        <v>39387.933530273003</v>
      </c>
      <c r="D10" s="67">
        <v>37707.800188539004</v>
      </c>
      <c r="E10" s="67">
        <v>129970.59999999999</v>
      </c>
      <c r="F10" s="62">
        <v>3.0552325287556537</v>
      </c>
      <c r="G10" s="63">
        <f t="shared" si="0"/>
        <v>1.5890926187118006</v>
      </c>
      <c r="H10" s="64">
        <v>12.865573832336899</v>
      </c>
      <c r="I10" s="64">
        <v>30.101496272542299</v>
      </c>
      <c r="L10" s="7"/>
      <c r="M10" s="7"/>
      <c r="N10" s="7"/>
    </row>
    <row r="11" spans="1:14" ht="18.75" customHeight="1" x14ac:dyDescent="0.25">
      <c r="A11" s="5" t="s">
        <v>8</v>
      </c>
      <c r="B11" s="61">
        <v>22435</v>
      </c>
      <c r="C11" s="61">
        <v>22379.133445228999</v>
      </c>
      <c r="D11" s="61">
        <v>21170.200105851003</v>
      </c>
      <c r="E11" s="61">
        <v>146597</v>
      </c>
      <c r="F11" s="62">
        <v>6.5344388914940019</v>
      </c>
      <c r="G11" s="63">
        <f t="shared" si="0"/>
        <v>4.1319367060396699</v>
      </c>
      <c r="H11" s="64">
        <v>11.0961417167723</v>
      </c>
      <c r="I11" s="64">
        <v>29.347826086956498</v>
      </c>
      <c r="L11" s="7"/>
      <c r="M11" s="7"/>
      <c r="N11" s="7"/>
    </row>
    <row r="12" spans="1:14" ht="18.75" customHeight="1" x14ac:dyDescent="0.3">
      <c r="A12" s="5" t="s">
        <v>15</v>
      </c>
      <c r="B12" s="61">
        <v>3415</v>
      </c>
      <c r="C12" s="61">
        <v>1638.8000081940002</v>
      </c>
      <c r="D12" s="61">
        <v>1535.266674343</v>
      </c>
      <c r="E12" s="61">
        <v>106991</v>
      </c>
      <c r="F12" s="62">
        <v>20.68658159319412</v>
      </c>
      <c r="G12" s="63">
        <f t="shared" si="0"/>
        <v>32.44509516837482</v>
      </c>
      <c r="H12" s="64">
        <v>12.4554521243859</v>
      </c>
      <c r="I12" s="64">
        <v>26.324873096446701</v>
      </c>
      <c r="L12" s="7"/>
      <c r="M12" s="7"/>
      <c r="N12" s="7"/>
    </row>
    <row r="13" spans="1:14" ht="18.75" customHeight="1" x14ac:dyDescent="0.3">
      <c r="A13" s="5" t="s">
        <v>16</v>
      </c>
      <c r="B13" s="61">
        <v>4960</v>
      </c>
      <c r="C13" s="61">
        <v>5059.2000252960006</v>
      </c>
      <c r="D13" s="61">
        <v>4768.2666905080005</v>
      </c>
      <c r="E13" s="61">
        <v>147145</v>
      </c>
      <c r="F13" s="62">
        <v>23.675784392598551</v>
      </c>
      <c r="G13" s="63">
        <f t="shared" si="0"/>
        <v>5.846774193548387</v>
      </c>
      <c r="H13" s="64">
        <v>11.6118680374975</v>
      </c>
      <c r="I13" s="64">
        <v>26.107957803004201</v>
      </c>
      <c r="L13" s="7"/>
      <c r="M13" s="7"/>
      <c r="N13" s="7"/>
    </row>
    <row r="14" spans="1:14" ht="18.75" customHeight="1" x14ac:dyDescent="0.3">
      <c r="A14" s="5" t="s">
        <v>17</v>
      </c>
      <c r="B14" s="61">
        <v>6229</v>
      </c>
      <c r="C14" s="61">
        <v>5395.0000269750008</v>
      </c>
      <c r="D14" s="61">
        <v>4942.2666913780004</v>
      </c>
      <c r="E14" s="61">
        <v>81326.5</v>
      </c>
      <c r="F14" s="62">
        <v>23.814494875549048</v>
      </c>
      <c r="G14" s="63">
        <f t="shared" si="0"/>
        <v>8.4443730935944767</v>
      </c>
      <c r="H14" s="64">
        <v>11.0964492617262</v>
      </c>
      <c r="I14" s="64">
        <v>25.956823152561999</v>
      </c>
      <c r="L14" s="7"/>
      <c r="M14" s="7"/>
      <c r="N14" s="7"/>
    </row>
    <row r="15" spans="1:14" ht="18.75" customHeight="1" x14ac:dyDescent="0.3">
      <c r="A15" s="5" t="s">
        <v>18</v>
      </c>
      <c r="B15" s="61">
        <v>9963</v>
      </c>
      <c r="C15" s="61">
        <v>9499.4667141640002</v>
      </c>
      <c r="D15" s="61">
        <v>8339.0667083619992</v>
      </c>
      <c r="E15" s="61">
        <v>208275</v>
      </c>
      <c r="F15" s="62">
        <v>20.455215085444902</v>
      </c>
      <c r="G15" s="63">
        <f t="shared" si="0"/>
        <v>8.3308240489812313</v>
      </c>
      <c r="H15" s="64">
        <v>10.1143466583607</v>
      </c>
      <c r="I15" s="64">
        <v>25.5070873342478</v>
      </c>
      <c r="L15" s="7"/>
      <c r="M15" s="7"/>
      <c r="N15" s="7"/>
    </row>
    <row r="16" spans="1:14" ht="18.75" customHeight="1" x14ac:dyDescent="0.3">
      <c r="A16" s="5" t="s">
        <v>19</v>
      </c>
      <c r="B16" s="65">
        <v>3773</v>
      </c>
      <c r="C16" s="65">
        <v>2854.9333476080001</v>
      </c>
      <c r="D16" s="65">
        <v>2608.800013044</v>
      </c>
      <c r="E16" s="66">
        <v>143018.1</v>
      </c>
      <c r="F16" s="62">
        <v>37.905671879141266</v>
      </c>
      <c r="G16" s="63">
        <f t="shared" si="0"/>
        <v>26.901669758812616</v>
      </c>
      <c r="H16" s="64">
        <v>10.623499047420699</v>
      </c>
      <c r="I16" s="64">
        <v>25.206081717552699</v>
      </c>
      <c r="L16" s="7"/>
      <c r="M16" s="7"/>
      <c r="N16" s="7"/>
    </row>
    <row r="17" spans="1:15" ht="18.75" customHeight="1" x14ac:dyDescent="0.25">
      <c r="A17" s="6" t="s">
        <v>9</v>
      </c>
      <c r="B17" s="68">
        <v>5014</v>
      </c>
      <c r="C17" s="68">
        <v>4763.2000238160008</v>
      </c>
      <c r="D17" s="68">
        <v>4522.8000226140002</v>
      </c>
      <c r="E17" s="68">
        <v>4310.2</v>
      </c>
      <c r="F17" s="69">
        <v>0.85968960861006005</v>
      </c>
      <c r="G17" s="63">
        <f t="shared" si="0"/>
        <v>5.4646988432389314</v>
      </c>
      <c r="H17" s="70">
        <v>10.7911595131326</v>
      </c>
      <c r="I17" s="70">
        <v>26.827007606161398</v>
      </c>
      <c r="J17" s="9"/>
      <c r="L17" s="7"/>
      <c r="M17" s="7"/>
      <c r="N17" s="7"/>
    </row>
    <row r="18" spans="1:15" s="19" customFormat="1" x14ac:dyDescent="0.25">
      <c r="A18" s="88" t="s">
        <v>60</v>
      </c>
      <c r="B18" s="89"/>
      <c r="C18" s="89"/>
      <c r="D18" s="89"/>
      <c r="E18" s="89"/>
      <c r="F18" s="89"/>
      <c r="G18" s="89"/>
      <c r="H18" s="89"/>
      <c r="I18" s="89"/>
      <c r="J18" s="90"/>
      <c r="K18" s="17"/>
      <c r="L18" s="17"/>
      <c r="M18" s="18"/>
      <c r="N18" s="18"/>
      <c r="O18" s="18"/>
    </row>
    <row r="19" spans="1:15" ht="18" customHeight="1" x14ac:dyDescent="0.3">
      <c r="A19" s="86" t="s">
        <v>58</v>
      </c>
      <c r="B19" s="87"/>
      <c r="C19" s="87"/>
      <c r="D19" s="87"/>
      <c r="E19" s="87"/>
      <c r="F19" s="87"/>
      <c r="G19" s="87"/>
      <c r="H19" s="87"/>
      <c r="I19" s="87"/>
      <c r="J19" s="87"/>
    </row>
    <row r="20" spans="1:15" ht="32.25" customHeight="1" x14ac:dyDescent="0.3">
      <c r="A20" s="76" t="s">
        <v>22</v>
      </c>
      <c r="B20" s="76"/>
      <c r="C20" s="76"/>
      <c r="D20" s="76"/>
      <c r="E20" s="76"/>
      <c r="F20" s="76"/>
      <c r="G20" s="76"/>
      <c r="H20" s="76"/>
      <c r="I20" s="76"/>
      <c r="J20" s="76"/>
    </row>
    <row r="21" spans="1:15" ht="32.25" customHeight="1" x14ac:dyDescent="0.3">
      <c r="A21" s="91"/>
      <c r="B21" s="91" t="s">
        <v>27</v>
      </c>
      <c r="C21" s="91"/>
      <c r="D21" s="91"/>
      <c r="E21" s="92" t="s">
        <v>28</v>
      </c>
      <c r="F21" s="93"/>
      <c r="G21" s="93"/>
      <c r="H21" s="93"/>
      <c r="I21" s="9"/>
      <c r="K21"/>
    </row>
    <row r="22" spans="1:15" ht="32.25" customHeight="1" x14ac:dyDescent="0.3">
      <c r="A22" s="91"/>
      <c r="B22" s="10" t="s">
        <v>26</v>
      </c>
      <c r="C22" s="11" t="s">
        <v>29</v>
      </c>
      <c r="D22" s="11" t="s">
        <v>30</v>
      </c>
      <c r="E22" s="11" t="s">
        <v>31</v>
      </c>
      <c r="F22" s="11" t="s">
        <v>20</v>
      </c>
      <c r="G22" s="11" t="s">
        <v>32</v>
      </c>
      <c r="H22" s="13" t="s">
        <v>33</v>
      </c>
      <c r="I22" s="9"/>
      <c r="K22"/>
    </row>
    <row r="23" spans="1:15" ht="20.25" customHeight="1" x14ac:dyDescent="0.25">
      <c r="A23" s="12" t="s">
        <v>3</v>
      </c>
      <c r="B23" s="45">
        <v>7.25</v>
      </c>
      <c r="C23" s="46">
        <v>7</v>
      </c>
      <c r="D23" s="20">
        <v>96.551724137931032</v>
      </c>
      <c r="E23" s="47">
        <v>12651</v>
      </c>
      <c r="F23" s="47">
        <v>32189</v>
      </c>
      <c r="G23" s="47">
        <v>16098</v>
      </c>
      <c r="H23" s="50">
        <v>94.025909472179933</v>
      </c>
      <c r="I23" s="9"/>
      <c r="K23"/>
    </row>
    <row r="24" spans="1:15" ht="20.25" customHeight="1" x14ac:dyDescent="0.25">
      <c r="A24" s="12" t="s">
        <v>4</v>
      </c>
      <c r="B24" s="45">
        <v>26.52</v>
      </c>
      <c r="C24" s="46">
        <v>24.02</v>
      </c>
      <c r="D24" s="20">
        <v>90.573152337858218</v>
      </c>
      <c r="E24" s="47">
        <v>74595</v>
      </c>
      <c r="F24" s="47">
        <v>186930</v>
      </c>
      <c r="G24" s="47">
        <v>93069</v>
      </c>
      <c r="H24" s="50">
        <v>86.865671641791039</v>
      </c>
      <c r="I24" s="9"/>
      <c r="K24"/>
    </row>
    <row r="25" spans="1:15" ht="20.25" customHeight="1" x14ac:dyDescent="0.3">
      <c r="A25" s="12" t="s">
        <v>14</v>
      </c>
      <c r="B25" s="45">
        <v>4.2300000000000004</v>
      </c>
      <c r="C25" s="46">
        <v>2.06</v>
      </c>
      <c r="D25" s="20">
        <v>48.699763593380609</v>
      </c>
      <c r="E25" s="47">
        <v>17722</v>
      </c>
      <c r="F25" s="47">
        <v>44440</v>
      </c>
      <c r="G25" s="47">
        <v>22371</v>
      </c>
      <c r="H25" s="50">
        <v>47.378487848784879</v>
      </c>
      <c r="I25" s="9"/>
      <c r="K25"/>
    </row>
    <row r="26" spans="1:15" ht="20.25" customHeight="1" x14ac:dyDescent="0.25">
      <c r="A26" s="12" t="s">
        <v>5</v>
      </c>
      <c r="B26" s="45">
        <v>3.25</v>
      </c>
      <c r="C26" s="46">
        <v>1.68</v>
      </c>
      <c r="D26" s="20">
        <v>51.692307692307693</v>
      </c>
      <c r="E26" s="47">
        <v>11517</v>
      </c>
      <c r="F26" s="47">
        <v>34620</v>
      </c>
      <c r="G26" s="47">
        <v>17230</v>
      </c>
      <c r="H26" s="50">
        <v>41.808203350664357</v>
      </c>
      <c r="I26" s="9"/>
      <c r="K26"/>
    </row>
    <row r="27" spans="1:15" ht="20.25" customHeight="1" x14ac:dyDescent="0.25">
      <c r="A27" s="12" t="s">
        <v>6</v>
      </c>
      <c r="B27" s="45">
        <v>6.98</v>
      </c>
      <c r="C27" s="46">
        <v>4.5</v>
      </c>
      <c r="D27" s="20">
        <v>64.469914040114602</v>
      </c>
      <c r="E27" s="47">
        <v>28729</v>
      </c>
      <c r="F27" s="47">
        <v>68102</v>
      </c>
      <c r="G27" s="47">
        <v>34016</v>
      </c>
      <c r="H27" s="50">
        <v>53.901500690141255</v>
      </c>
      <c r="I27" s="9"/>
      <c r="K27"/>
    </row>
    <row r="28" spans="1:15" ht="20.25" customHeight="1" x14ac:dyDescent="0.25">
      <c r="A28" s="12" t="s">
        <v>7</v>
      </c>
      <c r="B28" s="20">
        <v>6.76</v>
      </c>
      <c r="C28" s="46">
        <v>4.1500000000000004</v>
      </c>
      <c r="D28" s="20">
        <v>61.390532544378708</v>
      </c>
      <c r="E28" s="47">
        <v>20527</v>
      </c>
      <c r="F28" s="47">
        <v>62336</v>
      </c>
      <c r="G28" s="47">
        <v>40769</v>
      </c>
      <c r="H28" s="50">
        <v>49.352881947002629</v>
      </c>
      <c r="I28" s="9"/>
      <c r="K28"/>
    </row>
    <row r="29" spans="1:15" ht="20.25" customHeight="1" x14ac:dyDescent="0.25">
      <c r="A29" s="12" t="s">
        <v>8</v>
      </c>
      <c r="B29" s="45">
        <v>9.27</v>
      </c>
      <c r="C29" s="46">
        <v>5.36</v>
      </c>
      <c r="D29" s="20">
        <v>57.820927723840356</v>
      </c>
      <c r="E29" s="47">
        <v>30984</v>
      </c>
      <c r="F29" s="47">
        <v>80220</v>
      </c>
      <c r="G29" s="47">
        <v>41109</v>
      </c>
      <c r="H29" s="50">
        <v>43.285963600099727</v>
      </c>
      <c r="I29" s="9"/>
      <c r="K29"/>
    </row>
    <row r="30" spans="1:15" ht="20.25" customHeight="1" x14ac:dyDescent="0.3">
      <c r="A30" s="12" t="s">
        <v>15</v>
      </c>
      <c r="B30" s="45">
        <v>11.08</v>
      </c>
      <c r="C30" s="46">
        <v>4.05</v>
      </c>
      <c r="D30" s="20">
        <v>36.552346570397113</v>
      </c>
      <c r="E30" s="47">
        <v>93717</v>
      </c>
      <c r="F30" s="47">
        <v>210041</v>
      </c>
      <c r="G30" s="47">
        <v>106842</v>
      </c>
      <c r="H30" s="50">
        <v>18.012673716084002</v>
      </c>
      <c r="I30" s="9"/>
      <c r="K30"/>
    </row>
    <row r="31" spans="1:15" ht="20.25" customHeight="1" x14ac:dyDescent="0.3">
      <c r="A31" s="12" t="s">
        <v>16</v>
      </c>
      <c r="B31" s="45">
        <v>2.9</v>
      </c>
      <c r="C31" s="46">
        <v>1.9</v>
      </c>
      <c r="D31" s="20">
        <v>65.517241379310349</v>
      </c>
      <c r="E31" s="47">
        <v>13059</v>
      </c>
      <c r="F31" s="47">
        <v>31516</v>
      </c>
      <c r="G31" s="47">
        <v>15515</v>
      </c>
      <c r="H31" s="50">
        <v>41.439268942759234</v>
      </c>
      <c r="I31" s="9"/>
      <c r="K31"/>
    </row>
    <row r="32" spans="1:15" ht="20.25" customHeight="1" x14ac:dyDescent="0.3">
      <c r="A32" s="12" t="s">
        <v>17</v>
      </c>
      <c r="B32" s="45">
        <v>5.26</v>
      </c>
      <c r="C32" s="46">
        <v>2.19</v>
      </c>
      <c r="D32" s="20">
        <v>41.634980988593156</v>
      </c>
      <c r="E32" s="47">
        <v>32780</v>
      </c>
      <c r="F32" s="47">
        <v>72319</v>
      </c>
      <c r="G32" s="47">
        <v>36751</v>
      </c>
      <c r="H32" s="50">
        <v>22.142175638490578</v>
      </c>
      <c r="I32" s="9"/>
      <c r="K32"/>
    </row>
    <row r="33" spans="1:11" ht="20.25" customHeight="1" x14ac:dyDescent="0.3">
      <c r="A33" s="12" t="s">
        <v>18</v>
      </c>
      <c r="B33" s="45">
        <v>8.3000000000000007</v>
      </c>
      <c r="C33" s="46">
        <v>4.32</v>
      </c>
      <c r="D33" s="20">
        <v>52.048192771084331</v>
      </c>
      <c r="E33" s="47">
        <v>37085</v>
      </c>
      <c r="F33" s="47">
        <v>83951</v>
      </c>
      <c r="G33" s="47">
        <v>41958</v>
      </c>
      <c r="H33" s="50">
        <v>31.525532751247752</v>
      </c>
      <c r="I33" s="9"/>
      <c r="K33"/>
    </row>
    <row r="34" spans="1:11" ht="20.25" customHeight="1" x14ac:dyDescent="0.3">
      <c r="A34" s="12" t="s">
        <v>19</v>
      </c>
      <c r="B34" s="45">
        <v>10.15</v>
      </c>
      <c r="C34" s="46">
        <v>4.5999999999999996</v>
      </c>
      <c r="D34" s="20">
        <v>45.320197044334968</v>
      </c>
      <c r="E34" s="48">
        <v>50905</v>
      </c>
      <c r="F34" s="48">
        <v>110516</v>
      </c>
      <c r="G34" s="48">
        <v>56396</v>
      </c>
      <c r="H34" s="50">
        <v>34.183285678091863</v>
      </c>
      <c r="I34" s="9"/>
      <c r="K34"/>
    </row>
    <row r="35" spans="1:11" ht="20.25" customHeight="1" x14ac:dyDescent="0.25">
      <c r="A35" s="12" t="s">
        <v>9</v>
      </c>
      <c r="B35" s="45">
        <v>2.74</v>
      </c>
      <c r="C35" s="46">
        <v>1.74</v>
      </c>
      <c r="D35" s="20">
        <v>63.503649635036496</v>
      </c>
      <c r="E35" s="49">
        <v>7672</v>
      </c>
      <c r="F35" s="49">
        <v>19102</v>
      </c>
      <c r="G35" s="49">
        <v>10004</v>
      </c>
      <c r="H35" s="50">
        <v>58.789655533451992</v>
      </c>
      <c r="I35" s="9"/>
      <c r="K35"/>
    </row>
    <row r="36" spans="1:11" ht="36" customHeight="1" x14ac:dyDescent="0.3">
      <c r="A36" s="71"/>
      <c r="B36" s="72"/>
      <c r="C36" s="72"/>
      <c r="D36" s="72"/>
      <c r="E36" s="72"/>
      <c r="F36" s="72"/>
      <c r="G36" s="72"/>
      <c r="H36" s="72"/>
    </row>
  </sheetData>
  <mergeCells count="14">
    <mergeCell ref="A18:J18"/>
    <mergeCell ref="B21:D21"/>
    <mergeCell ref="A21:A22"/>
    <mergeCell ref="E21:H21"/>
    <mergeCell ref="A36:H36"/>
    <mergeCell ref="A2:J2"/>
    <mergeCell ref="H3:I3"/>
    <mergeCell ref="A20:J20"/>
    <mergeCell ref="A3:A4"/>
    <mergeCell ref="B3:B4"/>
    <mergeCell ref="C3:C4"/>
    <mergeCell ref="E3:E4"/>
    <mergeCell ref="G3:G4"/>
    <mergeCell ref="A19:J19"/>
  </mergeCells>
  <phoneticPr fontId="1" type="noConversion"/>
  <pageMargins left="0.74803149606299213" right="0.74803149606299213" top="0" bottom="0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A16" workbookViewId="0">
      <selection activeCell="I15" sqref="I15"/>
    </sheetView>
  </sheetViews>
  <sheetFormatPr defaultColWidth="8.7109375" defaultRowHeight="15" x14ac:dyDescent="0.3"/>
  <cols>
    <col min="1" max="1" width="15" style="21" customWidth="1"/>
    <col min="2" max="8" width="9.7109375" style="21" customWidth="1"/>
    <col min="9" max="9" width="25.35546875" style="21" customWidth="1"/>
    <col min="10" max="16384" width="8.7109375" style="21"/>
  </cols>
  <sheetData>
    <row r="1" spans="1:8" s="23" customFormat="1" ht="22.75" x14ac:dyDescent="0.45">
      <c r="A1" s="94" t="s">
        <v>75</v>
      </c>
      <c r="B1" s="94"/>
      <c r="C1" s="94"/>
      <c r="D1" s="94"/>
      <c r="E1" s="94"/>
      <c r="F1" s="94"/>
      <c r="G1" s="94"/>
    </row>
    <row r="2" spans="1:8" s="23" customFormat="1" x14ac:dyDescent="0.3">
      <c r="F2" s="95" t="s">
        <v>39</v>
      </c>
      <c r="G2" s="95"/>
      <c r="H2" s="44"/>
    </row>
    <row r="3" spans="1:8" s="23" customFormat="1" x14ac:dyDescent="0.3">
      <c r="A3" s="100"/>
      <c r="B3" s="96" t="s">
        <v>55</v>
      </c>
      <c r="C3" s="96" t="s">
        <v>54</v>
      </c>
      <c r="D3" s="96" t="s">
        <v>53</v>
      </c>
      <c r="E3" s="96" t="s">
        <v>52</v>
      </c>
      <c r="F3" s="96" t="s">
        <v>51</v>
      </c>
      <c r="G3" s="99" t="s">
        <v>74</v>
      </c>
      <c r="H3" s="99" t="s">
        <v>50</v>
      </c>
    </row>
    <row r="4" spans="1:8" s="23" customFormat="1" x14ac:dyDescent="0.3">
      <c r="A4" s="100"/>
      <c r="B4" s="96"/>
      <c r="C4" s="96"/>
      <c r="D4" s="96"/>
      <c r="E4" s="96"/>
      <c r="F4" s="96"/>
      <c r="G4" s="99"/>
      <c r="H4" s="99"/>
    </row>
    <row r="5" spans="1:8" s="23" customFormat="1" ht="20.5" customHeight="1" x14ac:dyDescent="0.3">
      <c r="A5" s="43" t="s">
        <v>49</v>
      </c>
      <c r="B5" s="60">
        <v>665650</v>
      </c>
      <c r="C5" s="60">
        <v>324542</v>
      </c>
      <c r="D5" s="60">
        <v>12038</v>
      </c>
      <c r="E5" s="60">
        <v>32264</v>
      </c>
      <c r="F5" s="60">
        <v>141</v>
      </c>
      <c r="G5" s="60">
        <v>943</v>
      </c>
      <c r="H5" s="34">
        <v>704</v>
      </c>
    </row>
    <row r="6" spans="1:8" s="23" customFormat="1" ht="20.5" customHeight="1" x14ac:dyDescent="0.3">
      <c r="A6" s="43" t="s">
        <v>48</v>
      </c>
      <c r="B6" s="53">
        <v>23739</v>
      </c>
      <c r="C6" s="53">
        <v>7894</v>
      </c>
      <c r="D6" s="53">
        <v>60</v>
      </c>
      <c r="E6" s="53">
        <v>445</v>
      </c>
      <c r="F6" s="53">
        <v>5</v>
      </c>
      <c r="G6" s="53">
        <v>24</v>
      </c>
      <c r="H6" s="42">
        <v>22</v>
      </c>
    </row>
    <row r="7" spans="1:8" s="23" customFormat="1" ht="20.5" customHeight="1" x14ac:dyDescent="0.3">
      <c r="A7" s="43" t="s">
        <v>47</v>
      </c>
      <c r="B7" s="52">
        <v>125749</v>
      </c>
      <c r="C7" s="52">
        <v>51958</v>
      </c>
      <c r="D7" s="52">
        <v>4266</v>
      </c>
      <c r="E7" s="52">
        <v>4198</v>
      </c>
      <c r="F7" s="52">
        <v>80</v>
      </c>
      <c r="G7" s="52">
        <v>508</v>
      </c>
      <c r="H7" s="42">
        <v>171</v>
      </c>
    </row>
    <row r="8" spans="1:8" s="23" customFormat="1" ht="20.5" customHeight="1" x14ac:dyDescent="0.3">
      <c r="A8" s="43" t="s">
        <v>46</v>
      </c>
      <c r="B8" s="54">
        <v>18629</v>
      </c>
      <c r="C8" s="54">
        <v>25050</v>
      </c>
      <c r="D8" s="54">
        <v>184</v>
      </c>
      <c r="E8" s="54">
        <v>523</v>
      </c>
      <c r="F8" s="54">
        <v>0</v>
      </c>
      <c r="G8" s="54">
        <v>36</v>
      </c>
      <c r="H8" s="42">
        <v>18</v>
      </c>
    </row>
    <row r="9" spans="1:8" s="23" customFormat="1" ht="20.5" customHeight="1" x14ac:dyDescent="0.3">
      <c r="A9" s="43" t="s">
        <v>45</v>
      </c>
      <c r="B9" s="55">
        <v>12175</v>
      </c>
      <c r="C9" s="55">
        <v>22232</v>
      </c>
      <c r="D9" s="55">
        <v>36</v>
      </c>
      <c r="E9" s="55">
        <v>120</v>
      </c>
      <c r="F9" s="55">
        <v>6</v>
      </c>
      <c r="G9" s="55">
        <v>37</v>
      </c>
      <c r="H9" s="42">
        <v>14</v>
      </c>
    </row>
    <row r="10" spans="1:8" s="23" customFormat="1" ht="20.5" customHeight="1" x14ac:dyDescent="0.3">
      <c r="A10" s="43" t="s">
        <v>44</v>
      </c>
      <c r="B10" s="56">
        <v>43250</v>
      </c>
      <c r="C10" s="56">
        <v>24055</v>
      </c>
      <c r="D10" s="56">
        <v>271</v>
      </c>
      <c r="E10" s="56">
        <v>413</v>
      </c>
      <c r="F10" s="56">
        <v>5</v>
      </c>
      <c r="G10" s="56">
        <v>72</v>
      </c>
      <c r="H10" s="42">
        <v>36</v>
      </c>
    </row>
    <row r="11" spans="1:8" s="23" customFormat="1" ht="20.5" customHeight="1" x14ac:dyDescent="0.3">
      <c r="A11" s="43" t="s">
        <v>43</v>
      </c>
      <c r="B11" s="57">
        <v>28955</v>
      </c>
      <c r="C11" s="57">
        <v>51259</v>
      </c>
      <c r="D11" s="57">
        <v>419</v>
      </c>
      <c r="E11" s="57">
        <v>716</v>
      </c>
      <c r="F11" s="57">
        <v>8</v>
      </c>
      <c r="G11" s="57">
        <v>45</v>
      </c>
      <c r="H11" s="42">
        <v>36</v>
      </c>
    </row>
    <row r="12" spans="1:8" s="23" customFormat="1" ht="20.5" customHeight="1" x14ac:dyDescent="0.3">
      <c r="A12" s="43" t="s">
        <v>42</v>
      </c>
      <c r="B12" s="53">
        <v>23857</v>
      </c>
      <c r="C12" s="53">
        <v>55220</v>
      </c>
      <c r="D12" s="53">
        <v>493</v>
      </c>
      <c r="E12" s="53">
        <v>516</v>
      </c>
      <c r="F12" s="53">
        <v>8</v>
      </c>
      <c r="G12" s="53">
        <v>112</v>
      </c>
      <c r="H12" s="42">
        <v>14</v>
      </c>
    </row>
    <row r="13" spans="1:8" s="23" customFormat="1" ht="20.5" customHeight="1" x14ac:dyDescent="0.3">
      <c r="A13" s="43" t="s">
        <v>41</v>
      </c>
      <c r="B13" s="56">
        <v>195095</v>
      </c>
      <c r="C13" s="56">
        <v>6944</v>
      </c>
      <c r="D13" s="56">
        <v>535</v>
      </c>
      <c r="E13" s="56">
        <v>7271</v>
      </c>
      <c r="F13" s="56">
        <v>16</v>
      </c>
      <c r="G13" s="56">
        <v>27</v>
      </c>
      <c r="H13" s="42">
        <v>153</v>
      </c>
    </row>
    <row r="14" spans="1:8" s="23" customFormat="1" ht="20.5" customHeight="1" x14ac:dyDescent="0.3">
      <c r="A14" s="43" t="s">
        <v>23</v>
      </c>
      <c r="B14" s="52">
        <v>11912</v>
      </c>
      <c r="C14" s="52">
        <v>19460</v>
      </c>
      <c r="D14" s="52">
        <v>37</v>
      </c>
      <c r="E14" s="52">
        <v>73</v>
      </c>
      <c r="F14" s="52"/>
      <c r="G14" s="52">
        <v>15</v>
      </c>
      <c r="H14" s="42">
        <v>19</v>
      </c>
    </row>
    <row r="15" spans="1:8" s="23" customFormat="1" ht="20.5" customHeight="1" x14ac:dyDescent="0.3">
      <c r="A15" s="43" t="s">
        <v>40</v>
      </c>
      <c r="B15" s="58">
        <v>49498</v>
      </c>
      <c r="C15" s="58">
        <v>22184</v>
      </c>
      <c r="D15" s="58">
        <v>97</v>
      </c>
      <c r="E15" s="58">
        <v>486</v>
      </c>
      <c r="F15" s="58">
        <v>0</v>
      </c>
      <c r="G15" s="58">
        <v>25</v>
      </c>
      <c r="H15" s="42">
        <v>29</v>
      </c>
    </row>
    <row r="16" spans="1:8" s="23" customFormat="1" ht="20.5" customHeight="1" x14ac:dyDescent="0.3">
      <c r="A16" s="43" t="s">
        <v>24</v>
      </c>
      <c r="B16" s="59">
        <v>45645</v>
      </c>
      <c r="C16" s="59">
        <v>32422</v>
      </c>
      <c r="D16" s="59">
        <v>1274</v>
      </c>
      <c r="E16" s="59">
        <v>4481</v>
      </c>
      <c r="F16" s="59">
        <v>2</v>
      </c>
      <c r="G16" s="59">
        <v>36</v>
      </c>
      <c r="H16" s="42">
        <v>91</v>
      </c>
    </row>
    <row r="17" spans="1:13" s="23" customFormat="1" ht="20.5" customHeight="1" x14ac:dyDescent="0.3">
      <c r="A17" s="43" t="s">
        <v>25</v>
      </c>
      <c r="B17" s="52">
        <v>87146</v>
      </c>
      <c r="C17" s="52">
        <v>5864</v>
      </c>
      <c r="D17" s="52">
        <v>4366</v>
      </c>
      <c r="E17" s="52">
        <v>13022</v>
      </c>
      <c r="F17" s="52">
        <v>11</v>
      </c>
      <c r="G17" s="52">
        <v>6</v>
      </c>
      <c r="H17" s="42">
        <v>101</v>
      </c>
    </row>
    <row r="18" spans="1:13" s="23" customFormat="1" ht="44.25" customHeight="1" x14ac:dyDescent="0.4">
      <c r="A18" s="98" t="s">
        <v>73</v>
      </c>
      <c r="B18" s="98"/>
      <c r="C18" s="98"/>
      <c r="D18" s="98"/>
      <c r="E18" s="98"/>
      <c r="F18" s="98"/>
      <c r="G18" s="98"/>
      <c r="H18" s="98"/>
    </row>
    <row r="19" spans="1:13" s="23" customFormat="1" x14ac:dyDescent="0.3">
      <c r="A19" s="41"/>
      <c r="B19" s="40"/>
      <c r="C19" s="40"/>
      <c r="D19" s="40"/>
      <c r="E19" s="102" t="s">
        <v>77</v>
      </c>
      <c r="F19" s="102"/>
      <c r="G19" s="102"/>
      <c r="H19" s="102"/>
    </row>
    <row r="20" spans="1:13" s="23" customFormat="1" x14ac:dyDescent="0.3">
      <c r="A20" s="101"/>
      <c r="B20" s="101" t="s">
        <v>70</v>
      </c>
      <c r="C20" s="101"/>
      <c r="D20" s="101"/>
      <c r="E20" s="97" t="s">
        <v>38</v>
      </c>
      <c r="F20" s="97"/>
      <c r="G20" s="97"/>
      <c r="H20" s="97"/>
      <c r="I20" s="36"/>
    </row>
    <row r="21" spans="1:13" s="23" customFormat="1" ht="21.75" customHeight="1" x14ac:dyDescent="0.3">
      <c r="A21" s="101"/>
      <c r="B21" s="39" t="s">
        <v>72</v>
      </c>
      <c r="C21" s="39" t="s">
        <v>71</v>
      </c>
      <c r="D21" s="39" t="s">
        <v>70</v>
      </c>
      <c r="E21" s="38" t="s">
        <v>37</v>
      </c>
      <c r="F21" s="38" t="s">
        <v>36</v>
      </c>
      <c r="G21" s="38" t="s">
        <v>35</v>
      </c>
      <c r="H21" s="37" t="s">
        <v>34</v>
      </c>
      <c r="I21" s="36"/>
      <c r="J21" s="35"/>
      <c r="K21" s="35"/>
      <c r="L21" s="35"/>
    </row>
    <row r="22" spans="1:13" s="23" customFormat="1" ht="21" customHeight="1" x14ac:dyDescent="0.3">
      <c r="A22" s="29" t="s">
        <v>69</v>
      </c>
      <c r="B22" s="28">
        <v>10761</v>
      </c>
      <c r="C22" s="34">
        <v>5293</v>
      </c>
      <c r="D22" s="51">
        <v>5.2765559953757748</v>
      </c>
      <c r="E22" s="28">
        <v>169065</v>
      </c>
      <c r="F22" s="28">
        <v>253021</v>
      </c>
      <c r="G22" s="28">
        <v>449076</v>
      </c>
      <c r="H22" s="27">
        <v>165120</v>
      </c>
      <c r="I22" s="33"/>
      <c r="J22" s="26"/>
      <c r="K22" s="25"/>
      <c r="L22" s="25"/>
      <c r="M22" s="24"/>
    </row>
    <row r="23" spans="1:13" s="23" customFormat="1" ht="21" customHeight="1" x14ac:dyDescent="0.3">
      <c r="A23" s="29" t="s">
        <v>3</v>
      </c>
      <c r="B23" s="28">
        <v>369</v>
      </c>
      <c r="C23" s="28">
        <v>71</v>
      </c>
      <c r="D23" s="51">
        <v>9.2578209947497587</v>
      </c>
      <c r="E23" s="28">
        <v>9452</v>
      </c>
      <c r="F23" s="28">
        <v>9628</v>
      </c>
      <c r="G23" s="28">
        <v>11539</v>
      </c>
      <c r="H23" s="27">
        <v>1570</v>
      </c>
      <c r="I23" s="26"/>
      <c r="J23" s="26"/>
      <c r="K23" s="25"/>
      <c r="L23" s="25"/>
      <c r="M23" s="24"/>
    </row>
    <row r="24" spans="1:13" s="23" customFormat="1" ht="21" customHeight="1" x14ac:dyDescent="0.3">
      <c r="A24" s="29" t="s">
        <v>4</v>
      </c>
      <c r="B24" s="28">
        <v>2262</v>
      </c>
      <c r="C24" s="28">
        <v>421</v>
      </c>
      <c r="D24" s="51">
        <v>9.8486064302145202</v>
      </c>
      <c r="E24" s="32">
        <v>28310</v>
      </c>
      <c r="F24" s="32">
        <v>47506</v>
      </c>
      <c r="G24" s="32">
        <v>81936</v>
      </c>
      <c r="H24" s="31">
        <v>29178</v>
      </c>
      <c r="I24" s="26"/>
      <c r="J24" s="26"/>
      <c r="K24" s="25"/>
      <c r="L24" s="25"/>
      <c r="M24" s="24"/>
    </row>
    <row r="25" spans="1:13" s="23" customFormat="1" ht="21" customHeight="1" x14ac:dyDescent="0.3">
      <c r="A25" s="29" t="s">
        <v>68</v>
      </c>
      <c r="B25" s="28">
        <v>390</v>
      </c>
      <c r="C25" s="28">
        <v>238</v>
      </c>
      <c r="D25" s="51">
        <v>3.4203420342034185</v>
      </c>
      <c r="E25" s="28">
        <v>6728</v>
      </c>
      <c r="F25" s="28">
        <v>11026</v>
      </c>
      <c r="G25" s="28">
        <v>19840</v>
      </c>
      <c r="H25" s="27">
        <v>6846</v>
      </c>
      <c r="I25" s="26"/>
      <c r="J25" s="26"/>
      <c r="K25" s="25"/>
      <c r="L25" s="25"/>
      <c r="M25" s="24"/>
    </row>
    <row r="26" spans="1:13" s="23" customFormat="1" ht="21" customHeight="1" x14ac:dyDescent="0.3">
      <c r="A26" s="29" t="s">
        <v>5</v>
      </c>
      <c r="B26" s="28">
        <v>341</v>
      </c>
      <c r="C26" s="28">
        <v>183</v>
      </c>
      <c r="D26" s="51">
        <v>4.5638359329867111</v>
      </c>
      <c r="E26" s="28">
        <v>5811</v>
      </c>
      <c r="F26" s="28">
        <v>9127</v>
      </c>
      <c r="G26" s="28">
        <v>14934</v>
      </c>
      <c r="H26" s="27">
        <v>4748</v>
      </c>
      <c r="I26" s="26"/>
      <c r="J26" s="26"/>
      <c r="K26" s="25"/>
      <c r="L26" s="25"/>
      <c r="M26" s="24"/>
    </row>
    <row r="27" spans="1:13" s="23" customFormat="1" ht="21" customHeight="1" x14ac:dyDescent="0.3">
      <c r="A27" s="30" t="s">
        <v>6</v>
      </c>
      <c r="B27" s="28">
        <v>673</v>
      </c>
      <c r="C27" s="28">
        <v>418</v>
      </c>
      <c r="D27" s="51">
        <v>3.744383424862705</v>
      </c>
      <c r="E27" s="28">
        <v>9487</v>
      </c>
      <c r="F27" s="28">
        <v>15534</v>
      </c>
      <c r="G27" s="28">
        <v>31003</v>
      </c>
      <c r="H27" s="27">
        <v>12078</v>
      </c>
      <c r="I27" s="26"/>
      <c r="J27" s="26"/>
      <c r="K27" s="25"/>
      <c r="L27" s="25"/>
      <c r="M27" s="24"/>
    </row>
    <row r="28" spans="1:13" s="23" customFormat="1" ht="21" customHeight="1" x14ac:dyDescent="0.3">
      <c r="A28" s="29" t="s">
        <v>67</v>
      </c>
      <c r="B28" s="28">
        <v>864</v>
      </c>
      <c r="C28" s="28">
        <v>359</v>
      </c>
      <c r="D28" s="51">
        <v>6.2010363712271914</v>
      </c>
      <c r="E28" s="28">
        <v>15372</v>
      </c>
      <c r="F28" s="28">
        <v>22078</v>
      </c>
      <c r="G28" s="28">
        <v>34501</v>
      </c>
      <c r="H28" s="27">
        <v>9487</v>
      </c>
      <c r="I28" s="26"/>
      <c r="J28" s="26"/>
      <c r="K28" s="25"/>
      <c r="L28" s="25"/>
      <c r="M28" s="24"/>
    </row>
    <row r="29" spans="1:13" s="23" customFormat="1" ht="21" customHeight="1" x14ac:dyDescent="0.3">
      <c r="A29" s="29" t="s">
        <v>66</v>
      </c>
      <c r="B29" s="28">
        <v>896</v>
      </c>
      <c r="C29" s="28">
        <v>431</v>
      </c>
      <c r="D29" s="51">
        <v>5.7965594614809275</v>
      </c>
      <c r="E29" s="28">
        <v>14685</v>
      </c>
      <c r="F29" s="28">
        <v>21912</v>
      </c>
      <c r="G29" s="28">
        <v>34634</v>
      </c>
      <c r="H29" s="27">
        <v>8989</v>
      </c>
      <c r="I29" s="26"/>
      <c r="J29" s="26"/>
      <c r="K29" s="25"/>
      <c r="L29" s="25"/>
      <c r="M29" s="24"/>
    </row>
    <row r="30" spans="1:13" s="23" customFormat="1" ht="21" customHeight="1" x14ac:dyDescent="0.3">
      <c r="A30" s="29" t="s">
        <v>65</v>
      </c>
      <c r="B30" s="28">
        <v>1611</v>
      </c>
      <c r="C30" s="28">
        <v>1886</v>
      </c>
      <c r="D30" s="51">
        <v>-1.3092681904961418</v>
      </c>
      <c r="E30" s="28">
        <v>31651</v>
      </c>
      <c r="F30" s="28">
        <v>42150</v>
      </c>
      <c r="G30" s="28">
        <v>92962</v>
      </c>
      <c r="H30" s="27">
        <v>43278</v>
      </c>
      <c r="I30" s="26"/>
      <c r="J30" s="26"/>
      <c r="K30" s="25"/>
      <c r="L30" s="25"/>
      <c r="M30" s="24"/>
    </row>
    <row r="31" spans="1:13" s="23" customFormat="1" ht="21" customHeight="1" x14ac:dyDescent="0.3">
      <c r="A31" s="29" t="s">
        <v>64</v>
      </c>
      <c r="B31" s="28">
        <v>337</v>
      </c>
      <c r="C31" s="28">
        <v>148</v>
      </c>
      <c r="D31" s="51">
        <v>5.9969539281634727</v>
      </c>
      <c r="E31" s="28">
        <v>4801</v>
      </c>
      <c r="F31" s="28">
        <v>7721</v>
      </c>
      <c r="G31" s="28">
        <v>14189</v>
      </c>
      <c r="H31" s="27">
        <v>4805</v>
      </c>
      <c r="I31" s="26"/>
      <c r="J31" s="26"/>
      <c r="K31" s="25"/>
      <c r="L31" s="25"/>
      <c r="M31" s="24"/>
    </row>
    <row r="32" spans="1:13" s="23" customFormat="1" ht="21" customHeight="1" x14ac:dyDescent="0.3">
      <c r="A32" s="29" t="s">
        <v>63</v>
      </c>
      <c r="B32" s="28">
        <v>610</v>
      </c>
      <c r="C32" s="28">
        <v>297</v>
      </c>
      <c r="D32" s="51">
        <v>4.3280465714404235</v>
      </c>
      <c r="E32" s="28">
        <v>10396</v>
      </c>
      <c r="F32" s="28">
        <v>16697</v>
      </c>
      <c r="G32" s="28">
        <v>32737</v>
      </c>
      <c r="H32" s="27">
        <v>12489</v>
      </c>
      <c r="I32" s="26"/>
      <c r="J32" s="26"/>
      <c r="K32" s="25"/>
      <c r="L32" s="25"/>
      <c r="M32" s="24"/>
    </row>
    <row r="33" spans="1:13" s="23" customFormat="1" ht="21" customHeight="1" x14ac:dyDescent="0.3">
      <c r="A33" s="29" t="s">
        <v>62</v>
      </c>
      <c r="B33" s="28">
        <v>1064</v>
      </c>
      <c r="C33" s="28">
        <v>422</v>
      </c>
      <c r="D33" s="51">
        <v>7.6473180784028782</v>
      </c>
      <c r="E33" s="28">
        <v>12866</v>
      </c>
      <c r="F33" s="28">
        <v>21297</v>
      </c>
      <c r="G33" s="28">
        <v>36582</v>
      </c>
      <c r="H33" s="27">
        <v>13206</v>
      </c>
      <c r="I33" s="26"/>
      <c r="J33" s="26"/>
      <c r="K33" s="25"/>
      <c r="L33" s="25"/>
      <c r="M33" s="24"/>
    </row>
    <row r="34" spans="1:13" s="23" customFormat="1" ht="21" customHeight="1" x14ac:dyDescent="0.3">
      <c r="A34" s="29" t="s">
        <v>61</v>
      </c>
      <c r="B34" s="28">
        <v>1344</v>
      </c>
      <c r="C34" s="28">
        <v>419</v>
      </c>
      <c r="D34" s="51">
        <v>8.3698288030692396</v>
      </c>
      <c r="E34" s="28">
        <v>19506</v>
      </c>
      <c r="F34" s="28">
        <v>28345</v>
      </c>
      <c r="G34" s="28">
        <v>44219</v>
      </c>
      <c r="H34" s="27">
        <v>18446</v>
      </c>
      <c r="I34" s="26"/>
      <c r="J34" s="26"/>
      <c r="K34" s="25"/>
      <c r="L34" s="25"/>
      <c r="M34" s="24"/>
    </row>
    <row r="35" spans="1:13" ht="21" customHeight="1" x14ac:dyDescent="0.3">
      <c r="A35" s="103" t="s">
        <v>76</v>
      </c>
      <c r="B35" s="104"/>
      <c r="C35" s="104"/>
      <c r="D35" s="104"/>
      <c r="E35" s="104"/>
      <c r="F35" s="104"/>
      <c r="G35" s="104"/>
      <c r="I35" s="22"/>
      <c r="J35" s="22"/>
      <c r="K35" s="22"/>
      <c r="L35" s="22"/>
    </row>
    <row r="36" spans="1:13" ht="21" customHeight="1" x14ac:dyDescent="0.3">
      <c r="I36" s="22"/>
      <c r="J36" s="22"/>
      <c r="K36" s="22"/>
      <c r="L36" s="22"/>
    </row>
    <row r="37" spans="1:13" x14ac:dyDescent="0.3">
      <c r="I37" s="22"/>
      <c r="J37" s="22"/>
      <c r="K37" s="22"/>
    </row>
    <row r="38" spans="1:13" x14ac:dyDescent="0.3">
      <c r="I38" s="22"/>
      <c r="J38" s="22"/>
      <c r="K38" s="22"/>
    </row>
  </sheetData>
  <mergeCells count="16">
    <mergeCell ref="A3:A4"/>
    <mergeCell ref="G3:G4"/>
    <mergeCell ref="B20:D20"/>
    <mergeCell ref="E19:H19"/>
    <mergeCell ref="A35:G35"/>
    <mergeCell ref="A20:A21"/>
    <mergeCell ref="A1:G1"/>
    <mergeCell ref="F2:G2"/>
    <mergeCell ref="B3:B4"/>
    <mergeCell ref="E20:H20"/>
    <mergeCell ref="A18:H18"/>
    <mergeCell ref="C3:C4"/>
    <mergeCell ref="D3:D4"/>
    <mergeCell ref="E3:E4"/>
    <mergeCell ref="F3:F4"/>
    <mergeCell ref="H3:H4"/>
  </mergeCells>
  <phoneticPr fontId="16" type="noConversion"/>
  <pageMargins left="0.75" right="0.75" top="1" bottom="1" header="0.5" footer="0.5"/>
  <pageSetup paperSize="9" orientation="portrait" horizontalDpi="300" verticalDpi="3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H3"/>
  <sheetViews>
    <sheetView workbookViewId="0">
      <selection activeCell="H25" sqref="H25"/>
    </sheetView>
  </sheetViews>
  <sheetFormatPr defaultRowHeight="15" x14ac:dyDescent="0.3"/>
  <cols>
    <col min="10" max="10" width="8.140625" customWidth="1"/>
    <col min="13" max="13" width="10.35546875" customWidth="1"/>
  </cols>
  <sheetData>
    <row r="3" spans="6:8" x14ac:dyDescent="0.3">
      <c r="F3" s="7"/>
      <c r="H3" s="7"/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1和2</vt:lpstr>
      <vt:lpstr>3和4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亦哲君</cp:lastModifiedBy>
  <cp:lastPrinted>2016-07-04T02:14:24Z</cp:lastPrinted>
  <dcterms:created xsi:type="dcterms:W3CDTF">2015-09-06T01:22:11Z</dcterms:created>
  <dcterms:modified xsi:type="dcterms:W3CDTF">2025-03-30T13:12:18Z</dcterms:modified>
</cp:coreProperties>
</file>