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1840" windowHeight="9750" activeTab="13"/>
  </bookViews>
  <sheets>
    <sheet name="12和13" sheetId="3" r:id="rId1"/>
    <sheet name="14" sheetId="4" r:id="rId2"/>
    <sheet name="16和15" sheetId="5" r:id="rId3"/>
    <sheet name="17" sheetId="6" r:id="rId4"/>
    <sheet name="18及续" sheetId="7" r:id="rId5"/>
    <sheet name="19及续1" sheetId="8" r:id="rId6"/>
    <sheet name="19续2续3" sheetId="9" r:id="rId7"/>
    <sheet name="20" sheetId="15" r:id="rId8"/>
    <sheet name="21" sheetId="16" r:id="rId9"/>
    <sheet name="23和22" sheetId="17" r:id="rId10"/>
    <sheet name="24及续" sheetId="11" r:id="rId11"/>
    <sheet name="25及续" sheetId="12" r:id="rId12"/>
    <sheet name="26" sheetId="13" r:id="rId13"/>
    <sheet name="27" sheetId="14" r:id="rId14"/>
  </sheets>
  <calcPr calcId="125725" refMode="R1C1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4"/>
  <c r="C23"/>
  <c r="D23"/>
  <c r="E23"/>
  <c r="F23"/>
  <c r="G23"/>
  <c r="B23"/>
  <c r="C5"/>
  <c r="D5"/>
  <c r="E5"/>
  <c r="F5"/>
  <c r="D11" i="5" l="1"/>
  <c r="D14"/>
  <c r="D16"/>
  <c r="D17"/>
  <c r="D18"/>
  <c r="D28"/>
  <c r="D29"/>
  <c r="D30"/>
  <c r="D31"/>
  <c r="D32"/>
  <c r="D33"/>
  <c r="D34"/>
  <c r="D35"/>
  <c r="D36"/>
  <c r="D37"/>
  <c r="D38"/>
  <c r="D40"/>
  <c r="F6" i="15"/>
  <c r="C26"/>
  <c r="D26"/>
  <c r="C40" i="16"/>
  <c r="D40"/>
  <c r="E40"/>
  <c r="F40"/>
  <c r="G40"/>
  <c r="B40"/>
  <c r="C20"/>
  <c r="D20"/>
  <c r="E20"/>
  <c r="F20"/>
  <c r="G20"/>
  <c r="B20"/>
  <c r="B9" i="13"/>
  <c r="B12"/>
  <c r="B14"/>
  <c r="B15"/>
  <c r="B16"/>
  <c r="B4"/>
  <c r="C5" i="8"/>
  <c r="D5"/>
  <c r="E5"/>
  <c r="B5"/>
  <c r="B7" i="11"/>
  <c r="B8"/>
  <c r="B9"/>
  <c r="B10"/>
  <c r="B11"/>
  <c r="B12"/>
  <c r="B13"/>
  <c r="B14"/>
  <c r="B15"/>
  <c r="B16"/>
  <c r="B17"/>
  <c r="B18"/>
  <c r="B19"/>
  <c r="B6"/>
  <c r="C26" i="7"/>
  <c r="C6" i="6"/>
  <c r="D6"/>
  <c r="E6"/>
  <c r="F6"/>
  <c r="B6"/>
  <c r="I24" i="3"/>
  <c r="H24"/>
  <c r="G24"/>
  <c r="F24"/>
  <c r="E24"/>
  <c r="C24"/>
  <c r="B24"/>
  <c r="C6" i="4" l="1"/>
  <c r="D6"/>
  <c r="E6"/>
  <c r="F6"/>
  <c r="G6"/>
  <c r="B6"/>
  <c r="B25"/>
  <c r="C25"/>
  <c r="D25"/>
  <c r="E25"/>
  <c r="F25"/>
  <c r="B6" i="16" l="1"/>
  <c r="C6"/>
  <c r="D6"/>
  <c r="E6"/>
  <c r="F6"/>
  <c r="G6"/>
  <c r="B26"/>
  <c r="C26"/>
  <c r="D26"/>
  <c r="E26"/>
  <c r="F26"/>
  <c r="G26"/>
  <c r="B6" i="14" l="1"/>
  <c r="B7"/>
  <c r="B8"/>
  <c r="B9"/>
  <c r="B10"/>
  <c r="B11"/>
  <c r="B12"/>
  <c r="B13"/>
  <c r="B14"/>
  <c r="B15"/>
  <c r="B18"/>
  <c r="B6" i="12"/>
  <c r="C6"/>
  <c r="D6"/>
  <c r="E6"/>
  <c r="F6"/>
  <c r="G6"/>
  <c r="C25"/>
  <c r="D25"/>
  <c r="E25"/>
  <c r="F25"/>
  <c r="G25"/>
  <c r="H25"/>
  <c r="F5" i="9"/>
  <c r="B19"/>
  <c r="C19"/>
  <c r="D19"/>
  <c r="E19"/>
  <c r="F19"/>
  <c r="B26"/>
  <c r="C26"/>
  <c r="D26"/>
  <c r="E26"/>
  <c r="F26"/>
  <c r="B40"/>
  <c r="C40"/>
  <c r="D40"/>
  <c r="E40"/>
  <c r="F40"/>
  <c r="F5" i="8"/>
  <c r="B19"/>
  <c r="C19"/>
  <c r="D19"/>
  <c r="E19"/>
  <c r="F19"/>
  <c r="B25"/>
  <c r="C25"/>
  <c r="D25"/>
  <c r="E25"/>
  <c r="F25"/>
  <c r="B39"/>
  <c r="C39"/>
  <c r="D39"/>
  <c r="E39"/>
  <c r="F39"/>
  <c r="D26" i="7"/>
  <c r="E26"/>
  <c r="F26"/>
  <c r="H26"/>
  <c r="C40"/>
  <c r="D40"/>
  <c r="E40"/>
  <c r="F40"/>
  <c r="G40"/>
  <c r="H40"/>
  <c r="B24" i="6"/>
  <c r="C24"/>
  <c r="D24"/>
  <c r="E24"/>
  <c r="F24"/>
  <c r="G24"/>
  <c r="B6" i="5"/>
  <c r="C6"/>
  <c r="E6"/>
  <c r="F6"/>
  <c r="B27"/>
  <c r="C27"/>
  <c r="E27"/>
  <c r="F27"/>
  <c r="G25" i="4"/>
  <c r="B5" i="14" l="1"/>
  <c r="D6" i="5"/>
  <c r="D27"/>
</calcChain>
</file>

<file path=xl/sharedStrings.xml><?xml version="1.0" encoding="utf-8"?>
<sst xmlns="http://schemas.openxmlformats.org/spreadsheetml/2006/main" count="597" uniqueCount="195">
  <si>
    <t>期初实有</t>
  </si>
  <si>
    <t>期末实有</t>
  </si>
  <si>
    <t>成活仔畜</t>
  </si>
  <si>
    <t>成幼畜死亡</t>
  </si>
  <si>
    <t>自宰自食</t>
  </si>
  <si>
    <t>出卖肉畜</t>
  </si>
  <si>
    <t>其他减少</t>
    <phoneticPr fontId="3" type="noConversion"/>
  </si>
  <si>
    <t>良种</t>
    <phoneticPr fontId="3" type="noConversion"/>
  </si>
  <si>
    <t>改良种</t>
    <phoneticPr fontId="3" type="noConversion"/>
  </si>
  <si>
    <r>
      <t>全</t>
    </r>
    <r>
      <rPr>
        <b/>
        <sz val="9"/>
        <rFont val="Times New Roman"/>
        <family val="1"/>
      </rPr>
      <t xml:space="preserve">            </t>
    </r>
    <r>
      <rPr>
        <b/>
        <sz val="9"/>
        <rFont val="宋体"/>
        <family val="3"/>
        <charset val="134"/>
      </rPr>
      <t>盟</t>
    </r>
  </si>
  <si>
    <t>二连浩特市</t>
  </si>
  <si>
    <t>锡林浩特市</t>
  </si>
  <si>
    <r>
      <t>阿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巴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嘎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旗</t>
    </r>
  </si>
  <si>
    <t>苏尼特左旗</t>
  </si>
  <si>
    <t>苏尼特右旗</t>
  </si>
  <si>
    <t>东乌珠穆沁旗</t>
  </si>
  <si>
    <t>西乌珠穆沁旗</t>
  </si>
  <si>
    <r>
      <t>太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仆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寺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旗</t>
    </r>
  </si>
  <si>
    <r>
      <t>镶</t>
    </r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黄</t>
    </r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旗</t>
    </r>
  </si>
  <si>
    <t>正  白  旗</t>
  </si>
  <si>
    <r>
      <t>正</t>
    </r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蓝</t>
    </r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旗</t>
    </r>
  </si>
  <si>
    <r>
      <t>多</t>
    </r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伦</t>
    </r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县</t>
    </r>
  </si>
  <si>
    <t>乌拉盖管理区</t>
  </si>
  <si>
    <r>
      <t>正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镶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白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旗</t>
    </r>
  </si>
  <si>
    <r>
      <t xml:space="preserve">22-20  </t>
    </r>
    <r>
      <rPr>
        <sz val="16"/>
        <rFont val="宋体"/>
        <family val="3"/>
        <charset val="134"/>
      </rPr>
      <t>六月末大牲畜和羊增减变动情况</t>
    </r>
    <phoneticPr fontId="3" type="noConversion"/>
  </si>
  <si>
    <t>22-20续表</t>
    <phoneticPr fontId="3" type="noConversion"/>
  </si>
  <si>
    <t>单位:头（只）</t>
    <phoneticPr fontId="3" type="noConversion"/>
  </si>
  <si>
    <r>
      <t>多</t>
    </r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伦</t>
    </r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县</t>
    </r>
  </si>
  <si>
    <r>
      <t>正</t>
    </r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蓝</t>
    </r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旗</t>
    </r>
  </si>
  <si>
    <r>
      <t>正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镶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白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旗</t>
    </r>
  </si>
  <si>
    <r>
      <t>镶</t>
    </r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黄</t>
    </r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旗</t>
    </r>
  </si>
  <si>
    <r>
      <t>太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仆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寺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旗</t>
    </r>
  </si>
  <si>
    <r>
      <t>阿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巴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嘎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旗</t>
    </r>
  </si>
  <si>
    <r>
      <t>全</t>
    </r>
    <r>
      <rPr>
        <b/>
        <sz val="9"/>
        <rFont val="Times New Roman"/>
        <family val="1"/>
      </rPr>
      <t xml:space="preserve">            </t>
    </r>
    <r>
      <rPr>
        <b/>
        <sz val="9"/>
        <rFont val="宋体"/>
        <family val="3"/>
        <charset val="134"/>
      </rPr>
      <t>盟</t>
    </r>
    <phoneticPr fontId="12" type="noConversion"/>
  </si>
  <si>
    <t>#牧区</t>
    <phoneticPr fontId="12" type="noConversion"/>
  </si>
  <si>
    <t>乡村人口</t>
    <phoneticPr fontId="12" type="noConversion"/>
  </si>
  <si>
    <t>乡村户数</t>
    <phoneticPr fontId="12" type="noConversion"/>
  </si>
  <si>
    <t>村民委员会数</t>
    <phoneticPr fontId="12" type="noConversion"/>
  </si>
  <si>
    <t>乡镇政府数</t>
    <phoneticPr fontId="12" type="noConversion"/>
  </si>
  <si>
    <r>
      <t>22-13</t>
    </r>
    <r>
      <rPr>
        <sz val="14"/>
        <color indexed="8"/>
        <rFont val="宋体"/>
        <family val="3"/>
        <charset val="134"/>
      </rPr>
      <t>农村、牧区乡（苏木）镇基本情况</t>
    </r>
    <phoneticPr fontId="12" type="noConversion"/>
  </si>
  <si>
    <t>服务业</t>
  </si>
  <si>
    <t>渔业</t>
  </si>
  <si>
    <t>牧业</t>
  </si>
  <si>
    <t>林业</t>
  </si>
  <si>
    <t>农业</t>
  </si>
  <si>
    <t>合计</t>
    <phoneticPr fontId="12" type="noConversion"/>
  </si>
  <si>
    <t>单位:万元</t>
  </si>
  <si>
    <t>22-12 农林牧渔业总产值</t>
    <phoneticPr fontId="12" type="noConversion"/>
  </si>
  <si>
    <r>
      <t>合</t>
    </r>
    <r>
      <rPr>
        <b/>
        <sz val="9"/>
        <rFont val="Times New Roman"/>
        <family val="1"/>
      </rPr>
      <t xml:space="preserve">            </t>
    </r>
    <r>
      <rPr>
        <b/>
        <sz val="9"/>
        <rFont val="宋体"/>
        <family val="3"/>
        <charset val="134"/>
      </rPr>
      <t>计</t>
    </r>
  </si>
  <si>
    <t>乡村劳动力资源数</t>
    <phoneticPr fontId="12" type="noConversion"/>
  </si>
  <si>
    <t>其他行业</t>
    <phoneticPr fontId="12" type="noConversion"/>
  </si>
  <si>
    <t>住宿和餐饮业</t>
    <phoneticPr fontId="12" type="noConversion"/>
  </si>
  <si>
    <t>批发与零售业</t>
    <phoneticPr fontId="12" type="noConversion"/>
  </si>
  <si>
    <t>信息传输计算机和软件</t>
    <phoneticPr fontId="12" type="noConversion"/>
  </si>
  <si>
    <t>交通运输仓储和邮政</t>
    <phoneticPr fontId="12" type="noConversion"/>
  </si>
  <si>
    <t>22-14 续表</t>
    <phoneticPr fontId="12" type="noConversion"/>
  </si>
  <si>
    <r>
      <t>锡</t>
    </r>
    <r>
      <rPr>
        <b/>
        <sz val="9"/>
        <rFont val="Times New Roman"/>
        <family val="1"/>
      </rPr>
      <t xml:space="preserve">            </t>
    </r>
    <r>
      <rPr>
        <b/>
        <sz val="9"/>
        <rFont val="宋体"/>
        <family val="3"/>
        <charset val="134"/>
      </rPr>
      <t>盟</t>
    </r>
  </si>
  <si>
    <t>牧业</t>
    <phoneticPr fontId="12" type="noConversion"/>
  </si>
  <si>
    <t>男</t>
  </si>
  <si>
    <t>建筑业</t>
    <phoneticPr fontId="12" type="noConversion"/>
  </si>
  <si>
    <t>工业</t>
    <phoneticPr fontId="12" type="noConversion"/>
  </si>
  <si>
    <t>农林牧          渔   业</t>
  </si>
  <si>
    <t>从业人员</t>
    <phoneticPr fontId="12" type="noConversion"/>
  </si>
  <si>
    <r>
      <t xml:space="preserve">22-14 </t>
    </r>
    <r>
      <rPr>
        <sz val="16"/>
        <rFont val="宋体"/>
        <family val="3"/>
        <charset val="134"/>
      </rPr>
      <t>农村牧区从业人员和劳动力资源</t>
    </r>
    <phoneticPr fontId="12" type="noConversion"/>
  </si>
  <si>
    <t>女</t>
  </si>
  <si>
    <r>
      <t>农林牧</t>
    </r>
    <r>
      <rPr>
        <sz val="9"/>
        <rFont val="Times New Roman"/>
        <family val="1"/>
      </rPr>
      <t xml:space="preserve">         </t>
    </r>
    <r>
      <rPr>
        <sz val="9"/>
        <rFont val="宋体"/>
        <family val="3"/>
        <charset val="134"/>
      </rPr>
      <t>渔</t>
    </r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业</t>
    </r>
  </si>
  <si>
    <t>合计</t>
  </si>
  <si>
    <r>
      <t>单位</t>
    </r>
    <r>
      <rPr>
        <sz val="10"/>
        <rFont val="Times New Roman"/>
        <family val="1"/>
      </rPr>
      <t>:</t>
    </r>
    <r>
      <rPr>
        <sz val="10"/>
        <rFont val="宋体"/>
        <family val="3"/>
        <charset val="134"/>
      </rPr>
      <t>人</t>
    </r>
  </si>
  <si>
    <r>
      <t xml:space="preserve">22-16 </t>
    </r>
    <r>
      <rPr>
        <sz val="16"/>
        <rFont val="宋体"/>
        <family val="3"/>
        <charset val="134"/>
      </rPr>
      <t>牧区从业人员</t>
    </r>
    <phoneticPr fontId="12" type="noConversion"/>
  </si>
  <si>
    <r>
      <t xml:space="preserve">22-15 </t>
    </r>
    <r>
      <rPr>
        <sz val="16"/>
        <rFont val="宋体"/>
        <family val="3"/>
        <charset val="134"/>
      </rPr>
      <t>农区从业人员</t>
    </r>
    <phoneticPr fontId="12" type="noConversion"/>
  </si>
  <si>
    <t>乌拉盖</t>
  </si>
  <si>
    <t>多伦县</t>
    <phoneticPr fontId="12" type="noConversion"/>
  </si>
  <si>
    <t>蓝旗</t>
  </si>
  <si>
    <t>白旗</t>
  </si>
  <si>
    <t>黄旗</t>
  </si>
  <si>
    <t>太旗</t>
  </si>
  <si>
    <t>西乌旗</t>
    <phoneticPr fontId="12" type="noConversion"/>
  </si>
  <si>
    <t>东乌</t>
    <phoneticPr fontId="12" type="noConversion"/>
  </si>
  <si>
    <t>西苏旗</t>
    <phoneticPr fontId="12" type="noConversion"/>
  </si>
  <si>
    <t>东苏旗</t>
    <phoneticPr fontId="12" type="noConversion"/>
  </si>
  <si>
    <t>阿旗</t>
    <phoneticPr fontId="12" type="noConversion"/>
  </si>
  <si>
    <t>锡市</t>
  </si>
  <si>
    <t>二连市</t>
    <phoneticPr fontId="12" type="noConversion"/>
  </si>
  <si>
    <t>全盟</t>
  </si>
  <si>
    <t>#青饲料</t>
    <phoneticPr fontId="12" type="noConversion"/>
  </si>
  <si>
    <t>其他农作物</t>
    <phoneticPr fontId="12" type="noConversion"/>
  </si>
  <si>
    <r>
      <t>瓜</t>
    </r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果</t>
    </r>
    <phoneticPr fontId="12" type="noConversion"/>
  </si>
  <si>
    <r>
      <t>蔬</t>
    </r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菜</t>
    </r>
    <phoneticPr fontId="12" type="noConversion"/>
  </si>
  <si>
    <r>
      <t>甜</t>
    </r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菜</t>
    </r>
  </si>
  <si>
    <r>
      <t>油</t>
    </r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料</t>
    </r>
  </si>
  <si>
    <r>
      <t xml:space="preserve">22-17 </t>
    </r>
    <r>
      <rPr>
        <sz val="11"/>
        <color indexed="8"/>
        <rFont val="宋体"/>
        <family val="3"/>
        <charset val="134"/>
      </rPr>
      <t xml:space="preserve">续表 </t>
    </r>
    <phoneticPr fontId="12" type="noConversion"/>
  </si>
  <si>
    <t>莜麦</t>
  </si>
  <si>
    <t>玉米</t>
  </si>
  <si>
    <t>小麦</t>
  </si>
  <si>
    <t>薯类（折粮）</t>
  </si>
  <si>
    <t>豆类</t>
  </si>
  <si>
    <t>粮食</t>
  </si>
  <si>
    <r>
      <t xml:space="preserve">22-17 </t>
    </r>
    <r>
      <rPr>
        <sz val="11"/>
        <color indexed="8"/>
        <rFont val="方正小标宋简体"/>
        <family val="3"/>
        <charset val="134"/>
      </rPr>
      <t xml:space="preserve">农作物播种面积                 </t>
    </r>
    <phoneticPr fontId="12" type="noConversion"/>
  </si>
  <si>
    <t>单位：吨</t>
  </si>
  <si>
    <t>22-18续表</t>
    <phoneticPr fontId="12" type="noConversion"/>
  </si>
  <si>
    <t xml:space="preserve">22-18  农作物产量                   </t>
    <phoneticPr fontId="12" type="noConversion"/>
  </si>
  <si>
    <t>奶类产量（吨）</t>
  </si>
  <si>
    <t>禽肉产量（吨）</t>
  </si>
  <si>
    <t>驼肉产量（吨）</t>
  </si>
  <si>
    <t>羊肉产量（吨）</t>
  </si>
  <si>
    <t>牛肉产量（吨）</t>
  </si>
  <si>
    <r>
      <t>22-19</t>
    </r>
    <r>
      <rPr>
        <sz val="12"/>
        <rFont val="宋体"/>
        <family val="3"/>
        <charset val="134"/>
      </rPr>
      <t>续表</t>
    </r>
    <r>
      <rPr>
        <sz val="12"/>
        <rFont val="Times New Roman"/>
        <family val="1"/>
      </rPr>
      <t>1</t>
    </r>
    <phoneticPr fontId="12" type="noConversion"/>
  </si>
  <si>
    <t>猪肉产量（吨）</t>
  </si>
  <si>
    <t>肉类总产量（吨）</t>
  </si>
  <si>
    <t>出栏肉羊（只）</t>
  </si>
  <si>
    <t>出栏肉牛（头）</t>
  </si>
  <si>
    <t>出栏肉猪（口）</t>
  </si>
  <si>
    <r>
      <t>22-19</t>
    </r>
    <r>
      <rPr>
        <sz val="16"/>
        <rFont val="宋体"/>
        <family val="3"/>
        <charset val="134"/>
      </rPr>
      <t>畜禽产品产量</t>
    </r>
    <phoneticPr fontId="12" type="noConversion"/>
  </si>
  <si>
    <r>
      <t>全</t>
    </r>
    <r>
      <rPr>
        <b/>
        <sz val="9"/>
        <rFont val="Times New Roman"/>
        <family val="1"/>
      </rPr>
      <t xml:space="preserve">            </t>
    </r>
    <r>
      <rPr>
        <b/>
        <sz val="9"/>
        <rFont val="宋体"/>
        <family val="3"/>
        <charset val="134"/>
      </rPr>
      <t>盟</t>
    </r>
  </si>
  <si>
    <t>山羊皮（张）</t>
  </si>
  <si>
    <t>绵羊皮（张）</t>
  </si>
  <si>
    <r>
      <t>牛</t>
    </r>
    <r>
      <rPr>
        <sz val="9"/>
        <rFont val="Times New Roman"/>
        <family val="1"/>
      </rPr>
      <t xml:space="preserve">     </t>
    </r>
    <r>
      <rPr>
        <sz val="9"/>
        <rFont val="宋体"/>
        <family val="3"/>
        <charset val="134"/>
      </rPr>
      <t>皮</t>
    </r>
    <r>
      <rPr>
        <sz val="9"/>
        <rFont val="Times New Roman"/>
        <family val="1"/>
      </rPr>
      <t xml:space="preserve">     </t>
    </r>
    <r>
      <rPr>
        <sz val="9"/>
        <rFont val="宋体"/>
        <family val="3"/>
        <charset val="134"/>
      </rPr>
      <t>（张）</t>
    </r>
  </si>
  <si>
    <r>
      <t>家</t>
    </r>
    <r>
      <rPr>
        <sz val="9"/>
        <rFont val="Times New Roman"/>
        <family val="1"/>
      </rPr>
      <t xml:space="preserve">     </t>
    </r>
    <r>
      <rPr>
        <sz val="9"/>
        <rFont val="宋体"/>
        <family val="3"/>
        <charset val="134"/>
      </rPr>
      <t>兔</t>
    </r>
    <r>
      <rPr>
        <sz val="9"/>
        <rFont val="Times New Roman"/>
        <family val="1"/>
      </rPr>
      <t xml:space="preserve">               </t>
    </r>
    <r>
      <rPr>
        <sz val="9"/>
        <rFont val="宋体"/>
        <family val="3"/>
        <charset val="134"/>
      </rPr>
      <t>（万只）</t>
    </r>
  </si>
  <si>
    <r>
      <t>家</t>
    </r>
    <r>
      <rPr>
        <sz val="9"/>
        <rFont val="Times New Roman"/>
        <family val="1"/>
      </rPr>
      <t xml:space="preserve">     </t>
    </r>
    <r>
      <rPr>
        <sz val="9"/>
        <rFont val="宋体"/>
        <family val="3"/>
        <charset val="134"/>
      </rPr>
      <t>禽</t>
    </r>
    <r>
      <rPr>
        <sz val="9"/>
        <rFont val="Times New Roman"/>
        <family val="1"/>
      </rPr>
      <t xml:space="preserve">     </t>
    </r>
    <r>
      <rPr>
        <sz val="9"/>
        <rFont val="宋体"/>
        <family val="3"/>
        <charset val="134"/>
      </rPr>
      <t>（万只）</t>
    </r>
  </si>
  <si>
    <r>
      <t xml:space="preserve">22-19  </t>
    </r>
    <r>
      <rPr>
        <sz val="12"/>
        <rFont val="宋体"/>
        <family val="3"/>
        <charset val="134"/>
      </rPr>
      <t>续表</t>
    </r>
    <r>
      <rPr>
        <sz val="12"/>
        <rFont val="Times New Roman"/>
        <family val="1"/>
      </rPr>
      <t>3</t>
    </r>
    <phoneticPr fontId="12" type="noConversion"/>
  </si>
  <si>
    <r>
      <t>禽</t>
    </r>
    <r>
      <rPr>
        <sz val="9"/>
        <rFont val="Times New Roman"/>
        <family val="1"/>
      </rPr>
      <t xml:space="preserve">   </t>
    </r>
    <r>
      <rPr>
        <sz val="9"/>
        <rFont val="宋体"/>
        <family val="3"/>
        <charset val="134"/>
      </rPr>
      <t>蛋（吨）</t>
    </r>
  </si>
  <si>
    <r>
      <t>驼</t>
    </r>
    <r>
      <rPr>
        <sz val="9"/>
        <rFont val="Times New Roman"/>
        <family val="1"/>
      </rPr>
      <t xml:space="preserve">   </t>
    </r>
    <r>
      <rPr>
        <sz val="9"/>
        <rFont val="宋体"/>
        <family val="3"/>
        <charset val="134"/>
      </rPr>
      <t>绒（吨）</t>
    </r>
  </si>
  <si>
    <t>山羊绒（吨）</t>
  </si>
  <si>
    <t>山羊毛（吨）</t>
  </si>
  <si>
    <t>绵羊毛（吨）</t>
  </si>
  <si>
    <r>
      <t xml:space="preserve">22-19  </t>
    </r>
    <r>
      <rPr>
        <sz val="12"/>
        <rFont val="宋体"/>
        <family val="3"/>
        <charset val="134"/>
      </rPr>
      <t>续表</t>
    </r>
    <r>
      <rPr>
        <sz val="12"/>
        <rFont val="Times New Roman"/>
        <family val="1"/>
      </rPr>
      <t>2</t>
    </r>
    <phoneticPr fontId="12" type="noConversion"/>
  </si>
  <si>
    <r>
      <t>母</t>
    </r>
    <r>
      <rPr>
        <sz val="9"/>
        <rFont val="Times New Roman"/>
        <family val="1"/>
      </rPr>
      <t xml:space="preserve">   </t>
    </r>
    <r>
      <rPr>
        <sz val="9"/>
        <rFont val="宋体"/>
        <family val="3"/>
        <charset val="134"/>
      </rPr>
      <t>畜</t>
    </r>
    <r>
      <rPr>
        <sz val="9"/>
        <rFont val="Times New Roman"/>
        <family val="1"/>
      </rPr>
      <t xml:space="preserve">      </t>
    </r>
    <r>
      <rPr>
        <sz val="9"/>
        <rFont val="宋体"/>
        <family val="3"/>
        <charset val="134"/>
      </rPr>
      <t>比</t>
    </r>
    <r>
      <rPr>
        <sz val="9"/>
        <rFont val="Times New Roman"/>
        <family val="1"/>
      </rPr>
      <t xml:space="preserve">   </t>
    </r>
    <r>
      <rPr>
        <sz val="9"/>
        <rFont val="宋体"/>
        <family val="3"/>
        <charset val="134"/>
      </rPr>
      <t>重</t>
    </r>
  </si>
  <si>
    <t>出栏率</t>
  </si>
  <si>
    <t>死亡率</t>
  </si>
  <si>
    <t>纯增率</t>
  </si>
  <si>
    <t>总增率</t>
  </si>
  <si>
    <t>单位:%</t>
  </si>
  <si>
    <t>母畜比重</t>
  </si>
  <si>
    <t>繁成率</t>
  </si>
  <si>
    <t>多    伦    县</t>
  </si>
  <si>
    <t>正    蓝    旗</t>
  </si>
  <si>
    <t>正 镶  白 旗</t>
  </si>
  <si>
    <t>镶    黄    旗</t>
  </si>
  <si>
    <t>太 仆  寺  旗</t>
  </si>
  <si>
    <t>阿 巴  嘎 旗</t>
  </si>
  <si>
    <t>全            盟</t>
  </si>
  <si>
    <t>猪</t>
  </si>
  <si>
    <t>山 羊</t>
  </si>
  <si>
    <t>绵  羊</t>
  </si>
  <si>
    <t>骆驼</t>
  </si>
  <si>
    <t>骡</t>
  </si>
  <si>
    <t>羊</t>
  </si>
  <si>
    <t xml:space="preserve">   22-24 续表</t>
    <phoneticPr fontId="12" type="noConversion"/>
  </si>
  <si>
    <t>全   盟</t>
  </si>
  <si>
    <t>驴</t>
  </si>
  <si>
    <t>马</t>
  </si>
  <si>
    <t>牛</t>
  </si>
  <si>
    <t>大牲畜</t>
  </si>
  <si>
    <t xml:space="preserve">大牲畜
和羊
</t>
  </si>
  <si>
    <t>牲畜总头数</t>
  </si>
  <si>
    <t>单位:头(只)</t>
  </si>
  <si>
    <t>22-24  六月末牲畜头数</t>
    <phoneticPr fontId="12" type="noConversion"/>
  </si>
  <si>
    <t xml:space="preserve">  22- 25续表</t>
    <phoneticPr fontId="12" type="noConversion"/>
  </si>
  <si>
    <t>家畜总头数</t>
  </si>
  <si>
    <t>22-25  年末牲畜头数</t>
    <phoneticPr fontId="12" type="noConversion"/>
  </si>
  <si>
    <t>山羊</t>
  </si>
  <si>
    <t>绵羊</t>
  </si>
  <si>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猪</t>
    </r>
    <phoneticPr fontId="12" type="noConversion"/>
  </si>
  <si>
    <t>羊</t>
    <phoneticPr fontId="12" type="noConversion"/>
  </si>
  <si>
    <r>
      <t>2</t>
    </r>
    <r>
      <rPr>
        <sz val="9"/>
        <rFont val="宋体"/>
        <family val="3"/>
        <charset val="134"/>
      </rPr>
      <t>2-26续表</t>
    </r>
    <phoneticPr fontId="12" type="noConversion"/>
  </si>
  <si>
    <t>大牲畜</t>
    <phoneticPr fontId="12" type="noConversion"/>
  </si>
  <si>
    <r>
      <t>大牲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畜和羊</t>
    </r>
    <phoneticPr fontId="12" type="noConversion"/>
  </si>
  <si>
    <r>
      <t>家</t>
    </r>
    <r>
      <rPr>
        <sz val="9"/>
        <rFont val="Times New Roman"/>
        <family val="1"/>
      </rPr>
      <t xml:space="preserve">   </t>
    </r>
    <r>
      <rPr>
        <sz val="9"/>
        <rFont val="宋体"/>
        <family val="3"/>
        <charset val="134"/>
      </rPr>
      <t>畜</t>
    </r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总头数</t>
    </r>
  </si>
  <si>
    <r>
      <t xml:space="preserve">22-26 </t>
    </r>
    <r>
      <rPr>
        <sz val="16"/>
        <rFont val="宋体"/>
        <family val="3"/>
        <charset val="134"/>
      </rPr>
      <t>六月</t>
    </r>
    <r>
      <rPr>
        <sz val="16"/>
        <rFont val="宋体"/>
        <family val="3"/>
        <charset val="134"/>
      </rPr>
      <t>末农区牲畜头数</t>
    </r>
    <phoneticPr fontId="12" type="noConversion"/>
  </si>
  <si>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猪</t>
    </r>
    <phoneticPr fontId="12" type="noConversion"/>
  </si>
  <si>
    <t>羊</t>
    <phoneticPr fontId="12" type="noConversion"/>
  </si>
  <si>
    <t>22-7续表</t>
    <phoneticPr fontId="12" type="noConversion"/>
  </si>
  <si>
    <t>大牲畜</t>
    <phoneticPr fontId="12" type="noConversion"/>
  </si>
  <si>
    <r>
      <t>大牲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畜和羊</t>
    </r>
    <phoneticPr fontId="12" type="noConversion"/>
  </si>
  <si>
    <t>22-27 六月末牧区牲畜头数</t>
    <phoneticPr fontId="12" type="noConversion"/>
  </si>
  <si>
    <t>购进</t>
    <phoneticPr fontId="3" type="noConversion"/>
  </si>
  <si>
    <t>改良种</t>
    <phoneticPr fontId="3" type="noConversion"/>
  </si>
  <si>
    <t>良种</t>
    <phoneticPr fontId="3" type="noConversion"/>
  </si>
  <si>
    <r>
      <t>能繁殖</t>
    </r>
    <r>
      <rPr>
        <sz val="9"/>
        <rFont val="Times New Roman"/>
        <family val="1"/>
      </rPr>
      <t xml:space="preserve">         </t>
    </r>
    <r>
      <rPr>
        <sz val="9"/>
        <rFont val="宋体"/>
        <family val="3"/>
        <charset val="134"/>
      </rPr>
      <t>母</t>
    </r>
    <r>
      <rPr>
        <sz val="9"/>
        <rFont val="Times New Roman"/>
        <family val="1"/>
      </rPr>
      <t xml:space="preserve">    </t>
    </r>
    <r>
      <rPr>
        <sz val="9"/>
        <rFont val="宋体"/>
        <family val="3"/>
        <charset val="134"/>
      </rPr>
      <t>畜</t>
    </r>
    <phoneticPr fontId="3" type="noConversion"/>
  </si>
  <si>
    <t>其他减少</t>
    <phoneticPr fontId="3" type="noConversion"/>
  </si>
  <si>
    <t>22-21续表</t>
    <phoneticPr fontId="3" type="noConversion"/>
  </si>
  <si>
    <t>其他增加</t>
    <phoneticPr fontId="3" type="noConversion"/>
  </si>
  <si>
    <t>购进</t>
    <phoneticPr fontId="3" type="noConversion"/>
  </si>
  <si>
    <t>单位:头(只)</t>
    <phoneticPr fontId="3" type="noConversion"/>
  </si>
  <si>
    <r>
      <t xml:space="preserve">22-21 </t>
    </r>
    <r>
      <rPr>
        <sz val="16"/>
        <rFont val="宋体"/>
        <family val="3"/>
        <charset val="134"/>
      </rPr>
      <t>十二月末大牲畜和羊增减变动情况</t>
    </r>
    <phoneticPr fontId="3" type="noConversion"/>
  </si>
  <si>
    <t>改良种比重</t>
    <phoneticPr fontId="3" type="noConversion"/>
  </si>
  <si>
    <t>良种比重</t>
    <phoneticPr fontId="3" type="noConversion"/>
  </si>
  <si>
    <r>
      <t>22-23</t>
    </r>
    <r>
      <rPr>
        <sz val="16"/>
        <rFont val="宋体"/>
        <family val="3"/>
        <charset val="134"/>
      </rPr>
      <t>十二月末大牲畜和羊主要效益指标</t>
    </r>
    <phoneticPr fontId="3" type="noConversion"/>
  </si>
  <si>
    <t>改良种比重</t>
    <phoneticPr fontId="3" type="noConversion"/>
  </si>
  <si>
    <t>良种比重</t>
    <phoneticPr fontId="3" type="noConversion"/>
  </si>
  <si>
    <r>
      <t xml:space="preserve">22-22 </t>
    </r>
    <r>
      <rPr>
        <sz val="16"/>
        <rFont val="宋体"/>
        <family val="3"/>
        <charset val="134"/>
      </rPr>
      <t>六月末大牲畜和羊主要效益指标</t>
    </r>
    <phoneticPr fontId="3" type="noConversion"/>
  </si>
  <si>
    <t>单位：公顷</t>
    <phoneticPr fontId="3" type="noConversion"/>
  </si>
  <si>
    <t xml:space="preserve">           </t>
    <phoneticPr fontId="3" type="noConversion"/>
  </si>
  <si>
    <r>
      <t>能繁殖</t>
    </r>
    <r>
      <rPr>
        <sz val="10"/>
        <rFont val="Times New Roman"/>
        <family val="1"/>
      </rPr>
      <t xml:space="preserve">             </t>
    </r>
    <r>
      <rPr>
        <sz val="10"/>
        <rFont val="宋体"/>
        <family val="3"/>
        <charset val="134"/>
      </rPr>
      <t>母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畜</t>
    </r>
  </si>
  <si>
    <t>其他增加</t>
    <phoneticPr fontId="3" type="noConversion"/>
  </si>
</sst>
</file>

<file path=xl/styles.xml><?xml version="1.0" encoding="utf-8"?>
<styleSheet xmlns="http://schemas.openxmlformats.org/spreadsheetml/2006/main">
  <numFmts count="7">
    <numFmt numFmtId="176" formatCode="0.0_ "/>
    <numFmt numFmtId="177" formatCode="0.00_ "/>
    <numFmt numFmtId="178" formatCode="0;[Red]0"/>
    <numFmt numFmtId="179" formatCode="0_);\(0\)"/>
    <numFmt numFmtId="180" formatCode="0_ "/>
    <numFmt numFmtId="181" formatCode="0.00_);[Red]\(0.00\)"/>
    <numFmt numFmtId="182" formatCode="0_);[Red]\(0\)"/>
  </numFmts>
  <fonts count="29">
    <font>
      <sz val="12"/>
      <name val="宋体"/>
      <family val="3"/>
      <charset val="134"/>
    </font>
    <font>
      <sz val="16"/>
      <name val="Times New Roman"/>
      <family val="1"/>
    </font>
    <font>
      <sz val="16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name val="Times New Roman"/>
      <family val="1"/>
    </font>
    <font>
      <b/>
      <sz val="9"/>
      <name val="宋体"/>
      <family val="3"/>
      <charset val="134"/>
    </font>
    <font>
      <b/>
      <sz val="9"/>
      <name val="Times New Roman"/>
      <family val="1"/>
    </font>
    <font>
      <sz val="10"/>
      <name val="方正仿宋简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4"/>
      <color indexed="8"/>
      <name val="宋体"/>
      <family val="3"/>
      <charset val="134"/>
    </font>
    <font>
      <sz val="10"/>
      <name val="宋体"/>
      <family val="3"/>
      <charset val="134"/>
    </font>
    <font>
      <sz val="14"/>
      <name val="宋体"/>
      <family val="3"/>
      <charset val="134"/>
    </font>
    <font>
      <sz val="16"/>
      <name val="宋体"/>
      <family val="3"/>
      <charset val="134"/>
    </font>
    <font>
      <sz val="10"/>
      <name val="Times New Roman"/>
      <family val="1"/>
    </font>
    <font>
      <sz val="11"/>
      <color indexed="8"/>
      <name val="方正小标宋简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12"/>
      <name val="Times New Roman"/>
      <family val="1"/>
    </font>
    <font>
      <sz val="10"/>
      <name val="方正仿宋简体"/>
      <family val="3"/>
      <charset val="134"/>
    </font>
    <font>
      <sz val="10"/>
      <name val="仿宋_GB2312"/>
      <charset val="134"/>
    </font>
    <font>
      <i/>
      <sz val="12"/>
      <name val="宋体"/>
      <family val="3"/>
      <charset val="134"/>
    </font>
    <font>
      <sz val="11"/>
      <name val="仿宋_GB2312"/>
      <charset val="134"/>
    </font>
    <font>
      <b/>
      <sz val="14"/>
      <name val="仿宋_GB2312"/>
      <charset val="134"/>
    </font>
    <font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356">
    <xf numFmtId="0" fontId="0" fillId="0" borderId="0" xfId="0"/>
    <xf numFmtId="0" fontId="2" fillId="0" borderId="0" xfId="0" applyFont="1" applyAlignment="1">
      <alignment horizontal="center"/>
    </xf>
    <xf numFmtId="176" fontId="3" fillId="0" borderId="0" xfId="0" applyNumberFormat="1" applyFont="1" applyFill="1" applyBorder="1"/>
    <xf numFmtId="0" fontId="3" fillId="0" borderId="0" xfId="0" applyFont="1" applyFill="1" applyBorder="1"/>
    <xf numFmtId="0" fontId="4" fillId="0" borderId="0" xfId="0" applyFont="1" applyBorder="1" applyAlignment="1">
      <alignment horizontal="right"/>
    </xf>
    <xf numFmtId="177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6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76" fontId="0" fillId="0" borderId="0" xfId="0" applyNumberFormat="1" applyFill="1"/>
    <xf numFmtId="0" fontId="3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2" fillId="0" borderId="0" xfId="0" applyFont="1" applyFill="1" applyAlignment="1"/>
    <xf numFmtId="0" fontId="9" fillId="0" borderId="0" xfId="0" applyFont="1" applyFill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2" fillId="0" borderId="0" xfId="0" applyFont="1" applyAlignment="1"/>
    <xf numFmtId="0" fontId="4" fillId="0" borderId="0" xfId="0" applyFont="1" applyBorder="1" applyAlignment="1"/>
    <xf numFmtId="0" fontId="4" fillId="0" borderId="0" xfId="0" applyFont="1" applyFill="1" applyBorder="1" applyAlignment="1"/>
    <xf numFmtId="0" fontId="10" fillId="0" borderId="0" xfId="1"/>
    <xf numFmtId="0" fontId="12" fillId="0" borderId="9" xfId="1" applyFont="1" applyFill="1" applyBorder="1" applyAlignment="1">
      <alignment horizontal="center"/>
    </xf>
    <xf numFmtId="0" fontId="12" fillId="0" borderId="0" xfId="1" applyFont="1" applyFill="1" applyBorder="1" applyAlignment="1">
      <alignment horizontal="center"/>
    </xf>
    <xf numFmtId="0" fontId="13" fillId="0" borderId="8" xfId="1" applyFont="1" applyFill="1" applyBorder="1" applyAlignment="1">
      <alignment horizontal="center"/>
    </xf>
    <xf numFmtId="0" fontId="11" fillId="0" borderId="2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0" xfId="1" applyFont="1" applyBorder="1" applyAlignment="1">
      <alignment vertical="center" wrapText="1"/>
    </xf>
    <xf numFmtId="0" fontId="11" fillId="0" borderId="0" xfId="1" applyFont="1" applyBorder="1" applyAlignment="1">
      <alignment horizontal="center" vertical="center" wrapText="1"/>
    </xf>
    <xf numFmtId="0" fontId="10" fillId="0" borderId="0" xfId="1" applyFill="1"/>
    <xf numFmtId="0" fontId="10" fillId="0" borderId="0" xfId="1" applyFont="1" applyFill="1"/>
    <xf numFmtId="0" fontId="15" fillId="0" borderId="13" xfId="1" applyFont="1" applyFill="1" applyBorder="1" applyAlignment="1">
      <alignment horizontal="center" vertical="center"/>
    </xf>
    <xf numFmtId="0" fontId="15" fillId="0" borderId="12" xfId="1" applyFont="1" applyFill="1" applyBorder="1" applyAlignment="1">
      <alignment horizontal="center" vertical="center"/>
    </xf>
    <xf numFmtId="0" fontId="15" fillId="0" borderId="8" xfId="1" applyFont="1" applyFill="1" applyBorder="1" applyAlignment="1">
      <alignment vertical="center"/>
    </xf>
    <xf numFmtId="0" fontId="10" fillId="0" borderId="0" xfId="1" applyFill="1" applyBorder="1"/>
    <xf numFmtId="0" fontId="12" fillId="0" borderId="14" xfId="1" applyFont="1" applyFill="1" applyBorder="1" applyAlignment="1">
      <alignment vertical="center" wrapText="1"/>
    </xf>
    <xf numFmtId="0" fontId="12" fillId="0" borderId="14" xfId="1" applyFont="1" applyFill="1" applyBorder="1" applyAlignment="1">
      <alignment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9" xfId="1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13" fillId="2" borderId="1" xfId="1" applyFont="1" applyFill="1" applyBorder="1" applyAlignment="1">
      <alignment horizontal="center"/>
    </xf>
    <xf numFmtId="0" fontId="12" fillId="2" borderId="14" xfId="1" applyFont="1" applyFill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10" fillId="0" borderId="0" xfId="1" applyBorder="1"/>
    <xf numFmtId="179" fontId="10" fillId="0" borderId="0" xfId="1" applyNumberFormat="1"/>
    <xf numFmtId="0" fontId="11" fillId="0" borderId="12" xfId="1" applyFont="1" applyBorder="1" applyAlignment="1">
      <alignment horizontal="center" vertical="center"/>
    </xf>
    <xf numFmtId="0" fontId="12" fillId="0" borderId="3" xfId="1" applyFont="1" applyFill="1" applyBorder="1" applyAlignment="1"/>
    <xf numFmtId="0" fontId="10" fillId="0" borderId="14" xfId="1" applyBorder="1"/>
    <xf numFmtId="0" fontId="10" fillId="0" borderId="9" xfId="1" applyBorder="1"/>
    <xf numFmtId="0" fontId="11" fillId="0" borderId="0" xfId="1" applyFont="1" applyFill="1" applyBorder="1" applyAlignment="1">
      <alignment horizontal="left" vertical="center"/>
    </xf>
    <xf numFmtId="0" fontId="19" fillId="0" borderId="0" xfId="1" applyFont="1" applyBorder="1" applyAlignment="1">
      <alignment vertical="center"/>
    </xf>
    <xf numFmtId="0" fontId="11" fillId="0" borderId="11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0" fillId="0" borderId="14" xfId="1" applyNumberFormat="1" applyBorder="1"/>
    <xf numFmtId="0" fontId="12" fillId="0" borderId="4" xfId="1" applyFont="1" applyFill="1" applyBorder="1" applyAlignment="1">
      <alignment horizontal="center"/>
    </xf>
    <xf numFmtId="0" fontId="13" fillId="0" borderId="1" xfId="1" applyFont="1" applyFill="1" applyBorder="1" applyAlignment="1">
      <alignment horizontal="center"/>
    </xf>
    <xf numFmtId="0" fontId="10" fillId="0" borderId="0" xfId="1" applyBorder="1" applyAlignment="1"/>
    <xf numFmtId="0" fontId="11" fillId="0" borderId="0" xfId="1" applyFont="1" applyAlignment="1">
      <alignment vertical="center"/>
    </xf>
    <xf numFmtId="0" fontId="10" fillId="0" borderId="0" xfId="1" applyAlignment="1">
      <alignment horizontal="center"/>
    </xf>
    <xf numFmtId="0" fontId="12" fillId="2" borderId="9" xfId="1" applyFont="1" applyFill="1" applyBorder="1" applyAlignment="1">
      <alignment horizontal="center"/>
    </xf>
    <xf numFmtId="0" fontId="13" fillId="2" borderId="8" xfId="1" applyFont="1" applyFill="1" applyBorder="1" applyAlignment="1">
      <alignment horizontal="center"/>
    </xf>
    <xf numFmtId="0" fontId="22" fillId="0" borderId="0" xfId="1" applyFont="1" applyAlignment="1">
      <alignment horizontal="center"/>
    </xf>
    <xf numFmtId="0" fontId="10" fillId="3" borderId="0" xfId="1" applyFill="1"/>
    <xf numFmtId="0" fontId="15" fillId="2" borderId="14" xfId="1" applyFont="1" applyFill="1" applyBorder="1" applyAlignment="1"/>
    <xf numFmtId="0" fontId="24" fillId="2" borderId="14" xfId="1" applyFont="1" applyFill="1" applyBorder="1" applyAlignment="1"/>
    <xf numFmtId="0" fontId="10" fillId="0" borderId="0" xfId="1" applyAlignment="1"/>
    <xf numFmtId="0" fontId="12" fillId="0" borderId="0" xfId="1" applyFont="1" applyAlignment="1"/>
    <xf numFmtId="177" fontId="25" fillId="0" borderId="0" xfId="1" applyNumberFormat="1" applyFont="1" applyBorder="1"/>
    <xf numFmtId="177" fontId="25" fillId="0" borderId="0" xfId="1" applyNumberFormat="1" applyFont="1" applyBorder="1" applyAlignment="1"/>
    <xf numFmtId="0" fontId="10" fillId="2" borderId="0" xfId="1" applyFill="1" applyAlignment="1"/>
    <xf numFmtId="0" fontId="26" fillId="2" borderId="14" xfId="1" applyFont="1" applyFill="1" applyBorder="1" applyAlignment="1">
      <alignment vertical="center"/>
    </xf>
    <xf numFmtId="0" fontId="10" fillId="2" borderId="0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14" xfId="1" applyFont="1" applyFill="1" applyBorder="1" applyAlignment="1">
      <alignment horizontal="center" vertical="center"/>
    </xf>
    <xf numFmtId="0" fontId="22" fillId="3" borderId="0" xfId="1" applyFont="1" applyFill="1" applyAlignment="1">
      <alignment horizontal="left"/>
    </xf>
    <xf numFmtId="0" fontId="10" fillId="0" borderId="0" xfId="1" applyFill="1" applyAlignment="1">
      <alignment horizontal="center"/>
    </xf>
    <xf numFmtId="0" fontId="12" fillId="0" borderId="0" xfId="1" applyFont="1"/>
    <xf numFmtId="0" fontId="12" fillId="0" borderId="0" xfId="1" applyFont="1" applyBorder="1"/>
    <xf numFmtId="0" fontId="10" fillId="0" borderId="9" xfId="1" applyFill="1" applyBorder="1" applyAlignment="1">
      <alignment horizontal="center" vertical="center"/>
    </xf>
    <xf numFmtId="0" fontId="10" fillId="0" borderId="0" xfId="1" applyFill="1" applyBorder="1" applyAlignment="1">
      <alignment horizontal="center" vertical="center"/>
    </xf>
    <xf numFmtId="0" fontId="12" fillId="0" borderId="13" xfId="1" applyFont="1" applyFill="1" applyBorder="1" applyAlignment="1">
      <alignment horizontal="center" vertical="center"/>
    </xf>
    <xf numFmtId="0" fontId="12" fillId="0" borderId="12" xfId="1" applyFont="1" applyFill="1" applyBorder="1" applyAlignment="1">
      <alignment horizontal="center" vertical="center"/>
    </xf>
    <xf numFmtId="0" fontId="1" fillId="0" borderId="0" xfId="1" applyFont="1" applyFill="1" applyAlignment="1">
      <alignment horizontal="center"/>
    </xf>
    <xf numFmtId="0" fontId="12" fillId="0" borderId="9" xfId="1" applyFont="1" applyFill="1" applyBorder="1" applyAlignment="1">
      <alignment vertical="center"/>
    </xf>
    <xf numFmtId="0" fontId="12" fillId="0" borderId="13" xfId="1" applyFont="1" applyFill="1" applyBorder="1" applyAlignment="1">
      <alignment vertical="center"/>
    </xf>
    <xf numFmtId="0" fontId="12" fillId="0" borderId="0" xfId="1" applyFont="1" applyFill="1" applyBorder="1" applyAlignment="1">
      <alignment horizontal="center" vertical="center"/>
    </xf>
    <xf numFmtId="0" fontId="1" fillId="0" borderId="0" xfId="1" applyFont="1" applyBorder="1" applyAlignment="1"/>
    <xf numFmtId="0" fontId="12" fillId="0" borderId="12" xfId="1" applyFont="1" applyFill="1" applyBorder="1" applyAlignment="1">
      <alignment horizontal="center"/>
    </xf>
    <xf numFmtId="0" fontId="13" fillId="0" borderId="12" xfId="1" applyFont="1" applyFill="1" applyBorder="1" applyAlignment="1">
      <alignment horizontal="center"/>
    </xf>
    <xf numFmtId="0" fontId="10" fillId="0" borderId="12" xfId="1" applyBorder="1"/>
    <xf numFmtId="0" fontId="12" fillId="0" borderId="12" xfId="1" applyFont="1" applyFill="1" applyBorder="1" applyAlignment="1">
      <alignment vertical="center"/>
    </xf>
    <xf numFmtId="0" fontId="12" fillId="0" borderId="7" xfId="1" applyFont="1" applyFill="1" applyBorder="1" applyAlignment="1">
      <alignment horizontal="center"/>
    </xf>
    <xf numFmtId="0" fontId="12" fillId="0" borderId="0" xfId="1" applyFont="1" applyFill="1" applyBorder="1" applyAlignment="1">
      <alignment horizontal="left"/>
    </xf>
    <xf numFmtId="0" fontId="3" fillId="0" borderId="12" xfId="0" applyFont="1" applyFill="1" applyBorder="1" applyAlignment="1">
      <alignment horizontal="center"/>
    </xf>
    <xf numFmtId="0" fontId="1" fillId="0" borderId="0" xfId="1" applyFont="1" applyAlignment="1">
      <alignment horizontal="center"/>
    </xf>
    <xf numFmtId="0" fontId="10" fillId="0" borderId="0" xfId="1" applyAlignment="1">
      <alignment horizontal="center"/>
    </xf>
    <xf numFmtId="176" fontId="4" fillId="0" borderId="0" xfId="1" applyNumberFormat="1" applyFont="1" applyAlignment="1">
      <alignment vertical="center"/>
    </xf>
    <xf numFmtId="0" fontId="3" fillId="2" borderId="0" xfId="1" applyFont="1" applyFill="1" applyBorder="1" applyAlignment="1">
      <alignment horizontal="center"/>
    </xf>
    <xf numFmtId="0" fontId="6" fillId="2" borderId="8" xfId="1" applyFont="1" applyFill="1" applyBorder="1" applyAlignment="1">
      <alignment horizontal="center"/>
    </xf>
    <xf numFmtId="0" fontId="2" fillId="0" borderId="0" xfId="1" applyFont="1" applyAlignment="1">
      <alignment horizontal="center"/>
    </xf>
    <xf numFmtId="176" fontId="3" fillId="0" borderId="0" xfId="1" applyNumberFormat="1" applyFont="1" applyBorder="1"/>
    <xf numFmtId="0" fontId="3" fillId="3" borderId="0" xfId="1" applyFont="1" applyFill="1" applyBorder="1"/>
    <xf numFmtId="176" fontId="4" fillId="3" borderId="0" xfId="1" applyNumberFormat="1" applyFont="1" applyFill="1" applyBorder="1" applyAlignment="1">
      <alignment horizontal="center" vertical="center"/>
    </xf>
    <xf numFmtId="0" fontId="2" fillId="0" borderId="9" xfId="1" applyFont="1" applyBorder="1" applyAlignment="1">
      <alignment horizontal="center"/>
    </xf>
    <xf numFmtId="0" fontId="12" fillId="0" borderId="0" xfId="1" applyFont="1" applyFill="1" applyBorder="1" applyAlignment="1">
      <alignment horizontal="center"/>
    </xf>
    <xf numFmtId="180" fontId="11" fillId="4" borderId="12" xfId="1" applyNumberFormat="1" applyFont="1" applyFill="1" applyBorder="1" applyAlignment="1">
      <alignment horizontal="center" vertical="center"/>
    </xf>
    <xf numFmtId="180" fontId="10" fillId="4" borderId="12" xfId="1" applyNumberFormat="1" applyFill="1" applyBorder="1" applyAlignment="1">
      <alignment horizontal="center"/>
    </xf>
    <xf numFmtId="180" fontId="10" fillId="4" borderId="12" xfId="1" applyNumberFormat="1" applyFill="1" applyBorder="1"/>
    <xf numFmtId="0" fontId="0" fillId="4" borderId="17" xfId="0" applyFill="1" applyBorder="1" applyAlignment="1">
      <alignment horizontal="center" vertical="center"/>
    </xf>
    <xf numFmtId="0" fontId="28" fillId="4" borderId="12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3" fillId="4" borderId="16" xfId="0" applyFont="1" applyFill="1" applyBorder="1" applyAlignment="1">
      <alignment vertical="center"/>
    </xf>
    <xf numFmtId="0" fontId="15" fillId="4" borderId="0" xfId="1" applyFont="1" applyFill="1"/>
    <xf numFmtId="0" fontId="12" fillId="4" borderId="0" xfId="1" applyFont="1" applyFill="1" applyBorder="1" applyAlignment="1">
      <alignment horizontal="center" vertical="center"/>
    </xf>
    <xf numFmtId="0" fontId="12" fillId="4" borderId="0" xfId="1" applyFont="1" applyFill="1" applyBorder="1" applyAlignment="1">
      <alignment horizontal="center"/>
    </xf>
    <xf numFmtId="0" fontId="11" fillId="4" borderId="0" xfId="1" applyFont="1" applyFill="1" applyBorder="1" applyAlignment="1">
      <alignment horizontal="center" vertical="center"/>
    </xf>
    <xf numFmtId="0" fontId="4" fillId="4" borderId="0" xfId="1" applyFont="1" applyFill="1"/>
    <xf numFmtId="0" fontId="0" fillId="4" borderId="12" xfId="0" applyFill="1" applyBorder="1" applyAlignment="1">
      <alignment horizontal="center"/>
    </xf>
    <xf numFmtId="178" fontId="0" fillId="4" borderId="12" xfId="0" applyNumberFormat="1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178" fontId="0" fillId="4" borderId="18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178" fontId="0" fillId="4" borderId="17" xfId="0" applyNumberForma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181" fontId="10" fillId="0" borderId="0" xfId="1" applyNumberFormat="1"/>
    <xf numFmtId="0" fontId="13" fillId="0" borderId="19" xfId="1" applyFont="1" applyFill="1" applyBorder="1" applyAlignment="1">
      <alignment horizontal="center"/>
    </xf>
    <xf numFmtId="0" fontId="11" fillId="4" borderId="12" xfId="1" applyFont="1" applyFill="1" applyBorder="1" applyAlignment="1">
      <alignment horizontal="center" vertical="center"/>
    </xf>
    <xf numFmtId="0" fontId="20" fillId="4" borderId="12" xfId="1" applyFont="1" applyFill="1" applyBorder="1" applyAlignment="1">
      <alignment horizontal="center" vertical="center"/>
    </xf>
    <xf numFmtId="0" fontId="21" fillId="4" borderId="12" xfId="1" applyFont="1" applyFill="1" applyBorder="1" applyAlignment="1">
      <alignment horizontal="center" vertical="center"/>
    </xf>
    <xf numFmtId="0" fontId="28" fillId="4" borderId="12" xfId="0" applyFont="1" applyFill="1" applyBorder="1" applyAlignment="1">
      <alignment horizontal="right" vertical="center"/>
    </xf>
    <xf numFmtId="0" fontId="23" fillId="4" borderId="5" xfId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4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 wrapText="1"/>
    </xf>
    <xf numFmtId="0" fontId="8" fillId="4" borderId="7" xfId="0" applyNumberFormat="1" applyFont="1" applyFill="1" applyBorder="1" applyAlignment="1">
      <alignment horizontal="center" vertical="center"/>
    </xf>
    <xf numFmtId="180" fontId="4" fillId="4" borderId="5" xfId="0" applyNumberFormat="1" applyFont="1" applyFill="1" applyBorder="1" applyAlignment="1">
      <alignment horizontal="center" vertical="center"/>
    </xf>
    <xf numFmtId="180" fontId="4" fillId="4" borderId="4" xfId="0" applyNumberFormat="1" applyFont="1" applyFill="1" applyBorder="1" applyAlignment="1">
      <alignment horizontal="center" vertical="center"/>
    </xf>
    <xf numFmtId="180" fontId="4" fillId="4" borderId="10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0" borderId="0" xfId="0" applyFont="1" applyFill="1"/>
    <xf numFmtId="0" fontId="4" fillId="0" borderId="9" xfId="0" applyFont="1" applyFill="1" applyBorder="1"/>
    <xf numFmtId="0" fontId="4" fillId="4" borderId="6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176" fontId="4" fillId="4" borderId="12" xfId="0" applyNumberFormat="1" applyFont="1" applyFill="1" applyBorder="1" applyAlignment="1">
      <alignment horizontal="center"/>
    </xf>
    <xf numFmtId="176" fontId="4" fillId="4" borderId="12" xfId="0" applyNumberFormat="1" applyFont="1" applyFill="1" applyBorder="1" applyAlignment="1">
      <alignment horizontal="center" vertical="center"/>
    </xf>
    <xf numFmtId="177" fontId="4" fillId="4" borderId="12" xfId="0" applyNumberFormat="1" applyFont="1" applyFill="1" applyBorder="1" applyAlignment="1">
      <alignment horizontal="center" vertical="center"/>
    </xf>
    <xf numFmtId="180" fontId="12" fillId="4" borderId="0" xfId="1" applyNumberFormat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 vertical="center"/>
    </xf>
    <xf numFmtId="180" fontId="10" fillId="4" borderId="0" xfId="1" applyNumberFormat="1" applyFill="1" applyBorder="1" applyAlignment="1">
      <alignment horizontal="center"/>
    </xf>
    <xf numFmtId="0" fontId="10" fillId="4" borderId="0" xfId="1" applyFill="1" applyBorder="1" applyAlignment="1">
      <alignment horizontal="center"/>
    </xf>
    <xf numFmtId="182" fontId="12" fillId="4" borderId="0" xfId="1" applyNumberFormat="1" applyFont="1" applyFill="1" applyBorder="1" applyAlignment="1">
      <alignment horizontal="center" vertical="center"/>
    </xf>
    <xf numFmtId="182" fontId="12" fillId="4" borderId="0" xfId="1" applyNumberFormat="1" applyFont="1" applyFill="1" applyBorder="1" applyAlignment="1">
      <alignment horizontal="center"/>
    </xf>
    <xf numFmtId="0" fontId="3" fillId="4" borderId="0" xfId="1" applyFont="1" applyFill="1" applyBorder="1" applyAlignment="1">
      <alignment horizontal="center"/>
    </xf>
    <xf numFmtId="180" fontId="3" fillId="4" borderId="0" xfId="1" applyNumberFormat="1" applyFont="1" applyFill="1" applyBorder="1" applyAlignment="1">
      <alignment horizontal="center"/>
    </xf>
    <xf numFmtId="0" fontId="10" fillId="4" borderId="9" xfId="1" applyFill="1" applyBorder="1" applyAlignment="1">
      <alignment horizontal="center" vertical="center"/>
    </xf>
    <xf numFmtId="0" fontId="23" fillId="4" borderId="4" xfId="1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23" fillId="4" borderId="10" xfId="1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10" fillId="4" borderId="5" xfId="1" applyFill="1" applyBorder="1" applyAlignment="1">
      <alignment horizontal="center" vertical="center"/>
    </xf>
    <xf numFmtId="0" fontId="10" fillId="4" borderId="4" xfId="1" applyFill="1" applyBorder="1" applyAlignment="1">
      <alignment horizontal="center" vertical="center"/>
    </xf>
    <xf numFmtId="0" fontId="10" fillId="4" borderId="4" xfId="1" applyNumberFormat="1" applyFill="1" applyBorder="1" applyAlignment="1">
      <alignment horizontal="center" vertical="center"/>
    </xf>
    <xf numFmtId="0" fontId="10" fillId="4" borderId="4" xfId="1" applyFill="1" applyBorder="1" applyAlignment="1">
      <alignment horizontal="center" vertical="center" wrapText="1"/>
    </xf>
    <xf numFmtId="0" fontId="10" fillId="4" borderId="10" xfId="1" applyFill="1" applyBorder="1" applyAlignment="1">
      <alignment horizontal="center" vertical="center"/>
    </xf>
    <xf numFmtId="0" fontId="10" fillId="4" borderId="7" xfId="1" applyFill="1" applyBorder="1" applyAlignment="1">
      <alignment horizontal="center" vertical="center" wrapText="1"/>
    </xf>
    <xf numFmtId="0" fontId="10" fillId="4" borderId="7" xfId="1" applyNumberFormat="1" applyFill="1" applyBorder="1" applyAlignment="1">
      <alignment horizontal="center" vertical="center"/>
    </xf>
    <xf numFmtId="0" fontId="10" fillId="4" borderId="10" xfId="1" applyNumberFormat="1" applyFill="1" applyBorder="1" applyAlignment="1">
      <alignment horizontal="center" vertical="center"/>
    </xf>
    <xf numFmtId="0" fontId="10" fillId="4" borderId="0" xfId="1" applyFill="1" applyAlignment="1">
      <alignment horizontal="center" vertical="center"/>
    </xf>
    <xf numFmtId="0" fontId="10" fillId="4" borderId="7" xfId="1" applyFill="1" applyBorder="1" applyAlignment="1">
      <alignment horizontal="center" vertical="center"/>
    </xf>
    <xf numFmtId="0" fontId="10" fillId="5" borderId="0" xfId="1" applyFill="1" applyAlignment="1"/>
    <xf numFmtId="0" fontId="12" fillId="5" borderId="0" xfId="1" applyFont="1" applyFill="1" applyAlignment="1"/>
    <xf numFmtId="0" fontId="10" fillId="5" borderId="0" xfId="1" applyFill="1"/>
    <xf numFmtId="0" fontId="15" fillId="4" borderId="0" xfId="1" applyFont="1" applyFill="1" applyAlignment="1">
      <alignment horizontal="center"/>
    </xf>
    <xf numFmtId="0" fontId="15" fillId="4" borderId="11" xfId="1" applyFont="1" applyFill="1" applyBorder="1" applyAlignment="1">
      <alignment horizontal="center"/>
    </xf>
    <xf numFmtId="0" fontId="15" fillId="4" borderId="9" xfId="1" applyFont="1" applyFill="1" applyBorder="1" applyAlignment="1">
      <alignment horizontal="center"/>
    </xf>
    <xf numFmtId="0" fontId="4" fillId="4" borderId="0" xfId="1" applyFont="1" applyFill="1" applyAlignment="1">
      <alignment horizontal="center"/>
    </xf>
    <xf numFmtId="178" fontId="10" fillId="0" borderId="0" xfId="1" applyNumberFormat="1"/>
    <xf numFmtId="182" fontId="12" fillId="4" borderId="9" xfId="1" applyNumberFormat="1" applyFont="1" applyFill="1" applyBorder="1" applyAlignment="1">
      <alignment horizontal="center" vertical="center"/>
    </xf>
    <xf numFmtId="176" fontId="4" fillId="4" borderId="12" xfId="1" applyNumberFormat="1" applyFont="1" applyFill="1" applyBorder="1"/>
    <xf numFmtId="176" fontId="4" fillId="4" borderId="12" xfId="0" applyNumberFormat="1" applyFont="1" applyFill="1" applyBorder="1"/>
    <xf numFmtId="0" fontId="11" fillId="0" borderId="6" xfId="1" applyFont="1" applyBorder="1" applyAlignment="1">
      <alignment horizontal="center" vertical="center" wrapText="1"/>
    </xf>
    <xf numFmtId="0" fontId="14" fillId="0" borderId="9" xfId="1" applyFont="1" applyBorder="1" applyAlignment="1">
      <alignment horizontal="center" vertical="center"/>
    </xf>
    <xf numFmtId="0" fontId="16" fillId="0" borderId="0" xfId="1" applyFont="1" applyAlignment="1">
      <alignment horizontal="center"/>
    </xf>
    <xf numFmtId="0" fontId="10" fillId="0" borderId="9" xfId="1" applyBorder="1" applyAlignment="1">
      <alignment horizontal="right"/>
    </xf>
    <xf numFmtId="0" fontId="11" fillId="0" borderId="11" xfId="1" applyFont="1" applyBorder="1" applyAlignment="1">
      <alignment horizontal="center" vertical="center" wrapText="1"/>
    </xf>
    <xf numFmtId="0" fontId="15" fillId="0" borderId="3" xfId="1" applyFont="1" applyFill="1" applyBorder="1" applyAlignment="1">
      <alignment horizontal="center" vertical="center"/>
    </xf>
    <xf numFmtId="0" fontId="15" fillId="0" borderId="11" xfId="1" applyFont="1" applyFill="1" applyBorder="1" applyAlignment="1">
      <alignment horizontal="center" vertical="center"/>
    </xf>
    <xf numFmtId="0" fontId="10" fillId="0" borderId="8" xfId="1" applyFill="1" applyBorder="1" applyAlignment="1">
      <alignment horizontal="center"/>
    </xf>
    <xf numFmtId="0" fontId="10" fillId="0" borderId="9" xfId="1" applyFill="1" applyBorder="1" applyAlignment="1">
      <alignment horizontal="center"/>
    </xf>
    <xf numFmtId="0" fontId="10" fillId="0" borderId="1" xfId="1" applyFill="1" applyBorder="1" applyAlignment="1">
      <alignment horizontal="center"/>
    </xf>
    <xf numFmtId="0" fontId="10" fillId="0" borderId="4" xfId="1" applyFill="1" applyBorder="1" applyAlignment="1">
      <alignment horizontal="center"/>
    </xf>
    <xf numFmtId="0" fontId="10" fillId="0" borderId="7" xfId="1" applyFill="1" applyBorder="1" applyAlignment="1">
      <alignment horizontal="center"/>
    </xf>
    <xf numFmtId="0" fontId="1" fillId="0" borderId="0" xfId="1" applyFont="1" applyFill="1" applyBorder="1" applyAlignment="1">
      <alignment horizontal="center" vertical="center"/>
    </xf>
    <xf numFmtId="0" fontId="12" fillId="0" borderId="2" xfId="1" applyFont="1" applyFill="1" applyBorder="1" applyAlignment="1">
      <alignment horizontal="center" vertical="center" wrapText="1"/>
    </xf>
    <xf numFmtId="0" fontId="10" fillId="0" borderId="5" xfId="1" applyFill="1" applyBorder="1" applyAlignment="1">
      <alignment horizontal="center" vertical="center" wrapText="1"/>
    </xf>
    <xf numFmtId="0" fontId="10" fillId="0" borderId="10" xfId="1" applyFill="1" applyBorder="1" applyAlignment="1">
      <alignment horizontal="center" vertical="center" wrapText="1"/>
    </xf>
    <xf numFmtId="0" fontId="17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0" fontId="12" fillId="0" borderId="1" xfId="1" applyFont="1" applyFill="1" applyBorder="1" applyAlignment="1">
      <alignment horizontal="center" vertical="center"/>
    </xf>
    <xf numFmtId="0" fontId="12" fillId="0" borderId="4" xfId="1" applyFont="1" applyFill="1" applyBorder="1" applyAlignment="1">
      <alignment horizontal="center" vertical="center"/>
    </xf>
    <xf numFmtId="0" fontId="12" fillId="0" borderId="7" xfId="1" applyFont="1" applyFill="1" applyBorder="1" applyAlignment="1">
      <alignment horizontal="center" vertical="center"/>
    </xf>
    <xf numFmtId="0" fontId="12" fillId="0" borderId="5" xfId="1" applyFont="1" applyFill="1" applyBorder="1" applyAlignment="1">
      <alignment horizontal="center" vertical="center" wrapText="1"/>
    </xf>
    <xf numFmtId="0" fontId="12" fillId="0" borderId="10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10" xfId="1" applyFont="1" applyFill="1" applyBorder="1" applyAlignment="1">
      <alignment horizontal="center" vertical="center" wrapText="1"/>
    </xf>
    <xf numFmtId="0" fontId="12" fillId="0" borderId="2" xfId="1" applyFont="1" applyFill="1" applyBorder="1" applyAlignment="1">
      <alignment horizontal="center" vertical="center"/>
    </xf>
    <xf numFmtId="0" fontId="12" fillId="0" borderId="10" xfId="1" applyFont="1" applyFill="1" applyBorder="1" applyAlignment="1">
      <alignment horizontal="center" vertical="center"/>
    </xf>
    <xf numFmtId="0" fontId="12" fillId="0" borderId="3" xfId="1" applyFont="1" applyFill="1" applyBorder="1" applyAlignment="1">
      <alignment horizontal="center" vertical="center"/>
    </xf>
    <xf numFmtId="0" fontId="12" fillId="0" borderId="6" xfId="1" applyFont="1" applyFill="1" applyBorder="1" applyAlignment="1">
      <alignment horizontal="center" vertical="center"/>
    </xf>
    <xf numFmtId="0" fontId="12" fillId="0" borderId="11" xfId="1" applyFont="1" applyFill="1" applyBorder="1" applyAlignment="1">
      <alignment horizontal="center" vertical="center"/>
    </xf>
    <xf numFmtId="0" fontId="12" fillId="0" borderId="3" xfId="1" applyFont="1" applyFill="1" applyBorder="1" applyAlignment="1">
      <alignment horizontal="center" vertical="center" wrapText="1"/>
    </xf>
    <xf numFmtId="0" fontId="12" fillId="0" borderId="6" xfId="1" applyFont="1" applyFill="1" applyBorder="1" applyAlignment="1">
      <alignment horizontal="center" vertical="center" wrapText="1"/>
    </xf>
    <xf numFmtId="0" fontId="12" fillId="0" borderId="11" xfId="1" applyFont="1" applyFill="1" applyBorder="1" applyAlignment="1">
      <alignment horizontal="center" vertical="center" wrapText="1"/>
    </xf>
    <xf numFmtId="0" fontId="1" fillId="0" borderId="9" xfId="1" applyFont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12" fillId="2" borderId="7" xfId="1" applyFont="1" applyFill="1" applyBorder="1" applyAlignment="1">
      <alignment horizontal="center"/>
    </xf>
    <xf numFmtId="0" fontId="12" fillId="2" borderId="3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/>
    </xf>
    <xf numFmtId="0" fontId="12" fillId="2" borderId="11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0" fontId="12" fillId="2" borderId="3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2" fillId="0" borderId="5" xfId="1" applyFont="1" applyFill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9" fillId="0" borderId="0" xfId="1" applyFont="1" applyBorder="1" applyAlignment="1">
      <alignment horizontal="center" vertical="center"/>
    </xf>
    <xf numFmtId="0" fontId="19" fillId="0" borderId="9" xfId="1" applyFont="1" applyBorder="1" applyAlignment="1">
      <alignment horizontal="right" vertical="center"/>
    </xf>
    <xf numFmtId="0" fontId="19" fillId="0" borderId="0" xfId="1" applyFont="1" applyBorder="1" applyAlignment="1">
      <alignment horizontal="right" vertical="center"/>
    </xf>
    <xf numFmtId="0" fontId="11" fillId="0" borderId="13" xfId="1" applyFont="1" applyBorder="1" applyAlignment="1">
      <alignment horizontal="center" vertical="center"/>
    </xf>
    <xf numFmtId="0" fontId="12" fillId="0" borderId="8" xfId="1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center" vertical="center"/>
    </xf>
    <xf numFmtId="0" fontId="12" fillId="0" borderId="8" xfId="1" applyFont="1" applyFill="1" applyBorder="1" applyAlignment="1">
      <alignment horizontal="center"/>
    </xf>
    <xf numFmtId="0" fontId="12" fillId="0" borderId="0" xfId="1" applyFont="1" applyFill="1" applyBorder="1" applyAlignment="1">
      <alignment horizontal="center"/>
    </xf>
    <xf numFmtId="0" fontId="11" fillId="0" borderId="15" xfId="1" applyFont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 wrapText="1"/>
    </xf>
    <xf numFmtId="0" fontId="10" fillId="0" borderId="5" xfId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2" borderId="7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 wrapText="1"/>
    </xf>
    <xf numFmtId="0" fontId="22" fillId="0" borderId="9" xfId="1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4" fillId="0" borderId="9" xfId="0" applyFont="1" applyFill="1" applyBorder="1" applyAlignment="1">
      <alignment horizontal="right"/>
    </xf>
    <xf numFmtId="0" fontId="4" fillId="0" borderId="3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3" fillId="0" borderId="2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0" borderId="10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12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/>
    </xf>
    <xf numFmtId="0" fontId="3" fillId="0" borderId="12" xfId="0" applyFont="1" applyFill="1" applyBorder="1" applyAlignment="1">
      <alignment vertical="center"/>
    </xf>
    <xf numFmtId="0" fontId="4" fillId="0" borderId="9" xfId="0" applyFont="1" applyBorder="1" applyAlignment="1">
      <alignment horizontal="right"/>
    </xf>
    <xf numFmtId="0" fontId="3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1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0" fillId="2" borderId="1" xfId="1" applyFill="1" applyBorder="1" applyAlignment="1">
      <alignment horizontal="center"/>
    </xf>
    <xf numFmtId="0" fontId="10" fillId="2" borderId="4" xfId="1" applyFill="1" applyBorder="1" applyAlignment="1">
      <alignment horizontal="center"/>
    </xf>
    <xf numFmtId="0" fontId="10" fillId="2" borderId="7" xfId="1" applyFill="1" applyBorder="1" applyAlignment="1">
      <alignment horizont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24" fillId="2" borderId="3" xfId="1" applyFont="1" applyFill="1" applyBorder="1" applyAlignment="1">
      <alignment vertical="center"/>
    </xf>
    <xf numFmtId="0" fontId="24" fillId="2" borderId="6" xfId="1" applyFont="1" applyFill="1" applyBorder="1" applyAlignment="1">
      <alignment vertical="center"/>
    </xf>
    <xf numFmtId="0" fontId="15" fillId="2" borderId="8" xfId="1" applyFont="1" applyFill="1" applyBorder="1" applyAlignment="1"/>
    <xf numFmtId="0" fontId="15" fillId="2" borderId="1" xfId="1" applyFont="1" applyFill="1" applyBorder="1" applyAlignment="1"/>
    <xf numFmtId="0" fontId="15" fillId="2" borderId="0" xfId="1" applyFont="1" applyFill="1" applyBorder="1" applyAlignment="1"/>
    <xf numFmtId="0" fontId="15" fillId="2" borderId="4" xfId="1" applyFont="1" applyFill="1" applyBorder="1" applyAlignment="1"/>
    <xf numFmtId="0" fontId="10" fillId="2" borderId="3" xfId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center" vertical="center"/>
    </xf>
    <xf numFmtId="0" fontId="24" fillId="2" borderId="2" xfId="1" applyFont="1" applyFill="1" applyBorder="1" applyAlignment="1">
      <alignment vertical="center"/>
    </xf>
    <xf numFmtId="0" fontId="24" fillId="2" borderId="5" xfId="1" applyFont="1" applyFill="1" applyBorder="1" applyAlignment="1">
      <alignment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distributed" vertical="center"/>
    </xf>
    <xf numFmtId="0" fontId="12" fillId="2" borderId="0" xfId="1" applyFont="1" applyFill="1" applyBorder="1" applyAlignment="1">
      <alignment horizontal="distributed" vertical="center"/>
    </xf>
    <xf numFmtId="0" fontId="12" fillId="2" borderId="9" xfId="1" applyFont="1" applyFill="1" applyBorder="1" applyAlignment="1">
      <alignment horizontal="distributed" vertical="center"/>
    </xf>
    <xf numFmtId="0" fontId="10" fillId="2" borderId="9" xfId="1" applyFill="1" applyBorder="1" applyAlignment="1"/>
    <xf numFmtId="0" fontId="10" fillId="2" borderId="0" xfId="1" applyFill="1" applyAlignment="1"/>
    <xf numFmtId="0" fontId="10" fillId="2" borderId="0" xfId="1" applyFill="1" applyBorder="1" applyAlignment="1"/>
    <xf numFmtId="0" fontId="27" fillId="3" borderId="0" xfId="1" applyFont="1" applyFill="1" applyAlignment="1">
      <alignment horizontal="center"/>
    </xf>
    <xf numFmtId="0" fontId="24" fillId="3" borderId="9" xfId="1" applyFont="1" applyFill="1" applyBorder="1" applyAlignment="1">
      <alignment horizontal="center" vertical="center"/>
    </xf>
    <xf numFmtId="0" fontId="15" fillId="2" borderId="14" xfId="1" applyFont="1" applyFill="1" applyBorder="1" applyAlignment="1"/>
    <xf numFmtId="0" fontId="15" fillId="2" borderId="15" xfId="1" applyFont="1" applyFill="1" applyBorder="1" applyAlignment="1"/>
    <xf numFmtId="0" fontId="10" fillId="2" borderId="2" xfId="1" applyFont="1" applyFill="1" applyBorder="1" applyAlignment="1">
      <alignment horizontal="center" vertical="center" wrapText="1"/>
    </xf>
    <xf numFmtId="0" fontId="10" fillId="0" borderId="5" xfId="1" applyBorder="1"/>
    <xf numFmtId="0" fontId="10" fillId="2" borderId="2" xfId="1" applyFill="1" applyBorder="1" applyAlignment="1">
      <alignment horizontal="center" vertical="center"/>
    </xf>
    <xf numFmtId="0" fontId="24" fillId="2" borderId="3" xfId="1" applyFont="1" applyFill="1" applyBorder="1" applyAlignment="1">
      <alignment horizontal="center" vertical="center"/>
    </xf>
    <xf numFmtId="0" fontId="24" fillId="2" borderId="6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/>
    </xf>
    <xf numFmtId="0" fontId="10" fillId="2" borderId="5" xfId="1" applyFont="1" applyFill="1" applyBorder="1" applyAlignment="1">
      <alignment horizontal="center"/>
    </xf>
    <xf numFmtId="0" fontId="10" fillId="2" borderId="3" xfId="1" applyFont="1" applyFill="1" applyBorder="1" applyAlignment="1">
      <alignment horizontal="center"/>
    </xf>
    <xf numFmtId="0" fontId="10" fillId="2" borderId="6" xfId="1" applyFont="1" applyFill="1" applyBorder="1" applyAlignment="1">
      <alignment horizontal="center"/>
    </xf>
    <xf numFmtId="0" fontId="1" fillId="0" borderId="9" xfId="1" applyFont="1" applyBorder="1" applyAlignment="1">
      <alignment horizontal="center"/>
    </xf>
    <xf numFmtId="0" fontId="12" fillId="0" borderId="9" xfId="1" applyFont="1" applyFill="1" applyBorder="1" applyAlignment="1">
      <alignment horizontal="center" vertical="center"/>
    </xf>
    <xf numFmtId="0" fontId="1" fillId="0" borderId="0" xfId="1" applyFont="1" applyFill="1" applyAlignment="1">
      <alignment horizontal="center"/>
    </xf>
    <xf numFmtId="0" fontId="10" fillId="0" borderId="0" xfId="1" applyFont="1" applyAlignment="1">
      <alignment horizontal="center"/>
    </xf>
    <xf numFmtId="0" fontId="10" fillId="0" borderId="0" xfId="1" applyAlignment="1">
      <alignment horizontal="center"/>
    </xf>
    <xf numFmtId="0" fontId="12" fillId="0" borderId="12" xfId="1" applyFont="1" applyFill="1" applyBorder="1" applyAlignment="1">
      <alignment horizontal="center" vertical="center" wrapText="1"/>
    </xf>
    <xf numFmtId="0" fontId="12" fillId="0" borderId="12" xfId="1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opLeftCell="A13" workbookViewId="0">
      <selection activeCell="J14" sqref="J14"/>
    </sheetView>
  </sheetViews>
  <sheetFormatPr defaultColWidth="8.75" defaultRowHeight="14.25"/>
  <cols>
    <col min="1" max="1" width="14.125" style="21" customWidth="1"/>
    <col min="2" max="2" width="9.25" style="21" customWidth="1"/>
    <col min="3" max="3" width="6.75" style="21" customWidth="1"/>
    <col min="4" max="4" width="7" style="21" customWidth="1"/>
    <col min="5" max="5" width="9" style="21" customWidth="1"/>
    <col min="6" max="6" width="7.75" style="21" customWidth="1"/>
    <col min="7" max="8" width="7.5" style="21" customWidth="1"/>
    <col min="9" max="9" width="7.625" style="21" customWidth="1"/>
    <col min="10" max="16384" width="8.75" style="21"/>
  </cols>
  <sheetData>
    <row r="1" spans="1:9" ht="18.75">
      <c r="A1" s="193" t="s">
        <v>47</v>
      </c>
      <c r="B1" s="193"/>
      <c r="C1" s="193"/>
      <c r="D1" s="193"/>
      <c r="E1" s="193"/>
      <c r="F1" s="193"/>
      <c r="G1" s="193"/>
    </row>
    <row r="2" spans="1:9">
      <c r="A2" s="194" t="s">
        <v>46</v>
      </c>
      <c r="B2" s="194"/>
      <c r="C2" s="194"/>
      <c r="D2" s="194"/>
      <c r="E2" s="194"/>
      <c r="F2" s="194"/>
      <c r="G2" s="194"/>
    </row>
    <row r="3" spans="1:9" s="29" customFormat="1">
      <c r="A3" s="198"/>
      <c r="B3" s="196" t="s">
        <v>45</v>
      </c>
      <c r="C3" s="33"/>
      <c r="D3" s="33"/>
      <c r="E3" s="33"/>
      <c r="F3" s="33"/>
      <c r="G3" s="33"/>
    </row>
    <row r="4" spans="1:9" s="29" customFormat="1" ht="30" customHeight="1">
      <c r="A4" s="199"/>
      <c r="B4" s="197"/>
      <c r="C4" s="32" t="s">
        <v>44</v>
      </c>
      <c r="D4" s="32" t="s">
        <v>43</v>
      </c>
      <c r="E4" s="32" t="s">
        <v>42</v>
      </c>
      <c r="F4" s="32" t="s">
        <v>41</v>
      </c>
      <c r="G4" s="31" t="s">
        <v>40</v>
      </c>
    </row>
    <row r="5" spans="1:9" s="29" customFormat="1" ht="15">
      <c r="A5" s="24" t="s">
        <v>33</v>
      </c>
      <c r="B5" s="120">
        <v>2086786</v>
      </c>
      <c r="C5" s="120">
        <v>610610</v>
      </c>
      <c r="D5" s="120">
        <v>23937</v>
      </c>
      <c r="E5" s="121">
        <v>1419255</v>
      </c>
      <c r="F5" s="120">
        <v>3112</v>
      </c>
      <c r="G5" s="122">
        <v>29872</v>
      </c>
    </row>
    <row r="6" spans="1:9" s="29" customFormat="1">
      <c r="A6" s="23" t="s">
        <v>10</v>
      </c>
      <c r="B6" s="121">
        <v>11167.312297743199</v>
      </c>
      <c r="C6" s="121">
        <v>3958.9323311168932</v>
      </c>
      <c r="D6" s="123">
        <v>283.91472260341112</v>
      </c>
      <c r="E6" s="121">
        <v>6274</v>
      </c>
      <c r="F6" s="124"/>
      <c r="G6" s="125">
        <v>650.46524402292039</v>
      </c>
    </row>
    <row r="7" spans="1:9" s="29" customFormat="1">
      <c r="A7" s="23" t="s">
        <v>11</v>
      </c>
      <c r="B7" s="121">
        <v>268352.59788176243</v>
      </c>
      <c r="C7" s="121">
        <v>64163.18359834249</v>
      </c>
      <c r="D7" s="123">
        <v>890.45981180160743</v>
      </c>
      <c r="E7" s="121">
        <v>196007</v>
      </c>
      <c r="F7" s="121">
        <v>708.20734654422415</v>
      </c>
      <c r="G7" s="125">
        <v>6583.7471250740955</v>
      </c>
    </row>
    <row r="8" spans="1:9" s="29" customFormat="1" ht="15">
      <c r="A8" s="23" t="s">
        <v>32</v>
      </c>
      <c r="B8" s="121">
        <v>150019.78484095068</v>
      </c>
      <c r="C8" s="121">
        <v>28956.459574058012</v>
      </c>
      <c r="D8" s="123">
        <v>881.07420113703199</v>
      </c>
      <c r="E8" s="121">
        <v>118766</v>
      </c>
      <c r="F8" s="121">
        <v>218.02561623972935</v>
      </c>
      <c r="G8" s="125">
        <v>1198.2254495159061</v>
      </c>
    </row>
    <row r="9" spans="1:9" s="29" customFormat="1">
      <c r="A9" s="23" t="s">
        <v>13</v>
      </c>
      <c r="B9" s="121">
        <v>112117.93346503589</v>
      </c>
      <c r="C9" s="121">
        <v>22894.491548617134</v>
      </c>
      <c r="D9" s="123">
        <v>998.39433444422662</v>
      </c>
      <c r="E9" s="121">
        <v>86946</v>
      </c>
      <c r="F9" s="121">
        <v>13.532624456259063</v>
      </c>
      <c r="G9" s="125">
        <v>1265.5149575182768</v>
      </c>
    </row>
    <row r="10" spans="1:9" s="29" customFormat="1">
      <c r="A10" s="23" t="s">
        <v>14</v>
      </c>
      <c r="B10" s="121">
        <v>100991.38785186849</v>
      </c>
      <c r="C10" s="121">
        <v>21025.649532620217</v>
      </c>
      <c r="D10" s="123">
        <v>2362.8274848069004</v>
      </c>
      <c r="E10" s="121">
        <v>76455</v>
      </c>
      <c r="F10" s="121">
        <v>24.05799903334945</v>
      </c>
      <c r="G10" s="125">
        <v>1123.852835408022</v>
      </c>
      <c r="I10" s="30"/>
    </row>
    <row r="11" spans="1:9" s="29" customFormat="1">
      <c r="A11" s="23" t="s">
        <v>15</v>
      </c>
      <c r="B11" s="121">
        <v>310638.38011024136</v>
      </c>
      <c r="C11" s="121">
        <v>53828.063582923773</v>
      </c>
      <c r="D11" s="123">
        <v>1000.7407371103706</v>
      </c>
      <c r="E11" s="121">
        <v>252855</v>
      </c>
      <c r="F11" s="121">
        <v>81.195746737554359</v>
      </c>
      <c r="G11" s="125">
        <v>2873.38004346967</v>
      </c>
    </row>
    <row r="12" spans="1:9" s="29" customFormat="1">
      <c r="A12" s="23" t="s">
        <v>16</v>
      </c>
      <c r="B12" s="121">
        <v>294745.304336884</v>
      </c>
      <c r="C12" s="121">
        <v>45204.087327744048</v>
      </c>
      <c r="D12" s="123">
        <v>1228.3417957263282</v>
      </c>
      <c r="E12" s="121">
        <v>243492</v>
      </c>
      <c r="F12" s="121">
        <v>159.09105905641701</v>
      </c>
      <c r="G12" s="125">
        <v>4661.7841543571976</v>
      </c>
    </row>
    <row r="13" spans="1:9" s="29" customFormat="1" ht="15">
      <c r="A13" s="23" t="s">
        <v>31</v>
      </c>
      <c r="B13" s="121">
        <v>254209.35721946592</v>
      </c>
      <c r="C13" s="121">
        <v>149210.79441071601</v>
      </c>
      <c r="D13" s="123">
        <v>4860.5731229170751</v>
      </c>
      <c r="E13" s="121">
        <v>95920</v>
      </c>
      <c r="F13" s="121"/>
      <c r="G13" s="125">
        <v>4217.9896858328393</v>
      </c>
    </row>
    <row r="14" spans="1:9" s="29" customFormat="1" ht="15">
      <c r="A14" s="23" t="s">
        <v>30</v>
      </c>
      <c r="B14" s="121">
        <v>67261.063390876196</v>
      </c>
      <c r="C14" s="121">
        <v>13657.375060229353</v>
      </c>
      <c r="D14" s="123">
        <v>1905.2789649088415</v>
      </c>
      <c r="E14" s="121">
        <v>50172</v>
      </c>
      <c r="F14" s="121"/>
      <c r="G14" s="125">
        <v>1526.4093657379963</v>
      </c>
    </row>
    <row r="15" spans="1:9" s="29" customFormat="1" ht="15">
      <c r="A15" s="23" t="s">
        <v>29</v>
      </c>
      <c r="B15" s="121">
        <v>98246.926090856621</v>
      </c>
      <c r="C15" s="121">
        <v>32902.446525970896</v>
      </c>
      <c r="D15" s="123">
        <v>2246.6805528327777</v>
      </c>
      <c r="E15" s="121">
        <v>61595</v>
      </c>
      <c r="F15" s="121"/>
      <c r="G15" s="125">
        <v>1502.7990120529539</v>
      </c>
    </row>
    <row r="16" spans="1:9" s="29" customFormat="1" ht="15">
      <c r="A16" s="23" t="s">
        <v>28</v>
      </c>
      <c r="B16" s="121">
        <v>134259.92940019688</v>
      </c>
      <c r="C16" s="121">
        <v>38929.108971764479</v>
      </c>
      <c r="D16" s="123">
        <v>3337.7577925896885</v>
      </c>
      <c r="E16" s="121">
        <v>90482</v>
      </c>
      <c r="F16" s="121"/>
      <c r="G16" s="125">
        <v>1511.0626358427187</v>
      </c>
    </row>
    <row r="17" spans="1:9" s="29" customFormat="1" ht="15">
      <c r="A17" s="23" t="s">
        <v>27</v>
      </c>
      <c r="B17" s="121">
        <v>185503.57171275283</v>
      </c>
      <c r="C17" s="121">
        <v>89702.063062542162</v>
      </c>
      <c r="D17" s="123">
        <v>3479.7151538913936</v>
      </c>
      <c r="E17" s="121">
        <v>89576</v>
      </c>
      <c r="F17" s="121">
        <v>724.74722087965188</v>
      </c>
      <c r="G17" s="125">
        <v>2021.0462754396362</v>
      </c>
    </row>
    <row r="18" spans="1:9" s="29" customFormat="1">
      <c r="A18" s="22" t="s">
        <v>22</v>
      </c>
      <c r="B18" s="121">
        <v>99272.670245560308</v>
      </c>
      <c r="C18" s="121">
        <v>46177.344473354533</v>
      </c>
      <c r="D18" s="123">
        <v>461.51042746382518</v>
      </c>
      <c r="E18" s="121">
        <v>50715</v>
      </c>
      <c r="F18" s="121">
        <v>1183.3528274528755</v>
      </c>
      <c r="G18" s="125">
        <v>735.46251728907328</v>
      </c>
    </row>
    <row r="19" spans="1:9">
      <c r="B19" s="187"/>
    </row>
    <row r="21" spans="1:9" ht="18.75">
      <c r="A21" s="192" t="s">
        <v>39</v>
      </c>
      <c r="B21" s="192"/>
      <c r="C21" s="192"/>
      <c r="D21" s="192"/>
      <c r="E21" s="192"/>
      <c r="F21" s="192"/>
      <c r="G21" s="192"/>
      <c r="H21" s="192"/>
      <c r="I21" s="192"/>
    </row>
    <row r="22" spans="1:9">
      <c r="A22" s="27"/>
      <c r="B22" s="191" t="s">
        <v>38</v>
      </c>
      <c r="C22" s="28"/>
      <c r="D22" s="191" t="s">
        <v>37</v>
      </c>
      <c r="E22" s="28"/>
      <c r="F22" s="191" t="s">
        <v>36</v>
      </c>
      <c r="G22" s="28"/>
      <c r="H22" s="191" t="s">
        <v>35</v>
      </c>
      <c r="I22" s="28"/>
    </row>
    <row r="23" spans="1:9">
      <c r="A23" s="27"/>
      <c r="B23" s="195"/>
      <c r="C23" s="26" t="s">
        <v>34</v>
      </c>
      <c r="D23" s="195"/>
      <c r="E23" s="26" t="s">
        <v>34</v>
      </c>
      <c r="F23" s="191"/>
      <c r="G23" s="25" t="s">
        <v>34</v>
      </c>
      <c r="H23" s="191"/>
      <c r="I23" s="25" t="s">
        <v>34</v>
      </c>
    </row>
    <row r="24" spans="1:9" ht="15">
      <c r="A24" s="24" t="s">
        <v>33</v>
      </c>
      <c r="B24" s="126">
        <f>B25+B26+B27+B28+B29+B30+B31+B32+B33+B34+B35+B36+B37</f>
        <v>61</v>
      </c>
      <c r="C24" s="126">
        <f t="shared" ref="C24:E24" si="0">C25+C26+C27+C28+C29+C30+C31+C32+C33+C34+C35+C36+C37</f>
        <v>50</v>
      </c>
      <c r="D24" s="126">
        <v>846</v>
      </c>
      <c r="E24" s="126">
        <f t="shared" si="0"/>
        <v>579</v>
      </c>
      <c r="F24" s="126">
        <f>F25+F26+F27+F28+F29+F30+F31+F32+F33+F34+F35+F36+F37</f>
        <v>152480</v>
      </c>
      <c r="G24" s="126">
        <f t="shared" ref="G24:I24" si="1">G25+G26+G27+G28+G29+G30+G31+G32+G33+G34+G35+G36+G37</f>
        <v>79071</v>
      </c>
      <c r="H24" s="126">
        <f t="shared" si="1"/>
        <v>468142</v>
      </c>
      <c r="I24" s="126">
        <f t="shared" si="1"/>
        <v>229851</v>
      </c>
    </row>
    <row r="25" spans="1:9">
      <c r="A25" s="23" t="s">
        <v>10</v>
      </c>
      <c r="B25" s="113">
        <v>1</v>
      </c>
      <c r="C25" s="113">
        <v>1</v>
      </c>
      <c r="D25" s="113">
        <v>5</v>
      </c>
      <c r="E25" s="113">
        <v>5</v>
      </c>
      <c r="F25" s="113">
        <v>886</v>
      </c>
      <c r="G25" s="113">
        <v>886</v>
      </c>
      <c r="H25" s="113">
        <v>2292</v>
      </c>
      <c r="I25" s="113">
        <v>2292</v>
      </c>
    </row>
    <row r="26" spans="1:9">
      <c r="A26" s="23" t="s">
        <v>11</v>
      </c>
      <c r="B26" s="113">
        <v>4</v>
      </c>
      <c r="C26" s="113">
        <v>4</v>
      </c>
      <c r="D26" s="113">
        <v>22</v>
      </c>
      <c r="E26" s="113">
        <v>22</v>
      </c>
      <c r="F26" s="113">
        <v>3917</v>
      </c>
      <c r="G26" s="113">
        <v>3917</v>
      </c>
      <c r="H26" s="113">
        <v>8107</v>
      </c>
      <c r="I26" s="113">
        <v>8107</v>
      </c>
    </row>
    <row r="27" spans="1:9" ht="15">
      <c r="A27" s="23" t="s">
        <v>32</v>
      </c>
      <c r="B27" s="113">
        <v>6</v>
      </c>
      <c r="C27" s="113">
        <v>6</v>
      </c>
      <c r="D27" s="113">
        <v>71</v>
      </c>
      <c r="E27" s="113">
        <v>71</v>
      </c>
      <c r="F27" s="113">
        <v>5847</v>
      </c>
      <c r="G27" s="113">
        <v>5847</v>
      </c>
      <c r="H27" s="113">
        <v>20001</v>
      </c>
      <c r="I27" s="113">
        <v>20001</v>
      </c>
    </row>
    <row r="28" spans="1:9">
      <c r="A28" s="23" t="s">
        <v>13</v>
      </c>
      <c r="B28" s="113">
        <v>6</v>
      </c>
      <c r="C28" s="113">
        <v>6</v>
      </c>
      <c r="D28" s="113">
        <v>49</v>
      </c>
      <c r="E28" s="113">
        <v>49</v>
      </c>
      <c r="F28" s="113">
        <v>5662</v>
      </c>
      <c r="G28" s="113">
        <v>5662</v>
      </c>
      <c r="H28" s="113">
        <v>20146</v>
      </c>
      <c r="I28" s="113">
        <v>20146</v>
      </c>
    </row>
    <row r="29" spans="1:9">
      <c r="A29" s="23" t="s">
        <v>14</v>
      </c>
      <c r="B29" s="113">
        <v>6</v>
      </c>
      <c r="C29" s="113">
        <v>6</v>
      </c>
      <c r="D29" s="113">
        <v>63</v>
      </c>
      <c r="E29" s="113">
        <v>58</v>
      </c>
      <c r="F29" s="113">
        <v>9163</v>
      </c>
      <c r="G29" s="113">
        <v>8538</v>
      </c>
      <c r="H29" s="113">
        <v>23560</v>
      </c>
      <c r="I29" s="113">
        <v>21944</v>
      </c>
    </row>
    <row r="30" spans="1:9">
      <c r="A30" s="23" t="s">
        <v>15</v>
      </c>
      <c r="B30" s="113">
        <v>8</v>
      </c>
      <c r="C30" s="113">
        <v>8</v>
      </c>
      <c r="D30" s="113">
        <v>57</v>
      </c>
      <c r="E30" s="113">
        <v>57</v>
      </c>
      <c r="F30" s="113">
        <v>8001</v>
      </c>
      <c r="G30" s="113">
        <v>8001</v>
      </c>
      <c r="H30" s="113">
        <v>32129</v>
      </c>
      <c r="I30" s="113">
        <v>32129</v>
      </c>
    </row>
    <row r="31" spans="1:9">
      <c r="A31" s="23" t="s">
        <v>16</v>
      </c>
      <c r="B31" s="113">
        <v>6</v>
      </c>
      <c r="C31" s="113">
        <v>6</v>
      </c>
      <c r="D31" s="113">
        <v>93</v>
      </c>
      <c r="E31" s="113">
        <v>93</v>
      </c>
      <c r="F31" s="113">
        <v>14204</v>
      </c>
      <c r="G31" s="113">
        <v>14204</v>
      </c>
      <c r="H31" s="113">
        <v>40517</v>
      </c>
      <c r="I31" s="113">
        <v>40517</v>
      </c>
    </row>
    <row r="32" spans="1:9" ht="15">
      <c r="A32" s="23" t="s">
        <v>31</v>
      </c>
      <c r="B32" s="113">
        <v>6</v>
      </c>
      <c r="C32" s="113">
        <v>1</v>
      </c>
      <c r="D32" s="113">
        <v>174</v>
      </c>
      <c r="E32" s="113">
        <v>19</v>
      </c>
      <c r="F32" s="113">
        <v>34425</v>
      </c>
      <c r="G32" s="113">
        <v>1304</v>
      </c>
      <c r="H32" s="113">
        <v>120435</v>
      </c>
      <c r="I32" s="113">
        <v>2945</v>
      </c>
    </row>
    <row r="33" spans="1:9" ht="15">
      <c r="A33" s="23" t="s">
        <v>30</v>
      </c>
      <c r="B33" s="113">
        <v>3</v>
      </c>
      <c r="C33" s="113">
        <v>3</v>
      </c>
      <c r="D33" s="113">
        <v>60</v>
      </c>
      <c r="E33" s="113">
        <v>60</v>
      </c>
      <c r="F33" s="113">
        <v>6198</v>
      </c>
      <c r="G33" s="113">
        <v>6198</v>
      </c>
      <c r="H33" s="113">
        <v>18350</v>
      </c>
      <c r="I33" s="113">
        <v>18350</v>
      </c>
    </row>
    <row r="34" spans="1:9" ht="15">
      <c r="A34" s="23" t="s">
        <v>29</v>
      </c>
      <c r="B34" s="113">
        <v>4</v>
      </c>
      <c r="C34" s="113">
        <v>3</v>
      </c>
      <c r="D34" s="113">
        <v>76</v>
      </c>
      <c r="E34" s="113">
        <v>54</v>
      </c>
      <c r="F34" s="113">
        <v>22817</v>
      </c>
      <c r="G34" s="113">
        <v>11308</v>
      </c>
      <c r="H34" s="113">
        <v>54995</v>
      </c>
      <c r="I34" s="113">
        <v>26109</v>
      </c>
    </row>
    <row r="35" spans="1:9" ht="15">
      <c r="A35" s="23" t="s">
        <v>28</v>
      </c>
      <c r="B35" s="113">
        <v>6</v>
      </c>
      <c r="C35" s="113">
        <v>5</v>
      </c>
      <c r="D35" s="113">
        <v>102</v>
      </c>
      <c r="E35" s="113">
        <v>82</v>
      </c>
      <c r="F35" s="113">
        <v>18373</v>
      </c>
      <c r="G35" s="113">
        <v>12269</v>
      </c>
      <c r="H35" s="113">
        <v>52931</v>
      </c>
      <c r="I35" s="113">
        <v>34547</v>
      </c>
    </row>
    <row r="36" spans="1:9" ht="15">
      <c r="A36" s="23" t="s">
        <v>27</v>
      </c>
      <c r="B36" s="113">
        <v>4</v>
      </c>
      <c r="C36" s="113"/>
      <c r="D36" s="113">
        <v>65</v>
      </c>
      <c r="E36" s="113"/>
      <c r="F36" s="113">
        <v>22050</v>
      </c>
      <c r="G36" s="113"/>
      <c r="H36" s="113">
        <v>71915</v>
      </c>
      <c r="I36" s="113"/>
    </row>
    <row r="37" spans="1:9">
      <c r="A37" s="22" t="s">
        <v>22</v>
      </c>
      <c r="B37" s="113">
        <v>1</v>
      </c>
      <c r="C37" s="113">
        <v>1</v>
      </c>
      <c r="D37" s="113">
        <v>9</v>
      </c>
      <c r="E37" s="113">
        <v>9</v>
      </c>
      <c r="F37" s="113">
        <v>937</v>
      </c>
      <c r="G37" s="113">
        <v>937</v>
      </c>
      <c r="H37" s="113">
        <v>2764</v>
      </c>
      <c r="I37" s="113">
        <v>2764</v>
      </c>
    </row>
  </sheetData>
  <mergeCells count="9">
    <mergeCell ref="H22:H23"/>
    <mergeCell ref="A21:I21"/>
    <mergeCell ref="A1:G1"/>
    <mergeCell ref="A2:G2"/>
    <mergeCell ref="B22:B23"/>
    <mergeCell ref="D22:D23"/>
    <mergeCell ref="F22:F23"/>
    <mergeCell ref="B3:B4"/>
    <mergeCell ref="A3:A4"/>
  </mergeCells>
  <phoneticPr fontId="3" type="noConversion"/>
  <pageMargins left="0.75" right="0.75" top="1" bottom="1" header="0.5" footer="0.5"/>
  <pageSetup paperSize="9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4"/>
  <sheetViews>
    <sheetView topLeftCell="A7" zoomScaleSheetLayoutView="100" workbookViewId="0">
      <selection activeCell="A39" sqref="A39:XFD39"/>
    </sheetView>
  </sheetViews>
  <sheetFormatPr defaultRowHeight="14.25"/>
  <cols>
    <col min="1" max="1" width="12.25" style="29" customWidth="1"/>
    <col min="2" max="5" width="9" style="29"/>
    <col min="6" max="6" width="10.375" style="29" customWidth="1"/>
    <col min="7" max="8" width="9" style="29"/>
    <col min="9" max="16384" width="9" style="21"/>
  </cols>
  <sheetData>
    <row r="1" spans="1:8" ht="20.25">
      <c r="A1" s="203" t="s">
        <v>63</v>
      </c>
      <c r="B1" s="203"/>
      <c r="C1" s="203"/>
      <c r="D1" s="203"/>
      <c r="E1" s="203"/>
      <c r="F1" s="203"/>
      <c r="G1" s="203"/>
    </row>
    <row r="2" spans="1:8" ht="20.25">
      <c r="A2" s="37"/>
      <c r="B2" s="37"/>
      <c r="C2" s="38"/>
      <c r="D2" s="38"/>
      <c r="E2" s="37"/>
    </row>
    <row r="3" spans="1:8" ht="14.25" customHeight="1">
      <c r="A3" s="200"/>
      <c r="B3" s="218" t="s">
        <v>62</v>
      </c>
      <c r="C3" s="36"/>
      <c r="D3" s="221" t="s">
        <v>61</v>
      </c>
      <c r="E3" s="35"/>
      <c r="F3" s="204" t="s">
        <v>60</v>
      </c>
      <c r="G3" s="204" t="s">
        <v>59</v>
      </c>
      <c r="H3" s="21"/>
    </row>
    <row r="4" spans="1:8" ht="14.25" customHeight="1">
      <c r="A4" s="201"/>
      <c r="B4" s="219"/>
      <c r="C4" s="216" t="s">
        <v>58</v>
      </c>
      <c r="D4" s="222"/>
      <c r="E4" s="214" t="s">
        <v>57</v>
      </c>
      <c r="F4" s="205"/>
      <c r="G4" s="212"/>
      <c r="H4" s="21"/>
    </row>
    <row r="5" spans="1:8">
      <c r="A5" s="202"/>
      <c r="B5" s="220"/>
      <c r="C5" s="217"/>
      <c r="D5" s="223"/>
      <c r="E5" s="215"/>
      <c r="F5" s="206"/>
      <c r="G5" s="213"/>
      <c r="H5" s="21"/>
    </row>
    <row r="6" spans="1:8" ht="15">
      <c r="A6" s="24" t="s">
        <v>56</v>
      </c>
      <c r="B6" s="115">
        <f>B7+B8+B9+B10+B11+B12+B13+B14+B15+B16+B18+B17+B19</f>
        <v>294163</v>
      </c>
      <c r="C6" s="119">
        <f t="shared" ref="C6:G6" si="0">C7+C8+C9+C10+C11+C12+C13+C14+C15+C16+C18+C17+C19</f>
        <v>153814</v>
      </c>
      <c r="D6" s="115">
        <f t="shared" si="0"/>
        <v>248657</v>
      </c>
      <c r="E6" s="115">
        <f t="shared" si="0"/>
        <v>142969</v>
      </c>
      <c r="F6" s="115">
        <f t="shared" si="0"/>
        <v>4474</v>
      </c>
      <c r="G6" s="115">
        <f t="shared" si="0"/>
        <v>10550</v>
      </c>
      <c r="H6" s="21"/>
    </row>
    <row r="7" spans="1:8">
      <c r="A7" s="23" t="s">
        <v>10</v>
      </c>
      <c r="B7" s="111">
        <v>1215</v>
      </c>
      <c r="C7" s="112">
        <v>729</v>
      </c>
      <c r="D7" s="113">
        <v>1031</v>
      </c>
      <c r="E7" s="112">
        <v>783</v>
      </c>
      <c r="F7" s="114">
        <v>0</v>
      </c>
      <c r="G7" s="114">
        <v>10</v>
      </c>
      <c r="H7" s="21"/>
    </row>
    <row r="8" spans="1:8">
      <c r="A8" s="23" t="s">
        <v>11</v>
      </c>
      <c r="B8" s="111">
        <v>6114</v>
      </c>
      <c r="C8" s="112">
        <v>3398</v>
      </c>
      <c r="D8" s="113">
        <v>5366</v>
      </c>
      <c r="E8" s="112">
        <v>5366</v>
      </c>
      <c r="F8" s="114">
        <v>5</v>
      </c>
      <c r="G8" s="114">
        <v>4</v>
      </c>
      <c r="H8" s="21"/>
    </row>
    <row r="9" spans="1:8" ht="15">
      <c r="A9" s="23" t="s">
        <v>32</v>
      </c>
      <c r="B9" s="111">
        <v>12992</v>
      </c>
      <c r="C9" s="112">
        <v>6626</v>
      </c>
      <c r="D9" s="113">
        <v>12680</v>
      </c>
      <c r="E9" s="112">
        <v>12680</v>
      </c>
      <c r="F9" s="114">
        <v>65</v>
      </c>
      <c r="G9" s="114">
        <v>83</v>
      </c>
      <c r="H9" s="21"/>
    </row>
    <row r="10" spans="1:8">
      <c r="A10" s="23" t="s">
        <v>13</v>
      </c>
      <c r="B10" s="111">
        <v>13680</v>
      </c>
      <c r="C10" s="112">
        <v>6780</v>
      </c>
      <c r="D10" s="113">
        <v>12316</v>
      </c>
      <c r="E10" s="112">
        <v>12316</v>
      </c>
      <c r="F10" s="114">
        <v>50</v>
      </c>
      <c r="G10" s="114">
        <v>65</v>
      </c>
      <c r="H10" s="21"/>
    </row>
    <row r="11" spans="1:8">
      <c r="A11" s="23" t="s">
        <v>14</v>
      </c>
      <c r="B11" s="111">
        <v>16514</v>
      </c>
      <c r="C11" s="112">
        <v>8642</v>
      </c>
      <c r="D11" s="113">
        <v>16255</v>
      </c>
      <c r="E11" s="112">
        <v>14932</v>
      </c>
      <c r="F11" s="114">
        <v>50</v>
      </c>
      <c r="G11" s="114">
        <v>68</v>
      </c>
      <c r="H11" s="21"/>
    </row>
    <row r="12" spans="1:8">
      <c r="A12" s="23" t="s">
        <v>15</v>
      </c>
      <c r="B12" s="111">
        <v>21423</v>
      </c>
      <c r="C12" s="112">
        <v>10832</v>
      </c>
      <c r="D12" s="113">
        <v>20362</v>
      </c>
      <c r="E12" s="112">
        <v>20362</v>
      </c>
      <c r="F12" s="114">
        <v>3</v>
      </c>
      <c r="G12" s="114">
        <v>9</v>
      </c>
      <c r="H12" s="21"/>
    </row>
    <row r="13" spans="1:8">
      <c r="A13" s="23" t="s">
        <v>16</v>
      </c>
      <c r="B13" s="111">
        <v>27393</v>
      </c>
      <c r="C13" s="112">
        <v>14352</v>
      </c>
      <c r="D13" s="113">
        <v>25948</v>
      </c>
      <c r="E13" s="112">
        <v>25948</v>
      </c>
      <c r="F13" s="114">
        <v>309</v>
      </c>
      <c r="G13" s="114">
        <v>141</v>
      </c>
      <c r="H13" s="21"/>
    </row>
    <row r="14" spans="1:8" ht="15">
      <c r="A14" s="23" t="s">
        <v>31</v>
      </c>
      <c r="B14" s="111">
        <v>77969</v>
      </c>
      <c r="C14" s="112">
        <v>40140</v>
      </c>
      <c r="D14" s="113">
        <v>61066</v>
      </c>
      <c r="E14" s="112">
        <v>3340</v>
      </c>
      <c r="F14" s="114">
        <v>2433</v>
      </c>
      <c r="G14" s="114">
        <v>2842</v>
      </c>
      <c r="H14" s="21"/>
    </row>
    <row r="15" spans="1:8" ht="15">
      <c r="A15" s="23" t="s">
        <v>30</v>
      </c>
      <c r="B15" s="111">
        <v>13882</v>
      </c>
      <c r="C15" s="112">
        <v>7339</v>
      </c>
      <c r="D15" s="113">
        <v>12700</v>
      </c>
      <c r="E15" s="112">
        <v>12700</v>
      </c>
      <c r="F15" s="114">
        <v>93</v>
      </c>
      <c r="G15" s="114">
        <v>40</v>
      </c>
      <c r="H15" s="21"/>
    </row>
    <row r="16" spans="1:8" ht="15">
      <c r="A16" s="23" t="s">
        <v>29</v>
      </c>
      <c r="B16" s="111">
        <v>26359</v>
      </c>
      <c r="C16" s="112">
        <v>14334</v>
      </c>
      <c r="D16" s="113">
        <v>25835</v>
      </c>
      <c r="E16" s="112">
        <v>14663</v>
      </c>
      <c r="F16" s="114">
        <v>0</v>
      </c>
      <c r="G16" s="114">
        <v>216</v>
      </c>
      <c r="H16" s="21"/>
    </row>
    <row r="17" spans="1:8" ht="15">
      <c r="A17" s="23" t="s">
        <v>28</v>
      </c>
      <c r="B17" s="111">
        <v>32891</v>
      </c>
      <c r="C17" s="112">
        <v>17048</v>
      </c>
      <c r="D17" s="113">
        <v>19309</v>
      </c>
      <c r="E17" s="112">
        <v>15461</v>
      </c>
      <c r="F17" s="114">
        <v>886</v>
      </c>
      <c r="G17" s="114">
        <v>4683</v>
      </c>
      <c r="H17" s="21"/>
    </row>
    <row r="18" spans="1:8" ht="15">
      <c r="A18" s="23" t="s">
        <v>27</v>
      </c>
      <c r="B18" s="111">
        <v>41912</v>
      </c>
      <c r="C18" s="112">
        <v>22515</v>
      </c>
      <c r="D18" s="113">
        <v>34378</v>
      </c>
      <c r="E18" s="112">
        <v>3429</v>
      </c>
      <c r="F18" s="114">
        <v>580</v>
      </c>
      <c r="G18" s="114">
        <v>2282</v>
      </c>
      <c r="H18" s="21"/>
    </row>
    <row r="19" spans="1:8">
      <c r="A19" s="22" t="s">
        <v>22</v>
      </c>
      <c r="B19" s="111">
        <v>1819</v>
      </c>
      <c r="C19" s="112">
        <v>1079</v>
      </c>
      <c r="D19" s="113">
        <v>1411</v>
      </c>
      <c r="E19" s="112">
        <v>989</v>
      </c>
      <c r="F19" s="114">
        <v>0</v>
      </c>
      <c r="G19" s="114">
        <v>107</v>
      </c>
      <c r="H19" s="21"/>
    </row>
    <row r="20" spans="1:8">
      <c r="H20" s="34"/>
    </row>
    <row r="21" spans="1:8" ht="20.25">
      <c r="A21" s="207" t="s">
        <v>55</v>
      </c>
      <c r="B21" s="208"/>
      <c r="C21" s="208"/>
      <c r="D21" s="208"/>
      <c r="E21" s="208"/>
      <c r="H21" s="34"/>
    </row>
    <row r="22" spans="1:8" ht="14.25" customHeight="1">
      <c r="A22" s="209"/>
      <c r="B22" s="204" t="s">
        <v>54</v>
      </c>
      <c r="C22" s="204" t="s">
        <v>53</v>
      </c>
      <c r="D22" s="204" t="s">
        <v>52</v>
      </c>
      <c r="E22" s="204" t="s">
        <v>51</v>
      </c>
      <c r="F22" s="204" t="s">
        <v>50</v>
      </c>
      <c r="G22" s="191" t="s">
        <v>49</v>
      </c>
      <c r="H22" s="21"/>
    </row>
    <row r="23" spans="1:8">
      <c r="A23" s="210"/>
      <c r="B23" s="212"/>
      <c r="C23" s="212"/>
      <c r="D23" s="212"/>
      <c r="E23" s="212"/>
      <c r="F23" s="205"/>
      <c r="G23" s="191"/>
      <c r="H23" s="21"/>
    </row>
    <row r="24" spans="1:8">
      <c r="A24" s="211"/>
      <c r="B24" s="213"/>
      <c r="C24" s="213"/>
      <c r="D24" s="213"/>
      <c r="E24" s="213"/>
      <c r="F24" s="206"/>
      <c r="G24" s="191"/>
      <c r="H24" s="21"/>
    </row>
    <row r="25" spans="1:8" ht="15">
      <c r="A25" s="24" t="s">
        <v>48</v>
      </c>
      <c r="B25" s="116">
        <f t="shared" ref="B25:G25" si="1">B26+B27+B28+B29+B30+B31+B32+B33+B34+B35+B36+B37+B38</f>
        <v>4349</v>
      </c>
      <c r="C25" s="116">
        <f t="shared" si="1"/>
        <v>652</v>
      </c>
      <c r="D25" s="117">
        <f t="shared" si="1"/>
        <v>6751</v>
      </c>
      <c r="E25" s="117">
        <f t="shared" si="1"/>
        <v>8111</v>
      </c>
      <c r="F25" s="116">
        <f t="shared" si="1"/>
        <v>10619</v>
      </c>
      <c r="G25" s="118">
        <f t="shared" si="1"/>
        <v>319701</v>
      </c>
      <c r="H25" s="21"/>
    </row>
    <row r="26" spans="1:8">
      <c r="A26" s="23" t="s">
        <v>10</v>
      </c>
      <c r="B26" s="114">
        <v>11</v>
      </c>
      <c r="C26" s="114">
        <v>0</v>
      </c>
      <c r="D26" s="114">
        <v>124</v>
      </c>
      <c r="E26" s="114">
        <v>25</v>
      </c>
      <c r="F26" s="114">
        <v>14</v>
      </c>
      <c r="G26" s="111">
        <v>1352</v>
      </c>
      <c r="H26" s="21"/>
    </row>
    <row r="27" spans="1:8">
      <c r="A27" s="23" t="s">
        <v>11</v>
      </c>
      <c r="B27" s="114">
        <v>8</v>
      </c>
      <c r="C27" s="114">
        <v>7</v>
      </c>
      <c r="D27" s="114">
        <v>219</v>
      </c>
      <c r="E27" s="114">
        <v>200</v>
      </c>
      <c r="F27" s="114">
        <v>305</v>
      </c>
      <c r="G27" s="111">
        <v>6371</v>
      </c>
      <c r="H27" s="21"/>
    </row>
    <row r="28" spans="1:8" ht="15">
      <c r="A28" s="23" t="s">
        <v>32</v>
      </c>
      <c r="B28" s="114">
        <v>45</v>
      </c>
      <c r="C28" s="114">
        <v>18</v>
      </c>
      <c r="D28" s="114">
        <v>36</v>
      </c>
      <c r="E28" s="114">
        <v>50</v>
      </c>
      <c r="F28" s="114">
        <v>15</v>
      </c>
      <c r="G28" s="111">
        <v>14000</v>
      </c>
      <c r="H28" s="21"/>
    </row>
    <row r="29" spans="1:8">
      <c r="A29" s="23" t="s">
        <v>13</v>
      </c>
      <c r="B29" s="114">
        <v>185</v>
      </c>
      <c r="C29" s="114">
        <v>96</v>
      </c>
      <c r="D29" s="114">
        <v>303</v>
      </c>
      <c r="E29" s="114">
        <v>305</v>
      </c>
      <c r="F29" s="114">
        <v>360</v>
      </c>
      <c r="G29" s="111">
        <v>16050</v>
      </c>
      <c r="H29" s="21"/>
    </row>
    <row r="30" spans="1:8">
      <c r="A30" s="23" t="s">
        <v>14</v>
      </c>
      <c r="B30" s="114">
        <v>17</v>
      </c>
      <c r="C30" s="114">
        <v>1</v>
      </c>
      <c r="D30" s="114">
        <v>37</v>
      </c>
      <c r="E30" s="114">
        <v>74</v>
      </c>
      <c r="F30" s="114">
        <v>12</v>
      </c>
      <c r="G30" s="111">
        <v>19666</v>
      </c>
      <c r="H30" s="21"/>
    </row>
    <row r="31" spans="1:8">
      <c r="A31" s="23" t="s">
        <v>15</v>
      </c>
      <c r="B31" s="114">
        <v>80</v>
      </c>
      <c r="C31" s="114">
        <v>20</v>
      </c>
      <c r="D31" s="114">
        <v>257</v>
      </c>
      <c r="E31" s="114">
        <v>294</v>
      </c>
      <c r="F31" s="114">
        <v>398</v>
      </c>
      <c r="G31" s="111">
        <v>22837</v>
      </c>
      <c r="H31" s="21"/>
    </row>
    <row r="32" spans="1:8">
      <c r="A32" s="23" t="s">
        <v>16</v>
      </c>
      <c r="B32" s="114">
        <v>74</v>
      </c>
      <c r="C32" s="114">
        <v>49</v>
      </c>
      <c r="D32" s="114">
        <v>268</v>
      </c>
      <c r="E32" s="114">
        <v>138</v>
      </c>
      <c r="F32" s="114">
        <v>466</v>
      </c>
      <c r="G32" s="111">
        <v>28864</v>
      </c>
      <c r="H32" s="21"/>
    </row>
    <row r="33" spans="1:8" ht="15">
      <c r="A33" s="23" t="s">
        <v>31</v>
      </c>
      <c r="B33" s="114">
        <v>1558</v>
      </c>
      <c r="C33" s="114">
        <v>90</v>
      </c>
      <c r="D33" s="114">
        <v>2577</v>
      </c>
      <c r="E33" s="114">
        <v>4011</v>
      </c>
      <c r="F33" s="114">
        <v>3392</v>
      </c>
      <c r="G33" s="111">
        <v>82923</v>
      </c>
      <c r="H33" s="21"/>
    </row>
    <row r="34" spans="1:8" ht="15">
      <c r="A34" s="23" t="s">
        <v>30</v>
      </c>
      <c r="B34" s="114">
        <v>130</v>
      </c>
      <c r="C34" s="114">
        <v>35</v>
      </c>
      <c r="D34" s="114">
        <v>310</v>
      </c>
      <c r="E34" s="114">
        <v>243</v>
      </c>
      <c r="F34" s="114">
        <v>331</v>
      </c>
      <c r="G34" s="111">
        <v>14724</v>
      </c>
      <c r="H34" s="21"/>
    </row>
    <row r="35" spans="1:8" ht="15">
      <c r="A35" s="23" t="s">
        <v>29</v>
      </c>
      <c r="B35" s="114">
        <v>116</v>
      </c>
      <c r="C35" s="114">
        <v>0</v>
      </c>
      <c r="D35" s="114">
        <v>192</v>
      </c>
      <c r="E35" s="114">
        <v>0</v>
      </c>
      <c r="F35" s="114">
        <v>0</v>
      </c>
      <c r="G35" s="111">
        <v>28786</v>
      </c>
      <c r="H35" s="21"/>
    </row>
    <row r="36" spans="1:8" ht="15">
      <c r="A36" s="23" t="s">
        <v>28</v>
      </c>
      <c r="B36" s="114">
        <v>1638</v>
      </c>
      <c r="C36" s="114">
        <v>76</v>
      </c>
      <c r="D36" s="114">
        <v>1749</v>
      </c>
      <c r="E36" s="114">
        <v>1984</v>
      </c>
      <c r="F36" s="114">
        <v>2566</v>
      </c>
      <c r="G36" s="111">
        <v>38346</v>
      </c>
      <c r="H36" s="21"/>
    </row>
    <row r="37" spans="1:8" ht="15">
      <c r="A37" s="23" t="s">
        <v>27</v>
      </c>
      <c r="B37" s="114">
        <v>407</v>
      </c>
      <c r="C37" s="114">
        <v>260</v>
      </c>
      <c r="D37" s="114">
        <v>587</v>
      </c>
      <c r="E37" s="114">
        <v>708</v>
      </c>
      <c r="F37" s="114">
        <v>2710</v>
      </c>
      <c r="G37" s="111">
        <v>43879</v>
      </c>
      <c r="H37" s="21"/>
    </row>
    <row r="38" spans="1:8">
      <c r="A38" s="23" t="s">
        <v>22</v>
      </c>
      <c r="B38" s="114">
        <v>80</v>
      </c>
      <c r="C38" s="114">
        <v>0</v>
      </c>
      <c r="D38" s="114">
        <v>92</v>
      </c>
      <c r="E38" s="114">
        <v>79</v>
      </c>
      <c r="F38" s="114">
        <v>50</v>
      </c>
      <c r="G38" s="111">
        <v>1903</v>
      </c>
      <c r="H38" s="21"/>
    </row>
    <row r="39" spans="1:8">
      <c r="H39" s="21"/>
    </row>
    <row r="40" spans="1:8">
      <c r="H40" s="21"/>
    </row>
    <row r="41" spans="1:8">
      <c r="H41" s="21"/>
    </row>
    <row r="42" spans="1:8">
      <c r="H42" s="21"/>
    </row>
    <row r="43" spans="1:8">
      <c r="H43" s="21"/>
    </row>
    <row r="44" spans="1:8">
      <c r="H44" s="21"/>
    </row>
    <row r="45" spans="1:8">
      <c r="H45" s="21"/>
    </row>
    <row r="46" spans="1:8">
      <c r="H46" s="21"/>
    </row>
    <row r="47" spans="1:8">
      <c r="H47" s="21"/>
    </row>
    <row r="48" spans="1:8">
      <c r="H48" s="21"/>
    </row>
    <row r="49" spans="8:8">
      <c r="H49" s="21"/>
    </row>
    <row r="50" spans="8:8">
      <c r="H50" s="21"/>
    </row>
    <row r="51" spans="8:8">
      <c r="H51" s="21"/>
    </row>
    <row r="52" spans="8:8">
      <c r="H52" s="21"/>
    </row>
    <row r="53" spans="8:8">
      <c r="H53" s="21"/>
    </row>
    <row r="54" spans="8:8">
      <c r="H54" s="21"/>
    </row>
  </sheetData>
  <mergeCells count="16">
    <mergeCell ref="A3:A5"/>
    <mergeCell ref="A1:G1"/>
    <mergeCell ref="F22:F24"/>
    <mergeCell ref="A21:E21"/>
    <mergeCell ref="A22:A24"/>
    <mergeCell ref="B22:B24"/>
    <mergeCell ref="E4:E5"/>
    <mergeCell ref="C22:C24"/>
    <mergeCell ref="D22:D24"/>
    <mergeCell ref="F3:F5"/>
    <mergeCell ref="E22:E24"/>
    <mergeCell ref="G22:G24"/>
    <mergeCell ref="C4:C5"/>
    <mergeCell ref="B3:B5"/>
    <mergeCell ref="D3:D5"/>
    <mergeCell ref="G3:G5"/>
  </mergeCells>
  <phoneticPr fontId="3" type="noConversion"/>
  <pageMargins left="0.75" right="0.75" top="1" bottom="1" header="0.51180555555555551" footer="0.51180555555555551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topLeftCell="A16" workbookViewId="0">
      <selection activeCell="G27" sqref="G27"/>
    </sheetView>
  </sheetViews>
  <sheetFormatPr defaultColWidth="8.75" defaultRowHeight="14.25"/>
  <cols>
    <col min="1" max="1" width="11.5" style="21" customWidth="1"/>
    <col min="2" max="16384" width="8.75" style="21"/>
  </cols>
  <sheetData>
    <row r="1" spans="1:6" ht="20.25">
      <c r="A1" s="224" t="s">
        <v>69</v>
      </c>
      <c r="B1" s="224"/>
      <c r="C1" s="224"/>
      <c r="D1" s="224"/>
      <c r="E1" s="224"/>
      <c r="F1" s="224"/>
    </row>
    <row r="2" spans="1:6" ht="20.25">
      <c r="A2" s="44"/>
      <c r="B2" s="44"/>
      <c r="C2" s="45"/>
      <c r="D2" s="45"/>
      <c r="E2" s="44"/>
      <c r="F2" s="43" t="s">
        <v>67</v>
      </c>
    </row>
    <row r="3" spans="1:6" ht="30" customHeight="1">
      <c r="A3" s="227"/>
      <c r="B3" s="230" t="s">
        <v>66</v>
      </c>
      <c r="C3" s="225"/>
      <c r="D3" s="226"/>
      <c r="E3" s="235" t="s">
        <v>65</v>
      </c>
      <c r="F3" s="42"/>
    </row>
    <row r="4" spans="1:6" ht="20.25" customHeight="1">
      <c r="A4" s="228"/>
      <c r="B4" s="231"/>
      <c r="C4" s="233" t="s">
        <v>58</v>
      </c>
      <c r="D4" s="233" t="s">
        <v>64</v>
      </c>
      <c r="E4" s="236"/>
      <c r="F4" s="230" t="s">
        <v>42</v>
      </c>
    </row>
    <row r="5" spans="1:6" ht="14.25" customHeight="1">
      <c r="A5" s="229"/>
      <c r="B5" s="232"/>
      <c r="C5" s="234"/>
      <c r="D5" s="234"/>
      <c r="E5" s="237"/>
      <c r="F5" s="232"/>
    </row>
    <row r="6" spans="1:6" ht="15">
      <c r="A6" s="41" t="s">
        <v>56</v>
      </c>
      <c r="B6" s="186">
        <f>B7+B8+B9+B10+B11+B12+B13+B14+B15+B16+B17+B18+B19</f>
        <v>137617</v>
      </c>
      <c r="C6" s="186">
        <f>C7+C8+C9+C10+C11+C12+C13+C14+C15+C16+C17+C18+C19</f>
        <v>72453</v>
      </c>
      <c r="D6" s="186">
        <f>B6-C6</f>
        <v>65164</v>
      </c>
      <c r="E6" s="186">
        <f>E7+E8+E9+E10+E11+E12+E13+E14+E15+E16+E17+E18+E19</f>
        <v>110691</v>
      </c>
      <c r="F6" s="186">
        <f>F7+F8+F9+F10+F11+F12+F13+F14+F15+F16+F17+F18+F19</f>
        <v>5867</v>
      </c>
    </row>
    <row r="7" spans="1:6">
      <c r="A7" s="40" t="s">
        <v>10</v>
      </c>
      <c r="B7" s="183"/>
      <c r="C7" s="183"/>
      <c r="D7" s="183"/>
      <c r="E7" s="183"/>
      <c r="F7" s="183"/>
    </row>
    <row r="8" spans="1:6">
      <c r="A8" s="40" t="s">
        <v>11</v>
      </c>
      <c r="B8" s="183"/>
      <c r="C8" s="183"/>
      <c r="D8" s="183"/>
      <c r="E8" s="183"/>
      <c r="F8" s="183"/>
    </row>
    <row r="9" spans="1:6" ht="15">
      <c r="A9" s="40" t="s">
        <v>32</v>
      </c>
      <c r="B9" s="183"/>
      <c r="C9" s="183"/>
      <c r="D9" s="183"/>
      <c r="E9" s="183"/>
      <c r="F9" s="183"/>
    </row>
    <row r="10" spans="1:6">
      <c r="A10" s="40" t="s">
        <v>13</v>
      </c>
      <c r="B10" s="183"/>
      <c r="C10" s="183"/>
      <c r="D10" s="183"/>
      <c r="E10" s="183"/>
      <c r="F10" s="183"/>
    </row>
    <row r="11" spans="1:6">
      <c r="A11" s="40" t="s">
        <v>14</v>
      </c>
      <c r="B11" s="183">
        <v>1374</v>
      </c>
      <c r="C11" s="183">
        <v>754</v>
      </c>
      <c r="D11" s="183">
        <f t="shared" ref="D11:D18" si="0">B11-C11</f>
        <v>620</v>
      </c>
      <c r="E11" s="183">
        <v>1374</v>
      </c>
      <c r="F11" s="183">
        <v>245</v>
      </c>
    </row>
    <row r="12" spans="1:6">
      <c r="A12" s="40" t="s">
        <v>15</v>
      </c>
      <c r="B12" s="183"/>
      <c r="C12" s="183"/>
      <c r="D12" s="183"/>
      <c r="E12" s="183"/>
      <c r="F12" s="183"/>
    </row>
    <row r="13" spans="1:6">
      <c r="A13" s="40" t="s">
        <v>16</v>
      </c>
      <c r="B13" s="183"/>
      <c r="C13" s="183"/>
      <c r="D13" s="183"/>
      <c r="E13" s="183"/>
      <c r="F13" s="183"/>
    </row>
    <row r="14" spans="1:6" ht="15">
      <c r="A14" s="40" t="s">
        <v>31</v>
      </c>
      <c r="B14" s="183">
        <v>76142</v>
      </c>
      <c r="C14" s="183">
        <v>39190</v>
      </c>
      <c r="D14" s="183">
        <f t="shared" si="0"/>
        <v>36952</v>
      </c>
      <c r="E14" s="183">
        <v>59919</v>
      </c>
      <c r="F14" s="183">
        <v>2193</v>
      </c>
    </row>
    <row r="15" spans="1:6" ht="15">
      <c r="A15" s="40" t="s">
        <v>30</v>
      </c>
      <c r="B15" s="183"/>
      <c r="C15" s="183"/>
      <c r="D15" s="183"/>
      <c r="E15" s="183"/>
      <c r="F15" s="183"/>
    </row>
    <row r="16" spans="1:6" ht="15">
      <c r="A16" s="40" t="s">
        <v>29</v>
      </c>
      <c r="B16" s="183">
        <v>11555</v>
      </c>
      <c r="C16" s="183">
        <v>6493</v>
      </c>
      <c r="D16" s="183">
        <f t="shared" si="0"/>
        <v>5062</v>
      </c>
      <c r="E16" s="183">
        <v>11172</v>
      </c>
      <c r="F16" s="183"/>
    </row>
    <row r="17" spans="1:6" ht="15">
      <c r="A17" s="40" t="s">
        <v>28</v>
      </c>
      <c r="B17" s="183">
        <v>6634</v>
      </c>
      <c r="C17" s="183">
        <v>3501</v>
      </c>
      <c r="D17" s="183">
        <f t="shared" si="0"/>
        <v>3133</v>
      </c>
      <c r="E17" s="183">
        <v>3848</v>
      </c>
      <c r="F17" s="183"/>
    </row>
    <row r="18" spans="1:6" ht="15">
      <c r="A18" s="40" t="s">
        <v>27</v>
      </c>
      <c r="B18" s="115">
        <v>41912</v>
      </c>
      <c r="C18" s="115">
        <v>22515</v>
      </c>
      <c r="D18" s="183">
        <f t="shared" si="0"/>
        <v>19397</v>
      </c>
      <c r="E18" s="115">
        <v>34378</v>
      </c>
      <c r="F18" s="117">
        <v>3429</v>
      </c>
    </row>
    <row r="19" spans="1:6">
      <c r="A19" s="39" t="s">
        <v>22</v>
      </c>
      <c r="B19" s="184"/>
      <c r="C19" s="185"/>
      <c r="D19" s="183"/>
      <c r="E19" s="185"/>
      <c r="F19" s="185"/>
    </row>
    <row r="22" spans="1:6" ht="20.25">
      <c r="A22" s="224" t="s">
        <v>68</v>
      </c>
      <c r="B22" s="224"/>
      <c r="C22" s="224"/>
      <c r="D22" s="224"/>
      <c r="E22" s="224"/>
      <c r="F22" s="224"/>
    </row>
    <row r="23" spans="1:6" ht="20.25">
      <c r="A23" s="44"/>
      <c r="B23" s="44"/>
      <c r="C23" s="45"/>
      <c r="D23" s="45"/>
      <c r="E23" s="44"/>
      <c r="F23" s="43" t="s">
        <v>67</v>
      </c>
    </row>
    <row r="24" spans="1:6">
      <c r="A24" s="227"/>
      <c r="B24" s="230" t="s">
        <v>66</v>
      </c>
      <c r="C24" s="225"/>
      <c r="D24" s="226"/>
      <c r="E24" s="235" t="s">
        <v>65</v>
      </c>
      <c r="F24" s="42"/>
    </row>
    <row r="25" spans="1:6">
      <c r="A25" s="228"/>
      <c r="B25" s="231"/>
      <c r="C25" s="233" t="s">
        <v>58</v>
      </c>
      <c r="D25" s="233" t="s">
        <v>64</v>
      </c>
      <c r="E25" s="236"/>
      <c r="F25" s="230" t="s">
        <v>42</v>
      </c>
    </row>
    <row r="26" spans="1:6">
      <c r="A26" s="229"/>
      <c r="B26" s="232"/>
      <c r="C26" s="234"/>
      <c r="D26" s="234"/>
      <c r="E26" s="237"/>
      <c r="F26" s="232"/>
    </row>
    <row r="27" spans="1:6" ht="15">
      <c r="A27" s="41" t="s">
        <v>56</v>
      </c>
      <c r="B27" s="183">
        <f>B28+B29+B30+B31+B32+B33+B34+B35+B36+B37+B38+B39+B40</f>
        <v>156546</v>
      </c>
      <c r="C27" s="183">
        <f>C28+C29+C30+C31+C32+C33+C34+C35+C36+C37+C38+C39+C40</f>
        <v>81361</v>
      </c>
      <c r="D27" s="183">
        <f t="shared" ref="D27:D40" si="1">B27-C27</f>
        <v>75185</v>
      </c>
      <c r="E27" s="183">
        <f>E28+E29+E30+E31+E32+E33+E34+E35+E36+E37+E38+E39+E40</f>
        <v>137966</v>
      </c>
      <c r="F27" s="186">
        <f>F28+F29+F30+F31+F32+F33+F34+F35+F36+F37+F38+F39+F40</f>
        <v>137102</v>
      </c>
    </row>
    <row r="28" spans="1:6">
      <c r="A28" s="40" t="s">
        <v>10</v>
      </c>
      <c r="B28" s="183">
        <v>1215</v>
      </c>
      <c r="C28" s="183">
        <v>729</v>
      </c>
      <c r="D28" s="183">
        <f t="shared" si="1"/>
        <v>486</v>
      </c>
      <c r="E28" s="183">
        <v>1031</v>
      </c>
      <c r="F28" s="117">
        <v>783</v>
      </c>
    </row>
    <row r="29" spans="1:6">
      <c r="A29" s="40" t="s">
        <v>11</v>
      </c>
      <c r="B29" s="183">
        <v>6114</v>
      </c>
      <c r="C29" s="183">
        <v>3398</v>
      </c>
      <c r="D29" s="183">
        <f t="shared" si="1"/>
        <v>2716</v>
      </c>
      <c r="E29" s="183">
        <v>5366</v>
      </c>
      <c r="F29" s="117">
        <v>5366</v>
      </c>
    </row>
    <row r="30" spans="1:6" ht="15">
      <c r="A30" s="40" t="s">
        <v>32</v>
      </c>
      <c r="B30" s="183">
        <v>12992</v>
      </c>
      <c r="C30" s="183">
        <v>6626</v>
      </c>
      <c r="D30" s="183">
        <f t="shared" si="1"/>
        <v>6366</v>
      </c>
      <c r="E30" s="183">
        <v>12680</v>
      </c>
      <c r="F30" s="117">
        <v>12680</v>
      </c>
    </row>
    <row r="31" spans="1:6">
      <c r="A31" s="40" t="s">
        <v>13</v>
      </c>
      <c r="B31" s="183">
        <v>13680</v>
      </c>
      <c r="C31" s="183">
        <v>6780</v>
      </c>
      <c r="D31" s="183">
        <f t="shared" si="1"/>
        <v>6900</v>
      </c>
      <c r="E31" s="183">
        <v>12316</v>
      </c>
      <c r="F31" s="117">
        <v>12316</v>
      </c>
    </row>
    <row r="32" spans="1:6">
      <c r="A32" s="40" t="s">
        <v>14</v>
      </c>
      <c r="B32" s="183">
        <v>15140</v>
      </c>
      <c r="C32" s="183">
        <v>7888</v>
      </c>
      <c r="D32" s="183">
        <f t="shared" si="1"/>
        <v>7252</v>
      </c>
      <c r="E32" s="183">
        <v>14881</v>
      </c>
      <c r="F32" s="117">
        <v>14687</v>
      </c>
    </row>
    <row r="33" spans="1:6">
      <c r="A33" s="40" t="s">
        <v>15</v>
      </c>
      <c r="B33" s="183">
        <v>21423</v>
      </c>
      <c r="C33" s="183">
        <v>10832</v>
      </c>
      <c r="D33" s="183">
        <f t="shared" si="1"/>
        <v>10591</v>
      </c>
      <c r="E33" s="183">
        <v>20362</v>
      </c>
      <c r="F33" s="117">
        <v>20362</v>
      </c>
    </row>
    <row r="34" spans="1:6">
      <c r="A34" s="40" t="s">
        <v>16</v>
      </c>
      <c r="B34" s="183">
        <v>27393</v>
      </c>
      <c r="C34" s="183">
        <v>14352</v>
      </c>
      <c r="D34" s="183">
        <f t="shared" si="1"/>
        <v>13041</v>
      </c>
      <c r="E34" s="183">
        <v>25948</v>
      </c>
      <c r="F34" s="117">
        <v>25948</v>
      </c>
    </row>
    <row r="35" spans="1:6" ht="15">
      <c r="A35" s="40" t="s">
        <v>31</v>
      </c>
      <c r="B35" s="183">
        <v>1827</v>
      </c>
      <c r="C35" s="183">
        <v>950</v>
      </c>
      <c r="D35" s="183">
        <f t="shared" si="1"/>
        <v>877</v>
      </c>
      <c r="E35" s="183">
        <v>1147</v>
      </c>
      <c r="F35" s="183">
        <v>1147</v>
      </c>
    </row>
    <row r="36" spans="1:6" ht="15">
      <c r="A36" s="40" t="s">
        <v>30</v>
      </c>
      <c r="B36" s="183">
        <v>13882</v>
      </c>
      <c r="C36" s="183">
        <v>7339</v>
      </c>
      <c r="D36" s="183">
        <f t="shared" si="1"/>
        <v>6543</v>
      </c>
      <c r="E36" s="183">
        <v>12700</v>
      </c>
      <c r="F36" s="117">
        <v>12700</v>
      </c>
    </row>
    <row r="37" spans="1:6" ht="15">
      <c r="A37" s="40" t="s">
        <v>29</v>
      </c>
      <c r="B37" s="183">
        <v>14804</v>
      </c>
      <c r="C37" s="183">
        <v>7841</v>
      </c>
      <c r="D37" s="183">
        <f t="shared" si="1"/>
        <v>6963</v>
      </c>
      <c r="E37" s="183">
        <v>14663</v>
      </c>
      <c r="F37" s="183">
        <v>14663</v>
      </c>
    </row>
    <row r="38" spans="1:6" ht="15">
      <c r="A38" s="40" t="s">
        <v>28</v>
      </c>
      <c r="B38" s="183">
        <v>26257</v>
      </c>
      <c r="C38" s="183">
        <v>13547</v>
      </c>
      <c r="D38" s="183">
        <f t="shared" si="1"/>
        <v>12710</v>
      </c>
      <c r="E38" s="183">
        <v>15461</v>
      </c>
      <c r="F38" s="183">
        <v>15461</v>
      </c>
    </row>
    <row r="39" spans="1:6" ht="15">
      <c r="A39" s="40" t="s">
        <v>27</v>
      </c>
      <c r="B39" s="183"/>
      <c r="C39" s="183"/>
      <c r="D39" s="183"/>
      <c r="E39" s="183"/>
      <c r="F39" s="183"/>
    </row>
    <row r="40" spans="1:6">
      <c r="A40" s="39" t="s">
        <v>22</v>
      </c>
      <c r="B40" s="185">
        <v>1819</v>
      </c>
      <c r="C40" s="185">
        <v>1079</v>
      </c>
      <c r="D40" s="183">
        <f t="shared" si="1"/>
        <v>740</v>
      </c>
      <c r="E40" s="185">
        <v>1411</v>
      </c>
      <c r="F40" s="117">
        <v>989</v>
      </c>
    </row>
  </sheetData>
  <mergeCells count="16">
    <mergeCell ref="A1:F1"/>
    <mergeCell ref="C3:D3"/>
    <mergeCell ref="A22:F22"/>
    <mergeCell ref="C24:D24"/>
    <mergeCell ref="A3:A5"/>
    <mergeCell ref="A24:A26"/>
    <mergeCell ref="B3:B5"/>
    <mergeCell ref="B24:B26"/>
    <mergeCell ref="C4:C5"/>
    <mergeCell ref="C25:C26"/>
    <mergeCell ref="F4:F5"/>
    <mergeCell ref="F25:F26"/>
    <mergeCell ref="D4:D5"/>
    <mergeCell ref="D25:D26"/>
    <mergeCell ref="E3:E5"/>
    <mergeCell ref="E24:E26"/>
  </mergeCells>
  <phoneticPr fontId="3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2:M44"/>
  <sheetViews>
    <sheetView workbookViewId="0">
      <selection activeCell="F18" sqref="F18"/>
    </sheetView>
  </sheetViews>
  <sheetFormatPr defaultColWidth="8.75" defaultRowHeight="14.25"/>
  <cols>
    <col min="1" max="1" width="14.75" style="21" customWidth="1"/>
    <col min="2" max="2" width="12.625" style="21" customWidth="1"/>
    <col min="3" max="7" width="10.25" style="21" customWidth="1"/>
    <col min="8" max="8" width="8.75" style="46"/>
    <col min="9" max="16384" width="8.75" style="21"/>
  </cols>
  <sheetData>
    <row r="2" spans="1:7" ht="24" customHeight="1">
      <c r="A2" s="241" t="s">
        <v>97</v>
      </c>
      <c r="B2" s="241"/>
      <c r="C2" s="241"/>
      <c r="D2" s="241"/>
      <c r="E2" s="241"/>
      <c r="F2" s="241"/>
      <c r="G2" s="241"/>
    </row>
    <row r="3" spans="1:7" ht="15">
      <c r="A3" s="242" t="s">
        <v>191</v>
      </c>
      <c r="B3" s="242"/>
      <c r="C3" s="243"/>
      <c r="D3" s="243"/>
      <c r="E3" s="243"/>
      <c r="F3" s="242"/>
      <c r="G3" s="242"/>
    </row>
    <row r="4" spans="1:7" ht="19.5" customHeight="1">
      <c r="A4" s="240"/>
      <c r="B4" s="244" t="s">
        <v>96</v>
      </c>
      <c r="C4" s="56"/>
      <c r="D4" s="56"/>
      <c r="E4" s="56"/>
      <c r="F4" s="240" t="s">
        <v>95</v>
      </c>
      <c r="G4" s="238" t="s">
        <v>94</v>
      </c>
    </row>
    <row r="5" spans="1:7" ht="19.5" customHeight="1">
      <c r="A5" s="240"/>
      <c r="B5" s="240"/>
      <c r="C5" s="55" t="s">
        <v>93</v>
      </c>
      <c r="D5" s="55" t="s">
        <v>92</v>
      </c>
      <c r="E5" s="54" t="s">
        <v>91</v>
      </c>
      <c r="F5" s="240"/>
      <c r="G5" s="195"/>
    </row>
    <row r="6" spans="1:7" ht="19.5" customHeight="1">
      <c r="A6" s="48" t="s">
        <v>83</v>
      </c>
      <c r="B6" s="108">
        <f>B7+B8+B9+B10+B11+B12+B13+B14+B15+B16+B17+B18+B19</f>
        <v>156213.5</v>
      </c>
      <c r="C6" s="108">
        <f t="shared" ref="C6:F6" si="0">C7+C8+C9+C10+C11+C12+C13+C14+C15+C16+C17+C18+C19</f>
        <v>35297</v>
      </c>
      <c r="D6" s="108">
        <f t="shared" si="0"/>
        <v>20432</v>
      </c>
      <c r="E6" s="108">
        <f t="shared" si="0"/>
        <v>34085</v>
      </c>
      <c r="F6" s="108">
        <f t="shared" si="0"/>
        <v>1741</v>
      </c>
      <c r="G6" s="108">
        <v>63863.9</v>
      </c>
    </row>
    <row r="7" spans="1:7" ht="19.5" customHeight="1">
      <c r="A7" s="48" t="s">
        <v>82</v>
      </c>
      <c r="B7" s="108"/>
      <c r="C7" s="108"/>
      <c r="D7" s="108"/>
      <c r="E7" s="108"/>
      <c r="F7" s="108"/>
      <c r="G7" s="108" t="s">
        <v>192</v>
      </c>
    </row>
    <row r="8" spans="1:7" ht="19.5" customHeight="1">
      <c r="A8" s="48" t="s">
        <v>81</v>
      </c>
      <c r="B8" s="108">
        <v>14727</v>
      </c>
      <c r="C8" s="108">
        <v>4860</v>
      </c>
      <c r="D8" s="108">
        <v>861</v>
      </c>
      <c r="E8" s="108">
        <v>3140</v>
      </c>
      <c r="F8" s="108"/>
      <c r="G8" s="108">
        <v>5866</v>
      </c>
    </row>
    <row r="9" spans="1:7" ht="19.5" customHeight="1">
      <c r="A9" s="48" t="s">
        <v>80</v>
      </c>
      <c r="B9" s="108"/>
      <c r="C9" s="108"/>
      <c r="D9" s="108"/>
      <c r="E9" s="108"/>
      <c r="F9" s="108"/>
      <c r="G9" s="108"/>
    </row>
    <row r="10" spans="1:7" ht="19.5" customHeight="1">
      <c r="A10" s="48" t="s">
        <v>79</v>
      </c>
      <c r="B10" s="108"/>
      <c r="C10" s="108"/>
      <c r="D10" s="108"/>
      <c r="E10" s="108"/>
      <c r="F10" s="108"/>
      <c r="G10" s="108"/>
    </row>
    <row r="11" spans="1:7" ht="19.5" customHeight="1">
      <c r="A11" s="48" t="s">
        <v>78</v>
      </c>
      <c r="B11" s="108">
        <v>351.3</v>
      </c>
      <c r="C11" s="108">
        <v>78</v>
      </c>
      <c r="D11" s="108"/>
      <c r="E11" s="108">
        <v>34</v>
      </c>
      <c r="F11" s="108">
        <v>0.7</v>
      </c>
      <c r="G11" s="108">
        <v>118.3</v>
      </c>
    </row>
    <row r="12" spans="1:7" ht="19.5" customHeight="1">
      <c r="A12" s="48" t="s">
        <v>77</v>
      </c>
      <c r="B12" s="108"/>
      <c r="C12" s="108"/>
      <c r="D12" s="108"/>
      <c r="E12" s="108"/>
      <c r="F12" s="108"/>
      <c r="G12" s="108"/>
    </row>
    <row r="13" spans="1:7" ht="19.5" customHeight="1">
      <c r="A13" s="48" t="s">
        <v>76</v>
      </c>
      <c r="B13" s="108">
        <v>40</v>
      </c>
      <c r="C13" s="108"/>
      <c r="D13" s="108"/>
      <c r="E13" s="108"/>
      <c r="F13" s="108"/>
      <c r="G13" s="108">
        <v>40</v>
      </c>
    </row>
    <row r="14" spans="1:7" ht="19.5" customHeight="1">
      <c r="A14" s="48" t="s">
        <v>75</v>
      </c>
      <c r="B14" s="108">
        <v>63688</v>
      </c>
      <c r="C14" s="108">
        <v>8417</v>
      </c>
      <c r="D14" s="108">
        <v>1561</v>
      </c>
      <c r="E14" s="108">
        <v>15250</v>
      </c>
      <c r="F14" s="108">
        <v>1474</v>
      </c>
      <c r="G14" s="108">
        <v>36559</v>
      </c>
    </row>
    <row r="15" spans="1:7" ht="19.5" customHeight="1">
      <c r="A15" s="48" t="s">
        <v>74</v>
      </c>
      <c r="B15" s="108">
        <v>74.900000000000006</v>
      </c>
      <c r="C15" s="108"/>
      <c r="D15" s="108"/>
      <c r="E15" s="108">
        <v>57</v>
      </c>
      <c r="F15" s="108"/>
      <c r="G15" s="108">
        <v>13.6</v>
      </c>
    </row>
    <row r="16" spans="1:7" ht="19.5" customHeight="1">
      <c r="A16" s="48" t="s">
        <v>73</v>
      </c>
      <c r="B16" s="108">
        <v>8783</v>
      </c>
      <c r="C16" s="108">
        <v>4200</v>
      </c>
      <c r="D16" s="108">
        <v>450</v>
      </c>
      <c r="E16" s="108">
        <v>1290</v>
      </c>
      <c r="F16" s="108"/>
      <c r="G16" s="108">
        <v>2800</v>
      </c>
    </row>
    <row r="17" spans="1:13" ht="19.5" customHeight="1">
      <c r="A17" s="48" t="s">
        <v>72</v>
      </c>
      <c r="B17" s="108">
        <v>13334.3</v>
      </c>
      <c r="C17" s="108">
        <v>4667</v>
      </c>
      <c r="D17" s="108">
        <v>2867</v>
      </c>
      <c r="E17" s="108"/>
      <c r="F17" s="108">
        <v>133.30000000000001</v>
      </c>
      <c r="G17" s="108">
        <v>5667</v>
      </c>
    </row>
    <row r="18" spans="1:13" ht="17.25" customHeight="1">
      <c r="A18" s="48" t="s">
        <v>71</v>
      </c>
      <c r="B18" s="108">
        <v>34466</v>
      </c>
      <c r="C18" s="108">
        <v>3333</v>
      </c>
      <c r="D18" s="108">
        <v>14000</v>
      </c>
      <c r="E18" s="108">
        <v>5333</v>
      </c>
      <c r="F18" s="108">
        <v>133</v>
      </c>
      <c r="G18" s="108">
        <v>11467</v>
      </c>
    </row>
    <row r="19" spans="1:13" ht="21" customHeight="1">
      <c r="A19" s="48" t="s">
        <v>70</v>
      </c>
      <c r="B19" s="108">
        <v>20749</v>
      </c>
      <c r="C19" s="108">
        <v>9742</v>
      </c>
      <c r="D19" s="108">
        <v>693</v>
      </c>
      <c r="E19" s="108">
        <v>8981</v>
      </c>
      <c r="F19" s="108"/>
      <c r="G19" s="108">
        <v>1333</v>
      </c>
    </row>
    <row r="20" spans="1:13" ht="27" customHeight="1">
      <c r="B20" s="127"/>
      <c r="C20" s="127"/>
      <c r="D20" s="127"/>
      <c r="E20" s="127"/>
      <c r="F20" s="127"/>
      <c r="G20" s="127"/>
      <c r="H20" s="53"/>
      <c r="I20" s="53"/>
      <c r="J20" s="53"/>
      <c r="K20" s="53"/>
      <c r="L20" s="53"/>
      <c r="M20" s="53"/>
    </row>
    <row r="21" spans="1:13" ht="16.5" customHeight="1">
      <c r="A21" s="52" t="s">
        <v>90</v>
      </c>
      <c r="G21" s="51"/>
    </row>
    <row r="22" spans="1:13" ht="18" customHeight="1">
      <c r="A22" s="240"/>
      <c r="B22" s="216" t="s">
        <v>89</v>
      </c>
      <c r="C22" s="216" t="s">
        <v>88</v>
      </c>
      <c r="D22" s="216" t="s">
        <v>87</v>
      </c>
      <c r="E22" s="216" t="s">
        <v>86</v>
      </c>
      <c r="F22" s="218" t="s">
        <v>85</v>
      </c>
      <c r="G22" s="50"/>
    </row>
    <row r="23" spans="1:13" ht="21.75" customHeight="1">
      <c r="A23" s="240"/>
      <c r="B23" s="239"/>
      <c r="C23" s="239"/>
      <c r="D23" s="239"/>
      <c r="E23" s="239"/>
      <c r="F23" s="239"/>
      <c r="G23" s="49" t="s">
        <v>84</v>
      </c>
    </row>
    <row r="24" spans="1:13">
      <c r="A24" s="48" t="s">
        <v>83</v>
      </c>
      <c r="B24" s="108">
        <f t="shared" ref="B24:G24" si="1">B25+B26+B27+B28+B29+B30+B31+B32+B33+B34+B35+B36+B37</f>
        <v>22100.6</v>
      </c>
      <c r="C24" s="108">
        <f t="shared" si="1"/>
        <v>900</v>
      </c>
      <c r="D24" s="108">
        <f t="shared" si="1"/>
        <v>16133.76</v>
      </c>
      <c r="E24" s="108">
        <f t="shared" si="1"/>
        <v>408.59</v>
      </c>
      <c r="F24" s="108">
        <f t="shared" si="1"/>
        <v>44343.67</v>
      </c>
      <c r="G24" s="108">
        <f t="shared" si="1"/>
        <v>38383.67</v>
      </c>
    </row>
    <row r="25" spans="1:13">
      <c r="A25" s="48" t="s">
        <v>82</v>
      </c>
      <c r="B25" s="109"/>
      <c r="C25" s="109"/>
      <c r="D25" s="109">
        <v>66</v>
      </c>
      <c r="E25" s="109"/>
      <c r="F25" s="109"/>
      <c r="G25" s="109"/>
    </row>
    <row r="26" spans="1:13">
      <c r="A26" s="48" t="s">
        <v>81</v>
      </c>
      <c r="B26" s="109">
        <v>260</v>
      </c>
      <c r="C26" s="109"/>
      <c r="D26" s="109">
        <v>767</v>
      </c>
      <c r="E26" s="109">
        <v>2.5</v>
      </c>
      <c r="F26" s="110">
        <v>5976</v>
      </c>
      <c r="G26" s="110">
        <v>3190</v>
      </c>
    </row>
    <row r="27" spans="1:13">
      <c r="A27" s="48" t="s">
        <v>80</v>
      </c>
      <c r="B27" s="109"/>
      <c r="C27" s="109"/>
      <c r="D27" s="109">
        <v>3</v>
      </c>
      <c r="E27" s="109"/>
      <c r="F27" s="110">
        <v>399.67</v>
      </c>
      <c r="G27" s="110">
        <v>66.67</v>
      </c>
    </row>
    <row r="28" spans="1:13">
      <c r="A28" s="48" t="s">
        <v>79</v>
      </c>
      <c r="B28" s="109"/>
      <c r="C28" s="109"/>
      <c r="D28" s="109">
        <v>0</v>
      </c>
      <c r="E28" s="109">
        <v>0</v>
      </c>
      <c r="F28" s="110">
        <v>1247</v>
      </c>
      <c r="G28" s="110">
        <v>664</v>
      </c>
    </row>
    <row r="29" spans="1:13">
      <c r="A29" s="48" t="s">
        <v>78</v>
      </c>
      <c r="B29" s="109">
        <v>282</v>
      </c>
      <c r="C29" s="109"/>
      <c r="D29" s="109">
        <v>26</v>
      </c>
      <c r="E29" s="109">
        <v>18</v>
      </c>
      <c r="F29" s="110">
        <v>1852</v>
      </c>
      <c r="G29" s="110">
        <v>1852</v>
      </c>
    </row>
    <row r="30" spans="1:13">
      <c r="A30" s="48" t="s">
        <v>77</v>
      </c>
      <c r="B30" s="109"/>
      <c r="C30" s="109"/>
      <c r="D30" s="109">
        <v>196</v>
      </c>
      <c r="E30" s="109"/>
      <c r="F30" s="110">
        <v>1533</v>
      </c>
      <c r="G30" s="110">
        <v>1200</v>
      </c>
    </row>
    <row r="31" spans="1:13">
      <c r="A31" s="48" t="s">
        <v>76</v>
      </c>
      <c r="B31" s="109"/>
      <c r="C31" s="109"/>
      <c r="D31" s="109">
        <v>80</v>
      </c>
      <c r="E31" s="109"/>
      <c r="F31" s="110">
        <v>1609</v>
      </c>
      <c r="G31" s="110">
        <v>1309</v>
      </c>
    </row>
    <row r="32" spans="1:13">
      <c r="A32" s="48" t="s">
        <v>75</v>
      </c>
      <c r="B32" s="109">
        <v>12058.6</v>
      </c>
      <c r="C32" s="109">
        <v>900</v>
      </c>
      <c r="D32" s="109">
        <v>8700</v>
      </c>
      <c r="E32" s="109">
        <v>0</v>
      </c>
      <c r="F32" s="110">
        <v>7600</v>
      </c>
      <c r="G32" s="110">
        <v>7600</v>
      </c>
    </row>
    <row r="33" spans="1:7">
      <c r="A33" s="48" t="s">
        <v>74</v>
      </c>
      <c r="B33" s="109">
        <v>67</v>
      </c>
      <c r="C33" s="109"/>
      <c r="D33" s="109">
        <v>30.76</v>
      </c>
      <c r="E33" s="109">
        <v>0.09</v>
      </c>
      <c r="F33" s="110">
        <v>2708</v>
      </c>
      <c r="G33" s="110">
        <v>1083</v>
      </c>
    </row>
    <row r="34" spans="1:7">
      <c r="A34" s="48" t="s">
        <v>73</v>
      </c>
      <c r="B34" s="109">
        <v>1842</v>
      </c>
      <c r="C34" s="109"/>
      <c r="D34" s="109">
        <v>813</v>
      </c>
      <c r="E34" s="109">
        <v>386</v>
      </c>
      <c r="F34" s="110">
        <v>3654</v>
      </c>
      <c r="G34" s="110">
        <v>3654</v>
      </c>
    </row>
    <row r="35" spans="1:7">
      <c r="A35" s="48" t="s">
        <v>72</v>
      </c>
      <c r="B35" s="109">
        <v>1067</v>
      </c>
      <c r="C35" s="109"/>
      <c r="D35" s="109">
        <v>1267</v>
      </c>
      <c r="E35" s="109"/>
      <c r="F35" s="110">
        <v>5333</v>
      </c>
      <c r="G35" s="110">
        <v>5333</v>
      </c>
    </row>
    <row r="36" spans="1:7">
      <c r="A36" s="48" t="s">
        <v>71</v>
      </c>
      <c r="B36" s="109">
        <v>867</v>
      </c>
      <c r="C36" s="109"/>
      <c r="D36" s="109">
        <v>4120</v>
      </c>
      <c r="E36" s="109">
        <v>2</v>
      </c>
      <c r="F36" s="110">
        <v>12432</v>
      </c>
      <c r="G36" s="110">
        <v>12432</v>
      </c>
    </row>
    <row r="37" spans="1:7">
      <c r="A37" s="48" t="s">
        <v>70</v>
      </c>
      <c r="B37" s="109">
        <v>5657</v>
      </c>
      <c r="C37" s="109"/>
      <c r="D37" s="109">
        <v>65</v>
      </c>
      <c r="E37" s="109"/>
      <c r="F37" s="110">
        <v>0</v>
      </c>
      <c r="G37" s="110"/>
    </row>
    <row r="44" spans="1:7">
      <c r="C44" s="47"/>
      <c r="D44" s="47"/>
      <c r="E44" s="47"/>
      <c r="F44" s="47"/>
    </row>
  </sheetData>
  <mergeCells count="12">
    <mergeCell ref="G4:G5"/>
    <mergeCell ref="E22:E23"/>
    <mergeCell ref="F22:F23"/>
    <mergeCell ref="A4:A5"/>
    <mergeCell ref="A2:G2"/>
    <mergeCell ref="D22:D23"/>
    <mergeCell ref="A3:G3"/>
    <mergeCell ref="B22:B23"/>
    <mergeCell ref="C22:C23"/>
    <mergeCell ref="A22:A23"/>
    <mergeCell ref="B4:B5"/>
    <mergeCell ref="F4:F5"/>
  </mergeCells>
  <phoneticPr fontId="3" type="noConversion"/>
  <pageMargins left="0.74803149606299213" right="0.74803149606299213" top="0" bottom="0" header="0.51181102362204722" footer="0.51181102362204722"/>
  <pageSetup paperSize="9"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2:I40"/>
  <sheetViews>
    <sheetView topLeftCell="A4" zoomScaleSheetLayoutView="100" workbookViewId="0">
      <selection activeCell="H44" sqref="H44"/>
    </sheetView>
  </sheetViews>
  <sheetFormatPr defaultColWidth="9" defaultRowHeight="14.25"/>
  <cols>
    <col min="1" max="1" width="2.375" style="46" customWidth="1"/>
    <col min="2" max="2" width="11.125" style="21" customWidth="1"/>
    <col min="3" max="4" width="9.125" style="21" bestFit="1" customWidth="1"/>
    <col min="5" max="5" width="9.5" style="21" bestFit="1" customWidth="1"/>
    <col min="6" max="6" width="9.125" style="21" bestFit="1" customWidth="1"/>
    <col min="7" max="7" width="13.875" style="21" customWidth="1"/>
    <col min="8" max="8" width="9.5" style="21" bestFit="1" customWidth="1"/>
    <col min="9" max="16384" width="9" style="21"/>
  </cols>
  <sheetData>
    <row r="2" spans="2:9" ht="15">
      <c r="B2" s="241" t="s">
        <v>100</v>
      </c>
      <c r="C2" s="241"/>
      <c r="D2" s="241"/>
      <c r="E2" s="241"/>
      <c r="F2" s="241"/>
      <c r="G2" s="241"/>
      <c r="H2" s="241"/>
    </row>
    <row r="3" spans="2:9" ht="15">
      <c r="B3" s="242" t="s">
        <v>98</v>
      </c>
      <c r="C3" s="242"/>
      <c r="D3" s="242"/>
      <c r="E3" s="242"/>
      <c r="F3" s="242"/>
      <c r="G3" s="242"/>
      <c r="H3" s="242"/>
    </row>
    <row r="4" spans="2:9" ht="43.5" customHeight="1">
      <c r="B4" s="249"/>
      <c r="C4" s="244" t="s">
        <v>96</v>
      </c>
      <c r="D4" s="56"/>
      <c r="E4" s="56"/>
      <c r="F4" s="56"/>
      <c r="G4" s="240" t="s">
        <v>95</v>
      </c>
      <c r="H4" s="238" t="s">
        <v>94</v>
      </c>
      <c r="I4" s="46"/>
    </row>
    <row r="5" spans="2:9">
      <c r="B5" s="249"/>
      <c r="C5" s="240"/>
      <c r="D5" s="55" t="s">
        <v>93</v>
      </c>
      <c r="E5" s="55" t="s">
        <v>92</v>
      </c>
      <c r="F5" s="54" t="s">
        <v>91</v>
      </c>
      <c r="G5" s="240"/>
      <c r="H5" s="195"/>
      <c r="I5" s="46"/>
    </row>
    <row r="6" spans="2:9" ht="15">
      <c r="B6" s="128" t="s">
        <v>48</v>
      </c>
      <c r="C6" s="129">
        <v>368492</v>
      </c>
      <c r="D6" s="129">
        <v>54949</v>
      </c>
      <c r="E6" s="129">
        <v>36000</v>
      </c>
      <c r="F6" s="129">
        <v>24784</v>
      </c>
      <c r="G6" s="130">
        <v>3528</v>
      </c>
      <c r="H6" s="129">
        <v>248000</v>
      </c>
      <c r="I6" s="46"/>
    </row>
    <row r="7" spans="2:9">
      <c r="B7" s="107" t="s">
        <v>10</v>
      </c>
      <c r="C7" s="129"/>
      <c r="D7" s="129"/>
      <c r="E7" s="129"/>
      <c r="F7" s="129"/>
      <c r="G7" s="131"/>
      <c r="H7" s="132"/>
      <c r="I7" s="46"/>
    </row>
    <row r="8" spans="2:9">
      <c r="B8" s="107" t="s">
        <v>11</v>
      </c>
      <c r="C8" s="129">
        <v>35722</v>
      </c>
      <c r="D8" s="129">
        <v>11083</v>
      </c>
      <c r="E8" s="129">
        <v>1410</v>
      </c>
      <c r="F8" s="129">
        <v>2139</v>
      </c>
      <c r="G8" s="131"/>
      <c r="H8" s="129">
        <v>21090</v>
      </c>
      <c r="I8" s="46"/>
    </row>
    <row r="9" spans="2:9" ht="15">
      <c r="B9" s="107" t="s">
        <v>12</v>
      </c>
      <c r="C9" s="129"/>
      <c r="D9" s="129"/>
      <c r="E9" s="129"/>
      <c r="F9" s="129"/>
      <c r="G9" s="131"/>
      <c r="H9" s="129"/>
      <c r="I9" s="46"/>
    </row>
    <row r="10" spans="2:9">
      <c r="B10" s="107" t="s">
        <v>13</v>
      </c>
      <c r="C10" s="129"/>
      <c r="D10" s="129"/>
      <c r="E10" s="129"/>
      <c r="F10" s="129"/>
      <c r="G10" s="130"/>
      <c r="H10" s="129"/>
      <c r="I10" s="46"/>
    </row>
    <row r="11" spans="2:9">
      <c r="B11" s="107" t="s">
        <v>14</v>
      </c>
      <c r="C11" s="129">
        <v>340</v>
      </c>
      <c r="D11" s="129">
        <v>94</v>
      </c>
      <c r="E11" s="129"/>
      <c r="F11" s="129">
        <v>26</v>
      </c>
      <c r="G11" s="130">
        <v>1</v>
      </c>
      <c r="H11" s="129">
        <v>99</v>
      </c>
      <c r="I11" s="46"/>
    </row>
    <row r="12" spans="2:9">
      <c r="B12" s="107" t="s">
        <v>15</v>
      </c>
      <c r="C12" s="129"/>
      <c r="D12" s="129"/>
      <c r="E12" s="129"/>
      <c r="F12" s="129"/>
      <c r="G12" s="130"/>
      <c r="H12" s="129"/>
      <c r="I12" s="46"/>
    </row>
    <row r="13" spans="2:9">
      <c r="B13" s="107" t="s">
        <v>16</v>
      </c>
      <c r="C13" s="129">
        <v>75</v>
      </c>
      <c r="D13" s="129"/>
      <c r="E13" s="129"/>
      <c r="F13" s="129"/>
      <c r="G13" s="130"/>
      <c r="H13" s="129">
        <v>75</v>
      </c>
      <c r="I13" s="46"/>
    </row>
    <row r="14" spans="2:9" ht="17.25" customHeight="1">
      <c r="B14" s="107" t="s">
        <v>17</v>
      </c>
      <c r="C14" s="129">
        <v>194857</v>
      </c>
      <c r="D14" s="129">
        <v>13257</v>
      </c>
      <c r="E14" s="129">
        <v>2809</v>
      </c>
      <c r="F14" s="129">
        <v>9450</v>
      </c>
      <c r="G14" s="130">
        <v>3095</v>
      </c>
      <c r="H14" s="129">
        <v>165460</v>
      </c>
      <c r="I14" s="46"/>
    </row>
    <row r="15" spans="2:9" ht="15" customHeight="1">
      <c r="B15" s="107" t="s">
        <v>18</v>
      </c>
      <c r="C15" s="129">
        <v>97</v>
      </c>
      <c r="D15" s="129"/>
      <c r="E15" s="129"/>
      <c r="F15" s="129">
        <v>55</v>
      </c>
      <c r="G15" s="130"/>
      <c r="H15" s="129">
        <v>37</v>
      </c>
      <c r="I15" s="46"/>
    </row>
    <row r="16" spans="2:9" ht="15" customHeight="1">
      <c r="B16" s="107" t="s">
        <v>23</v>
      </c>
      <c r="C16" s="129">
        <v>4987</v>
      </c>
      <c r="D16" s="129">
        <v>1405</v>
      </c>
      <c r="E16" s="129"/>
      <c r="F16" s="129">
        <v>919</v>
      </c>
      <c r="G16" s="130"/>
      <c r="H16" s="129">
        <v>2613</v>
      </c>
      <c r="I16" s="46"/>
    </row>
    <row r="17" spans="2:9" ht="15" customHeight="1">
      <c r="B17" s="107" t="s">
        <v>20</v>
      </c>
      <c r="C17" s="129">
        <v>29472</v>
      </c>
      <c r="D17" s="129">
        <v>2725</v>
      </c>
      <c r="E17" s="129">
        <v>2967</v>
      </c>
      <c r="F17" s="129"/>
      <c r="G17" s="130">
        <v>260</v>
      </c>
      <c r="H17" s="129">
        <v>23520</v>
      </c>
      <c r="I17" s="46"/>
    </row>
    <row r="18" spans="2:9" ht="15" customHeight="1">
      <c r="B18" s="107" t="s">
        <v>21</v>
      </c>
      <c r="C18" s="129">
        <v>57114</v>
      </c>
      <c r="D18" s="129">
        <v>5949</v>
      </c>
      <c r="E18" s="129">
        <v>24464</v>
      </c>
      <c r="F18" s="129">
        <v>2400</v>
      </c>
      <c r="G18" s="130">
        <v>172</v>
      </c>
      <c r="H18" s="129">
        <v>23859</v>
      </c>
      <c r="I18" s="46"/>
    </row>
    <row r="19" spans="2:9" ht="15" customHeight="1">
      <c r="B19" s="107" t="s">
        <v>22</v>
      </c>
      <c r="C19" s="129">
        <v>45828</v>
      </c>
      <c r="D19" s="129">
        <v>20436</v>
      </c>
      <c r="E19" s="129">
        <v>4350</v>
      </c>
      <c r="F19" s="129">
        <v>9795</v>
      </c>
      <c r="G19" s="130"/>
      <c r="H19" s="129">
        <v>11247</v>
      </c>
      <c r="I19" s="46"/>
    </row>
    <row r="21" spans="2:9">
      <c r="B21" s="60" t="s">
        <v>99</v>
      </c>
      <c r="C21" s="60"/>
      <c r="D21" s="60"/>
      <c r="E21" s="60"/>
      <c r="F21" s="60"/>
      <c r="G21" s="60"/>
    </row>
    <row r="22" spans="2:9">
      <c r="B22" s="194" t="s">
        <v>98</v>
      </c>
      <c r="C22" s="194"/>
      <c r="D22" s="194"/>
      <c r="E22" s="194"/>
      <c r="F22" s="194"/>
      <c r="G22" s="59"/>
    </row>
    <row r="23" spans="2:9">
      <c r="B23" s="209"/>
      <c r="C23" s="216" t="s">
        <v>89</v>
      </c>
      <c r="D23" s="216" t="s">
        <v>88</v>
      </c>
      <c r="E23" s="216" t="s">
        <v>87</v>
      </c>
      <c r="F23" s="218" t="s">
        <v>86</v>
      </c>
      <c r="G23" s="245" t="s">
        <v>85</v>
      </c>
      <c r="H23" s="247" t="s">
        <v>84</v>
      </c>
    </row>
    <row r="24" spans="2:9">
      <c r="B24" s="210"/>
      <c r="C24" s="239"/>
      <c r="D24" s="239"/>
      <c r="E24" s="239"/>
      <c r="F24" s="219"/>
      <c r="G24" s="246"/>
      <c r="H24" s="248"/>
    </row>
    <row r="25" spans="2:9">
      <c r="B25" s="211"/>
      <c r="C25" s="217"/>
      <c r="D25" s="217"/>
      <c r="E25" s="217"/>
      <c r="F25" s="220"/>
      <c r="G25" s="246"/>
      <c r="H25" s="248"/>
    </row>
    <row r="26" spans="2:9" ht="15">
      <c r="B26" s="58" t="s">
        <v>48</v>
      </c>
      <c r="C26" s="108">
        <f>C27+C28+C30+C29+C31+C32+C33+C34+C35+C36+C37+C38+C39</f>
        <v>24421.5</v>
      </c>
      <c r="D26" s="108">
        <f>D27+D28+D30+D29+D31+D32+D33+D34+D35+D36+D37+D38+D39</f>
        <v>14108</v>
      </c>
      <c r="E26" s="108">
        <f>E27+E28+E30+E29+E31+E32+E33+E34+E35+E36+E37+E38+E39</f>
        <v>1134086.8500000001</v>
      </c>
      <c r="F26" s="108">
        <f>F27+F28+F30+F29+F31+F32+F33+F34+F35+F36+F37+F38+F39</f>
        <v>11125</v>
      </c>
      <c r="G26" s="108"/>
      <c r="H26" s="108">
        <f>H27+H28+H30+H29+H31+H32+H33+H34+H35+H36+H37+H38+H39</f>
        <v>1905314.8</v>
      </c>
    </row>
    <row r="27" spans="2:9">
      <c r="B27" s="57" t="s">
        <v>10</v>
      </c>
      <c r="C27" s="108"/>
      <c r="D27" s="108">
        <v>0</v>
      </c>
      <c r="E27" s="108">
        <v>11700</v>
      </c>
      <c r="F27" s="108"/>
      <c r="G27" s="108"/>
      <c r="H27" s="108">
        <v>0</v>
      </c>
    </row>
    <row r="28" spans="2:9">
      <c r="B28" s="57" t="s">
        <v>11</v>
      </c>
      <c r="C28" s="108">
        <v>207</v>
      </c>
      <c r="D28" s="108">
        <v>0</v>
      </c>
      <c r="E28" s="108">
        <v>91671</v>
      </c>
      <c r="F28" s="108">
        <v>4</v>
      </c>
      <c r="G28" s="108"/>
      <c r="H28" s="108">
        <v>287100</v>
      </c>
    </row>
    <row r="29" spans="2:9" ht="15">
      <c r="B29" s="57" t="s">
        <v>32</v>
      </c>
      <c r="C29" s="108"/>
      <c r="D29" s="108"/>
      <c r="E29" s="108">
        <v>564</v>
      </c>
      <c r="F29" s="108"/>
      <c r="G29" s="108"/>
      <c r="H29" s="108">
        <v>0</v>
      </c>
    </row>
    <row r="30" spans="2:9">
      <c r="B30" s="57" t="s">
        <v>13</v>
      </c>
      <c r="C30" s="108"/>
      <c r="D30" s="108"/>
      <c r="E30" s="108"/>
      <c r="F30" s="108"/>
      <c r="G30" s="108"/>
      <c r="H30" s="108">
        <v>29871</v>
      </c>
    </row>
    <row r="31" spans="2:9">
      <c r="B31" s="57" t="s">
        <v>14</v>
      </c>
      <c r="C31" s="108">
        <v>382</v>
      </c>
      <c r="D31" s="108"/>
      <c r="E31" s="108">
        <v>1122</v>
      </c>
      <c r="F31" s="108">
        <v>462</v>
      </c>
      <c r="G31" s="108"/>
      <c r="H31" s="108">
        <v>122573</v>
      </c>
    </row>
    <row r="32" spans="2:9">
      <c r="B32" s="57" t="s">
        <v>15</v>
      </c>
      <c r="C32" s="108"/>
      <c r="D32" s="108"/>
      <c r="E32" s="108">
        <v>6104</v>
      </c>
      <c r="F32" s="108"/>
      <c r="G32" s="108"/>
      <c r="H32" s="108">
        <v>42000</v>
      </c>
    </row>
    <row r="33" spans="2:8">
      <c r="B33" s="57" t="s">
        <v>16</v>
      </c>
      <c r="C33" s="108"/>
      <c r="D33" s="108"/>
      <c r="E33" s="108">
        <v>6769</v>
      </c>
      <c r="F33" s="108"/>
      <c r="G33" s="108"/>
      <c r="H33" s="108">
        <v>112119</v>
      </c>
    </row>
    <row r="34" spans="2:8" ht="15">
      <c r="B34" s="57" t="s">
        <v>31</v>
      </c>
      <c r="C34" s="108">
        <v>11768</v>
      </c>
      <c r="D34" s="108">
        <v>14108</v>
      </c>
      <c r="E34" s="108">
        <v>608100</v>
      </c>
      <c r="F34" s="108"/>
      <c r="G34" s="108"/>
      <c r="H34" s="108">
        <v>342000</v>
      </c>
    </row>
    <row r="35" spans="2:8" ht="15">
      <c r="B35" s="57" t="s">
        <v>30</v>
      </c>
      <c r="C35" s="108">
        <v>100.5</v>
      </c>
      <c r="D35" s="108"/>
      <c r="E35" s="108">
        <v>71.849999999999994</v>
      </c>
      <c r="F35" s="108"/>
      <c r="G35" s="108"/>
      <c r="H35" s="108">
        <v>35305.800000000003</v>
      </c>
    </row>
    <row r="36" spans="2:8" ht="15">
      <c r="B36" s="57" t="s">
        <v>29</v>
      </c>
      <c r="C36" s="108">
        <v>928</v>
      </c>
      <c r="D36" s="108"/>
      <c r="E36" s="108">
        <v>91622</v>
      </c>
      <c r="F36" s="108">
        <v>10599</v>
      </c>
      <c r="G36" s="108"/>
      <c r="H36" s="108">
        <v>142506</v>
      </c>
    </row>
    <row r="37" spans="2:8" ht="15">
      <c r="B37" s="57" t="s">
        <v>28</v>
      </c>
      <c r="C37" s="108">
        <v>1464</v>
      </c>
      <c r="D37" s="108"/>
      <c r="E37" s="108">
        <v>77330</v>
      </c>
      <c r="F37" s="108"/>
      <c r="G37" s="108"/>
      <c r="H37" s="108">
        <v>100000</v>
      </c>
    </row>
    <row r="38" spans="2:8" ht="15">
      <c r="B38" s="57" t="s">
        <v>27</v>
      </c>
      <c r="C38" s="108">
        <v>762</v>
      </c>
      <c r="D38" s="108"/>
      <c r="E38" s="108">
        <v>235400</v>
      </c>
      <c r="F38" s="108">
        <v>60</v>
      </c>
      <c r="G38" s="108"/>
      <c r="H38" s="108">
        <v>691840</v>
      </c>
    </row>
    <row r="39" spans="2:8">
      <c r="B39" s="23" t="s">
        <v>22</v>
      </c>
      <c r="C39" s="108">
        <v>8810</v>
      </c>
      <c r="D39" s="108"/>
      <c r="E39" s="108">
        <v>3633</v>
      </c>
      <c r="F39" s="108"/>
      <c r="G39" s="108"/>
      <c r="H39" s="108">
        <v>0</v>
      </c>
    </row>
    <row r="40" spans="2:8">
      <c r="C40" s="47">
        <f t="shared" ref="C40:H40" si="0">SUM(C27:C39)</f>
        <v>24421.5</v>
      </c>
      <c r="D40" s="47">
        <f t="shared" si="0"/>
        <v>14108</v>
      </c>
      <c r="E40" s="47">
        <f t="shared" si="0"/>
        <v>1134086.8500000001</v>
      </c>
      <c r="F40" s="47">
        <f t="shared" si="0"/>
        <v>11125</v>
      </c>
      <c r="G40" s="47">
        <f t="shared" si="0"/>
        <v>0</v>
      </c>
      <c r="H40" s="47">
        <f t="shared" si="0"/>
        <v>1905314.8</v>
      </c>
    </row>
  </sheetData>
  <mergeCells count="14">
    <mergeCell ref="B2:H2"/>
    <mergeCell ref="B3:H3"/>
    <mergeCell ref="B22:F22"/>
    <mergeCell ref="B4:B5"/>
    <mergeCell ref="C4:C5"/>
    <mergeCell ref="G4:G5"/>
    <mergeCell ref="H4:H5"/>
    <mergeCell ref="G23:G25"/>
    <mergeCell ref="H23:H25"/>
    <mergeCell ref="F23:F25"/>
    <mergeCell ref="B23:B25"/>
    <mergeCell ref="C23:C25"/>
    <mergeCell ref="D23:D25"/>
    <mergeCell ref="E23:E25"/>
  </mergeCells>
  <phoneticPr fontId="3" type="noConversion"/>
  <pageMargins left="0.75" right="0.75" top="1" bottom="1" header="0.51180555555555551" footer="0.51180555555555551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9"/>
  <sheetViews>
    <sheetView topLeftCell="A10" workbookViewId="0">
      <selection activeCell="E5" sqref="E5:E18"/>
    </sheetView>
  </sheetViews>
  <sheetFormatPr defaultColWidth="8.75" defaultRowHeight="14.25"/>
  <cols>
    <col min="1" max="1" width="13" style="61" customWidth="1"/>
    <col min="2" max="2" width="11.625" style="21" customWidth="1"/>
    <col min="3" max="3" width="10.75" style="21" customWidth="1"/>
    <col min="4" max="4" width="11.875" style="21" customWidth="1"/>
    <col min="5" max="5" width="11.5" style="21" customWidth="1"/>
    <col min="6" max="6" width="11.375" style="21" customWidth="1"/>
    <col min="7" max="16384" width="8.75" style="21"/>
  </cols>
  <sheetData>
    <row r="1" spans="1:6" ht="27" customHeight="1">
      <c r="A1" s="252" t="s">
        <v>112</v>
      </c>
      <c r="B1" s="252"/>
      <c r="C1" s="252"/>
      <c r="D1" s="252"/>
      <c r="E1" s="252"/>
      <c r="F1" s="252"/>
    </row>
    <row r="2" spans="1:6" ht="14.25" customHeight="1">
      <c r="A2" s="253"/>
      <c r="B2" s="250" t="s">
        <v>111</v>
      </c>
      <c r="C2" s="250" t="s">
        <v>110</v>
      </c>
      <c r="D2" s="250" t="s">
        <v>109</v>
      </c>
      <c r="E2" s="250" t="s">
        <v>108</v>
      </c>
      <c r="F2" s="250" t="s">
        <v>107</v>
      </c>
    </row>
    <row r="3" spans="1:6">
      <c r="A3" s="254"/>
      <c r="B3" s="256"/>
      <c r="C3" s="256"/>
      <c r="D3" s="251"/>
      <c r="E3" s="251"/>
      <c r="F3" s="251"/>
    </row>
    <row r="4" spans="1:6">
      <c r="A4" s="255"/>
      <c r="B4" s="256"/>
      <c r="C4" s="256"/>
      <c r="D4" s="251"/>
      <c r="E4" s="251"/>
      <c r="F4" s="251"/>
    </row>
    <row r="5" spans="1:6" ht="18" customHeight="1">
      <c r="A5" s="63" t="s">
        <v>48</v>
      </c>
      <c r="B5" s="117">
        <f>B6+B7+B8+B9+B10+B11+B12+B14+B13+B15+B16+B17+B18</f>
        <v>104057</v>
      </c>
      <c r="C5" s="117">
        <f t="shared" ref="C5:E5" si="0">C6+C7+C8+C9+C10+C11+C12+C14+C13+C15+C16+C17+C18</f>
        <v>712130</v>
      </c>
      <c r="D5" s="117">
        <f t="shared" si="0"/>
        <v>10498561</v>
      </c>
      <c r="E5" s="162">
        <f t="shared" si="0"/>
        <v>313278.37</v>
      </c>
      <c r="F5" s="117">
        <f>F6+F7+F8+F9+F10+F11+F12+F13+F14+F15+F16+F17+F18</f>
        <v>8748</v>
      </c>
    </row>
    <row r="6" spans="1:6" ht="18" customHeight="1">
      <c r="A6" s="39" t="s">
        <v>10</v>
      </c>
      <c r="B6" s="117">
        <v>271</v>
      </c>
      <c r="C6" s="117">
        <v>1758</v>
      </c>
      <c r="D6" s="117">
        <v>61803</v>
      </c>
      <c r="E6" s="161">
        <v>1452.34</v>
      </c>
      <c r="F6" s="116">
        <v>23</v>
      </c>
    </row>
    <row r="7" spans="1:6" ht="18" customHeight="1">
      <c r="A7" s="39" t="s">
        <v>11</v>
      </c>
      <c r="B7" s="117">
        <v>6209</v>
      </c>
      <c r="C7" s="117">
        <v>49462</v>
      </c>
      <c r="D7" s="117">
        <v>935325</v>
      </c>
      <c r="E7" s="161">
        <v>24933</v>
      </c>
      <c r="F7" s="116">
        <v>522</v>
      </c>
    </row>
    <row r="8" spans="1:6" ht="18" customHeight="1">
      <c r="A8" s="39" t="s">
        <v>32</v>
      </c>
      <c r="B8" s="117">
        <v>686</v>
      </c>
      <c r="C8" s="117">
        <v>67590</v>
      </c>
      <c r="D8" s="117">
        <v>1349952</v>
      </c>
      <c r="E8" s="161">
        <v>34742</v>
      </c>
      <c r="F8" s="116">
        <v>58</v>
      </c>
    </row>
    <row r="9" spans="1:6" ht="18" customHeight="1">
      <c r="A9" s="39" t="s">
        <v>13</v>
      </c>
      <c r="B9" s="117">
        <v>568</v>
      </c>
      <c r="C9" s="117">
        <v>50292</v>
      </c>
      <c r="D9" s="117">
        <v>971364</v>
      </c>
      <c r="E9" s="161">
        <v>25666</v>
      </c>
      <c r="F9" s="116">
        <v>48</v>
      </c>
    </row>
    <row r="10" spans="1:6" ht="18" customHeight="1">
      <c r="A10" s="39" t="s">
        <v>14</v>
      </c>
      <c r="B10" s="117">
        <v>586</v>
      </c>
      <c r="C10" s="117">
        <v>24801</v>
      </c>
      <c r="D10" s="117">
        <v>884409</v>
      </c>
      <c r="E10" s="161">
        <v>19880.099999999999</v>
      </c>
      <c r="F10" s="116">
        <v>49</v>
      </c>
    </row>
    <row r="11" spans="1:6" ht="18" customHeight="1">
      <c r="A11" s="39" t="s">
        <v>15</v>
      </c>
      <c r="B11" s="116">
        <v>725</v>
      </c>
      <c r="C11" s="117">
        <v>61665</v>
      </c>
      <c r="D11" s="117">
        <v>2108216</v>
      </c>
      <c r="E11" s="161">
        <v>47316</v>
      </c>
      <c r="F11" s="116">
        <v>61</v>
      </c>
    </row>
    <row r="12" spans="1:6" ht="18" customHeight="1">
      <c r="A12" s="39" t="s">
        <v>16</v>
      </c>
      <c r="B12" s="117"/>
      <c r="C12" s="117">
        <v>91689</v>
      </c>
      <c r="D12" s="117">
        <v>1914856</v>
      </c>
      <c r="E12" s="161">
        <v>48167.1</v>
      </c>
      <c r="F12" s="116"/>
    </row>
    <row r="13" spans="1:6" ht="18" customHeight="1">
      <c r="A13" s="39" t="s">
        <v>31</v>
      </c>
      <c r="B13" s="117">
        <v>51436</v>
      </c>
      <c r="C13" s="117">
        <v>54724</v>
      </c>
      <c r="D13" s="117">
        <v>210000</v>
      </c>
      <c r="E13" s="161">
        <v>18073</v>
      </c>
      <c r="F13" s="116">
        <v>4325</v>
      </c>
    </row>
    <row r="14" spans="1:6" ht="18" customHeight="1">
      <c r="A14" s="39" t="s">
        <v>30</v>
      </c>
      <c r="B14" s="117">
        <v>196</v>
      </c>
      <c r="C14" s="117">
        <v>16505</v>
      </c>
      <c r="D14" s="117">
        <v>428273</v>
      </c>
      <c r="E14" s="161">
        <v>9923.2999999999993</v>
      </c>
      <c r="F14" s="116">
        <v>16</v>
      </c>
    </row>
    <row r="15" spans="1:6" ht="18" customHeight="1">
      <c r="A15" s="39" t="s">
        <v>29</v>
      </c>
      <c r="B15" s="117">
        <v>3503</v>
      </c>
      <c r="C15" s="117">
        <v>49095</v>
      </c>
      <c r="D15" s="117">
        <v>348428</v>
      </c>
      <c r="E15" s="161">
        <v>14671</v>
      </c>
      <c r="F15" s="116">
        <v>294</v>
      </c>
    </row>
    <row r="16" spans="1:6" ht="18" customHeight="1">
      <c r="A16" s="39" t="s">
        <v>28</v>
      </c>
      <c r="B16" s="116">
        <v>3041</v>
      </c>
      <c r="C16" s="117">
        <v>152099</v>
      </c>
      <c r="D16" s="117">
        <v>413323</v>
      </c>
      <c r="E16" s="162">
        <v>34715.53</v>
      </c>
      <c r="F16" s="116">
        <v>255</v>
      </c>
    </row>
    <row r="17" spans="1:6" ht="18" customHeight="1">
      <c r="A17" s="39" t="s">
        <v>27</v>
      </c>
      <c r="B17" s="116">
        <v>35656</v>
      </c>
      <c r="C17" s="117">
        <v>84683</v>
      </c>
      <c r="D17" s="117">
        <v>210200</v>
      </c>
      <c r="E17" s="161">
        <v>21867</v>
      </c>
      <c r="F17" s="116">
        <v>2998</v>
      </c>
    </row>
    <row r="18" spans="1:6" ht="18" customHeight="1">
      <c r="A18" s="62" t="s">
        <v>22</v>
      </c>
      <c r="B18" s="157">
        <v>1180</v>
      </c>
      <c r="C18" s="157">
        <v>7767</v>
      </c>
      <c r="D18" s="157">
        <v>662412</v>
      </c>
      <c r="E18" s="188">
        <v>11872</v>
      </c>
      <c r="F18" s="158">
        <v>99</v>
      </c>
    </row>
    <row r="19" spans="1:6">
      <c r="B19" s="21">
        <f>SUM(B6:B18)</f>
        <v>104057</v>
      </c>
      <c r="C19" s="21">
        <f>SUM(C6:C18)</f>
        <v>712130</v>
      </c>
      <c r="D19" s="21">
        <f>SUM(D6:D18)</f>
        <v>10498561</v>
      </c>
      <c r="E19" s="21">
        <f>SUM(E6:E18)</f>
        <v>313278.37</v>
      </c>
      <c r="F19" s="21">
        <f>SUM(F6:F18)</f>
        <v>8748</v>
      </c>
    </row>
    <row r="21" spans="1:6" ht="15.75">
      <c r="A21" s="64" t="s">
        <v>106</v>
      </c>
    </row>
    <row r="22" spans="1:6">
      <c r="A22" s="253"/>
      <c r="B22" s="250" t="s">
        <v>105</v>
      </c>
      <c r="C22" s="250" t="s">
        <v>104</v>
      </c>
      <c r="D22" s="250" t="s">
        <v>103</v>
      </c>
      <c r="E22" s="250" t="s">
        <v>102</v>
      </c>
      <c r="F22" s="250" t="s">
        <v>101</v>
      </c>
    </row>
    <row r="23" spans="1:6">
      <c r="A23" s="254"/>
      <c r="B23" s="256"/>
      <c r="C23" s="256"/>
      <c r="D23" s="251"/>
      <c r="E23" s="251"/>
      <c r="F23" s="251"/>
    </row>
    <row r="24" spans="1:6">
      <c r="A24" s="255"/>
      <c r="B24" s="256"/>
      <c r="C24" s="256"/>
      <c r="D24" s="251"/>
      <c r="E24" s="251"/>
      <c r="F24" s="251"/>
    </row>
    <row r="25" spans="1:6" ht="18" customHeight="1">
      <c r="A25" s="63" t="s">
        <v>48</v>
      </c>
      <c r="B25" s="117">
        <f>B26+B27+B28+B29+B30+B31+B32+B33+B34+B35+B36+B37+B38</f>
        <v>123393</v>
      </c>
      <c r="C25" s="117">
        <f>C26+C27+C28+C29+C30+C31+C32+C33+C34+C35+C36+C37+C38</f>
        <v>161652</v>
      </c>
      <c r="D25" s="164">
        <f>D26+D27+D28+D29+D30+D31+D32+D33+D34+D35+D36+D37+D38</f>
        <v>1594.3799999999999</v>
      </c>
      <c r="E25" s="117">
        <f>E26+E27+E28+E29+E30+E31+E32+E33+E34+E35+E36+E37+E38</f>
        <v>1197</v>
      </c>
      <c r="F25" s="117">
        <f>F26+F27+F28+F29+F30+F31+F32+F33+F34+F35+F36+F37+F38</f>
        <v>618366</v>
      </c>
    </row>
    <row r="26" spans="1:6" ht="18" customHeight="1">
      <c r="A26" s="39" t="s">
        <v>10</v>
      </c>
      <c r="B26" s="116">
        <v>305</v>
      </c>
      <c r="C26" s="116">
        <v>952</v>
      </c>
      <c r="D26" s="156">
        <v>53.58</v>
      </c>
      <c r="E26" s="117">
        <v>21</v>
      </c>
      <c r="F26" s="116">
        <v>2250</v>
      </c>
    </row>
    <row r="27" spans="1:6" ht="18" customHeight="1">
      <c r="A27" s="39" t="s">
        <v>11</v>
      </c>
      <c r="B27" s="116">
        <v>8570</v>
      </c>
      <c r="C27" s="116">
        <v>14404</v>
      </c>
      <c r="D27" s="156">
        <v>148</v>
      </c>
      <c r="E27" s="117">
        <v>26</v>
      </c>
      <c r="F27" s="116">
        <v>119524</v>
      </c>
    </row>
    <row r="28" spans="1:6" ht="18" customHeight="1">
      <c r="A28" s="39" t="s">
        <v>32</v>
      </c>
      <c r="B28" s="116">
        <v>11711</v>
      </c>
      <c r="C28" s="116">
        <v>20786</v>
      </c>
      <c r="D28" s="156">
        <v>103</v>
      </c>
      <c r="E28" s="117"/>
      <c r="F28" s="116">
        <v>49500</v>
      </c>
    </row>
    <row r="29" spans="1:6" ht="18" customHeight="1">
      <c r="A29" s="39" t="s">
        <v>13</v>
      </c>
      <c r="B29" s="116">
        <v>8714</v>
      </c>
      <c r="C29" s="116">
        <v>14957</v>
      </c>
      <c r="D29" s="156">
        <v>409</v>
      </c>
      <c r="E29" s="117">
        <v>7</v>
      </c>
      <c r="F29" s="116">
        <v>21000</v>
      </c>
    </row>
    <row r="30" spans="1:6" ht="18" customHeight="1">
      <c r="A30" s="39" t="s">
        <v>14</v>
      </c>
      <c r="B30" s="116">
        <v>4297</v>
      </c>
      <c r="C30" s="116">
        <v>13620</v>
      </c>
      <c r="D30" s="156">
        <v>467</v>
      </c>
      <c r="E30" s="117">
        <v>39</v>
      </c>
      <c r="F30" s="116">
        <v>622</v>
      </c>
    </row>
    <row r="31" spans="1:6" ht="18" customHeight="1">
      <c r="A31" s="39" t="s">
        <v>15</v>
      </c>
      <c r="B31" s="116">
        <v>10685</v>
      </c>
      <c r="C31" s="116">
        <v>32460</v>
      </c>
      <c r="D31" s="156">
        <v>107</v>
      </c>
      <c r="E31" s="117">
        <v>11</v>
      </c>
      <c r="F31" s="116">
        <v>18212</v>
      </c>
    </row>
    <row r="32" spans="1:6" ht="18" customHeight="1">
      <c r="A32" s="39" t="s">
        <v>16</v>
      </c>
      <c r="B32" s="116">
        <v>15889</v>
      </c>
      <c r="C32" s="116">
        <v>29485</v>
      </c>
      <c r="D32" s="156">
        <v>117.5</v>
      </c>
      <c r="E32" s="117">
        <v>43</v>
      </c>
      <c r="F32" s="116">
        <v>24492</v>
      </c>
    </row>
    <row r="33" spans="1:6" ht="18" customHeight="1">
      <c r="A33" s="39" t="s">
        <v>31</v>
      </c>
      <c r="B33" s="116">
        <v>9482</v>
      </c>
      <c r="C33" s="116">
        <v>3235</v>
      </c>
      <c r="D33" s="159"/>
      <c r="E33" s="117">
        <v>304</v>
      </c>
      <c r="F33" s="116">
        <v>33000</v>
      </c>
    </row>
    <row r="34" spans="1:6" ht="18" customHeight="1">
      <c r="A34" s="39" t="s">
        <v>30</v>
      </c>
      <c r="B34" s="116">
        <v>2860</v>
      </c>
      <c r="C34" s="116">
        <v>6592</v>
      </c>
      <c r="D34" s="156">
        <v>21.3</v>
      </c>
      <c r="E34" s="160"/>
      <c r="F34" s="116">
        <v>7089</v>
      </c>
    </row>
    <row r="35" spans="1:6" ht="18" customHeight="1">
      <c r="A35" s="39" t="s">
        <v>29</v>
      </c>
      <c r="B35" s="116">
        <v>8507</v>
      </c>
      <c r="C35" s="116">
        <v>5364</v>
      </c>
      <c r="D35" s="156">
        <v>27</v>
      </c>
      <c r="E35" s="117">
        <v>32</v>
      </c>
      <c r="F35" s="116">
        <v>12013</v>
      </c>
    </row>
    <row r="36" spans="1:6" ht="18" customHeight="1">
      <c r="A36" s="39" t="s">
        <v>28</v>
      </c>
      <c r="B36" s="116">
        <v>26354</v>
      </c>
      <c r="C36" s="116">
        <v>6363</v>
      </c>
      <c r="D36" s="156">
        <v>141</v>
      </c>
      <c r="E36" s="117">
        <v>84</v>
      </c>
      <c r="F36" s="116">
        <v>278000</v>
      </c>
    </row>
    <row r="37" spans="1:6" ht="18" customHeight="1">
      <c r="A37" s="39" t="s">
        <v>27</v>
      </c>
      <c r="B37" s="116">
        <v>14673</v>
      </c>
      <c r="C37" s="116">
        <v>3234</v>
      </c>
      <c r="D37" s="156"/>
      <c r="E37" s="117">
        <v>592</v>
      </c>
      <c r="F37" s="116">
        <v>43500</v>
      </c>
    </row>
    <row r="38" spans="1:6" ht="18" customHeight="1">
      <c r="A38" s="62" t="s">
        <v>22</v>
      </c>
      <c r="B38" s="116">
        <v>1346</v>
      </c>
      <c r="C38" s="116">
        <v>10200</v>
      </c>
      <c r="D38" s="159"/>
      <c r="E38" s="117">
        <v>38</v>
      </c>
      <c r="F38" s="116">
        <v>9164</v>
      </c>
    </row>
    <row r="39" spans="1:6">
      <c r="B39" s="21">
        <f>SUM(B26:B38)</f>
        <v>123393</v>
      </c>
      <c r="C39" s="21">
        <f>SUM(C26:C38)</f>
        <v>161652</v>
      </c>
      <c r="D39" s="21">
        <f>SUM(D26:D38)</f>
        <v>1594.3799999999999</v>
      </c>
      <c r="E39" s="21">
        <f>SUM(E26:E38)</f>
        <v>1197</v>
      </c>
      <c r="F39" s="21">
        <f>SUM(F26:F38)</f>
        <v>618366</v>
      </c>
    </row>
  </sheetData>
  <mergeCells count="13">
    <mergeCell ref="F2:F4"/>
    <mergeCell ref="F22:F24"/>
    <mergeCell ref="A1:F1"/>
    <mergeCell ref="A2:A4"/>
    <mergeCell ref="A22:A24"/>
    <mergeCell ref="B2:B4"/>
    <mergeCell ref="B22:B24"/>
    <mergeCell ref="C2:C4"/>
    <mergeCell ref="C22:C24"/>
    <mergeCell ref="D2:D4"/>
    <mergeCell ref="D22:D24"/>
    <mergeCell ref="E2:E4"/>
    <mergeCell ref="E22:E24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0"/>
  <sheetViews>
    <sheetView topLeftCell="A13" workbookViewId="0">
      <selection activeCell="F5" sqref="F5"/>
    </sheetView>
  </sheetViews>
  <sheetFormatPr defaultColWidth="8.75" defaultRowHeight="14.25"/>
  <cols>
    <col min="1" max="1" width="9" style="61" customWidth="1"/>
    <col min="2" max="2" width="8.75" style="21"/>
    <col min="3" max="3" width="13" style="21" customWidth="1"/>
    <col min="4" max="5" width="8.75" style="21"/>
    <col min="6" max="6" width="14.125" style="21" customWidth="1"/>
    <col min="7" max="16384" width="8.75" style="21"/>
  </cols>
  <sheetData>
    <row r="1" spans="1:6" ht="15.75">
      <c r="A1" s="257" t="s">
        <v>125</v>
      </c>
      <c r="B1" s="257"/>
      <c r="C1" s="257"/>
      <c r="D1" s="257"/>
      <c r="E1" s="257"/>
      <c r="F1" s="257"/>
    </row>
    <row r="2" spans="1:6" ht="14.25" customHeight="1">
      <c r="A2" s="253"/>
      <c r="B2" s="250" t="s">
        <v>124</v>
      </c>
      <c r="C2" s="250" t="s">
        <v>123</v>
      </c>
      <c r="D2" s="250" t="s">
        <v>122</v>
      </c>
      <c r="E2" s="250" t="s">
        <v>121</v>
      </c>
      <c r="F2" s="250" t="s">
        <v>120</v>
      </c>
    </row>
    <row r="3" spans="1:6">
      <c r="A3" s="254"/>
      <c r="B3" s="256"/>
      <c r="C3" s="256"/>
      <c r="D3" s="256"/>
      <c r="E3" s="251"/>
      <c r="F3" s="251"/>
    </row>
    <row r="4" spans="1:6">
      <c r="A4" s="255"/>
      <c r="B4" s="256"/>
      <c r="C4" s="256"/>
      <c r="D4" s="256"/>
      <c r="E4" s="251"/>
      <c r="F4" s="251"/>
    </row>
    <row r="5" spans="1:6" ht="18" customHeight="1">
      <c r="A5" s="63" t="s">
        <v>113</v>
      </c>
      <c r="B5" s="116">
        <v>15516</v>
      </c>
      <c r="C5" s="116">
        <v>27</v>
      </c>
      <c r="D5" s="163">
        <v>248</v>
      </c>
      <c r="E5" s="161">
        <v>50</v>
      </c>
      <c r="F5" s="116">
        <f>F6+F7+F8+F9+F10+F11+F12+F13+F14+F15+F16+F17+F18</f>
        <v>5188</v>
      </c>
    </row>
    <row r="6" spans="1:6" ht="18" customHeight="1">
      <c r="A6" s="39" t="s">
        <v>10</v>
      </c>
      <c r="B6" s="116">
        <v>295</v>
      </c>
      <c r="C6" s="117"/>
      <c r="D6" s="117">
        <v>8</v>
      </c>
      <c r="E6" s="162"/>
      <c r="F6" s="117">
        <v>22</v>
      </c>
    </row>
    <row r="7" spans="1:6" ht="18" customHeight="1">
      <c r="A7" s="39" t="s">
        <v>11</v>
      </c>
      <c r="B7" s="116">
        <v>1565</v>
      </c>
      <c r="C7" s="117">
        <v>4</v>
      </c>
      <c r="D7" s="117">
        <v>18</v>
      </c>
      <c r="E7" s="162">
        <v>2</v>
      </c>
      <c r="F7" s="117">
        <v>317</v>
      </c>
    </row>
    <row r="8" spans="1:6" ht="18" customHeight="1">
      <c r="A8" s="39" t="s">
        <v>32</v>
      </c>
      <c r="B8" s="116">
        <v>1280</v>
      </c>
      <c r="C8" s="117"/>
      <c r="D8" s="117">
        <v>65</v>
      </c>
      <c r="E8" s="162">
        <v>2</v>
      </c>
      <c r="F8" s="117"/>
    </row>
    <row r="9" spans="1:6" ht="18" customHeight="1">
      <c r="A9" s="39" t="s">
        <v>13</v>
      </c>
      <c r="B9" s="116">
        <v>1047</v>
      </c>
      <c r="C9" s="117"/>
      <c r="D9" s="117">
        <v>37</v>
      </c>
      <c r="E9" s="162">
        <v>18</v>
      </c>
      <c r="F9" s="117">
        <v>25</v>
      </c>
    </row>
    <row r="10" spans="1:6" ht="18" customHeight="1">
      <c r="A10" s="39" t="s">
        <v>14</v>
      </c>
      <c r="B10" s="116">
        <v>1250</v>
      </c>
      <c r="C10" s="117">
        <v>10</v>
      </c>
      <c r="D10" s="117">
        <v>25</v>
      </c>
      <c r="E10" s="162">
        <v>20</v>
      </c>
      <c r="F10" s="117">
        <v>14</v>
      </c>
    </row>
    <row r="11" spans="1:6" ht="18" customHeight="1">
      <c r="A11" s="39" t="s">
        <v>15</v>
      </c>
      <c r="B11" s="116">
        <v>2180</v>
      </c>
      <c r="C11" s="117"/>
      <c r="D11" s="117">
        <v>40</v>
      </c>
      <c r="E11" s="162">
        <v>3</v>
      </c>
      <c r="F11" s="117">
        <v>32</v>
      </c>
    </row>
    <row r="12" spans="1:6" ht="18" customHeight="1">
      <c r="A12" s="39" t="s">
        <v>16</v>
      </c>
      <c r="B12" s="116">
        <v>2388</v>
      </c>
      <c r="C12" s="117">
        <v>8</v>
      </c>
      <c r="D12" s="117">
        <v>22</v>
      </c>
      <c r="E12" s="162">
        <v>3</v>
      </c>
      <c r="F12" s="117">
        <v>473</v>
      </c>
    </row>
    <row r="13" spans="1:6" ht="18" customHeight="1">
      <c r="A13" s="39" t="s">
        <v>31</v>
      </c>
      <c r="B13" s="116">
        <v>410</v>
      </c>
      <c r="C13" s="117"/>
      <c r="D13" s="117">
        <v>1</v>
      </c>
      <c r="E13" s="162"/>
      <c r="F13" s="117">
        <v>1560</v>
      </c>
    </row>
    <row r="14" spans="1:6" ht="18" customHeight="1">
      <c r="A14" s="39" t="s">
        <v>30</v>
      </c>
      <c r="B14" s="116">
        <v>1100</v>
      </c>
      <c r="C14" s="117"/>
      <c r="D14" s="117">
        <v>17</v>
      </c>
      <c r="E14" s="162"/>
      <c r="F14" s="117"/>
    </row>
    <row r="15" spans="1:6" ht="18" customHeight="1">
      <c r="A15" s="39" t="s">
        <v>29</v>
      </c>
      <c r="B15" s="116">
        <v>890</v>
      </c>
      <c r="C15" s="117">
        <v>5</v>
      </c>
      <c r="D15" s="117">
        <v>7</v>
      </c>
      <c r="E15" s="162">
        <v>2</v>
      </c>
      <c r="F15" s="117">
        <v>571</v>
      </c>
    </row>
    <row r="16" spans="1:6" ht="18" customHeight="1">
      <c r="A16" s="39" t="s">
        <v>28</v>
      </c>
      <c r="B16" s="116">
        <v>1920</v>
      </c>
      <c r="C16" s="116"/>
      <c r="D16" s="116"/>
      <c r="E16" s="161"/>
      <c r="F16" s="116">
        <v>195</v>
      </c>
    </row>
    <row r="17" spans="1:6" ht="18" customHeight="1">
      <c r="A17" s="39" t="s">
        <v>27</v>
      </c>
      <c r="B17" s="116">
        <v>497</v>
      </c>
      <c r="C17" s="116"/>
      <c r="D17" s="116"/>
      <c r="E17" s="161"/>
      <c r="F17" s="116">
        <v>1889</v>
      </c>
    </row>
    <row r="18" spans="1:6" ht="18" customHeight="1">
      <c r="A18" s="39" t="s">
        <v>22</v>
      </c>
      <c r="B18" s="116">
        <v>694</v>
      </c>
      <c r="C18" s="117"/>
      <c r="D18" s="117">
        <v>8</v>
      </c>
      <c r="E18" s="162"/>
      <c r="F18" s="117">
        <v>90</v>
      </c>
    </row>
    <row r="19" spans="1:6">
      <c r="B19" s="21">
        <f>SUM(B6:B18)</f>
        <v>15516</v>
      </c>
      <c r="C19" s="21">
        <f>SUM(C6:C18)</f>
        <v>27</v>
      </c>
      <c r="D19" s="21">
        <f>SUM(D6:D18)</f>
        <v>248</v>
      </c>
      <c r="E19" s="21">
        <f>SUM(E6:E18)</f>
        <v>50</v>
      </c>
      <c r="F19" s="21">
        <f>SUM(F6:F18)</f>
        <v>5188</v>
      </c>
    </row>
    <row r="22" spans="1:6" ht="15.75">
      <c r="A22" s="257" t="s">
        <v>119</v>
      </c>
      <c r="B22" s="257"/>
    </row>
    <row r="23" spans="1:6" ht="14.25" customHeight="1">
      <c r="A23" s="253"/>
      <c r="B23" s="250" t="s">
        <v>118</v>
      </c>
      <c r="C23" s="250" t="s">
        <v>117</v>
      </c>
      <c r="D23" s="250" t="s">
        <v>116</v>
      </c>
      <c r="E23" s="250" t="s">
        <v>115</v>
      </c>
      <c r="F23" s="250" t="s">
        <v>114</v>
      </c>
    </row>
    <row r="24" spans="1:6">
      <c r="A24" s="254"/>
      <c r="B24" s="256"/>
      <c r="C24" s="256"/>
      <c r="D24" s="256"/>
      <c r="E24" s="251"/>
      <c r="F24" s="251"/>
    </row>
    <row r="25" spans="1:6">
      <c r="A25" s="255"/>
      <c r="B25" s="256"/>
      <c r="C25" s="256"/>
      <c r="D25" s="256"/>
      <c r="E25" s="251"/>
      <c r="F25" s="251"/>
    </row>
    <row r="26" spans="1:6" ht="18" customHeight="1">
      <c r="A26" s="63" t="s">
        <v>113</v>
      </c>
      <c r="B26" s="116">
        <f>B27+B28+B29+B30+B31+B32+B33+B34+B35+B36+B37+B38+B39</f>
        <v>48.25</v>
      </c>
      <c r="C26" s="117">
        <f>C27+C28+C29+C30+C31+C32+C33+C34+C35+C36+C37+C38+C39</f>
        <v>6.04</v>
      </c>
      <c r="D26" s="116">
        <f>D27+D28+D29+D30+D31+D32+D33+D34+D35+D36+D37+D38+D39</f>
        <v>575895</v>
      </c>
      <c r="E26" s="117">
        <f>E27+E28+E29+E30+E31+E32+E33+E34+E35+E36+E37+E38+E39</f>
        <v>9504914</v>
      </c>
      <c r="F26" s="117">
        <f>F27+F28+F29+F30+F31+F32+F33+F34+F35+F36+F37+F38+F39</f>
        <v>610487</v>
      </c>
    </row>
    <row r="27" spans="1:6" ht="18" customHeight="1">
      <c r="A27" s="39" t="s">
        <v>10</v>
      </c>
      <c r="B27" s="116">
        <v>2.5499999999999998</v>
      </c>
      <c r="C27" s="117"/>
      <c r="D27" s="117">
        <v>1758</v>
      </c>
      <c r="E27" s="117">
        <v>52110</v>
      </c>
      <c r="F27" s="117">
        <v>9693</v>
      </c>
    </row>
    <row r="28" spans="1:6" ht="18" customHeight="1">
      <c r="A28" s="39" t="s">
        <v>11</v>
      </c>
      <c r="B28" s="116">
        <v>3.36</v>
      </c>
      <c r="C28" s="117">
        <v>1.98</v>
      </c>
      <c r="D28" s="117">
        <v>49949</v>
      </c>
      <c r="E28" s="117">
        <v>903532</v>
      </c>
      <c r="F28" s="117">
        <v>41570</v>
      </c>
    </row>
    <row r="29" spans="1:6" ht="18" customHeight="1">
      <c r="A29" s="39" t="s">
        <v>32</v>
      </c>
      <c r="B29" s="116"/>
      <c r="C29" s="117"/>
      <c r="D29" s="117">
        <v>67660</v>
      </c>
      <c r="E29" s="117">
        <v>1244623</v>
      </c>
      <c r="F29" s="117">
        <v>105785</v>
      </c>
    </row>
    <row r="30" spans="1:6" ht="18" customHeight="1">
      <c r="A30" s="39" t="s">
        <v>13</v>
      </c>
      <c r="B30" s="116">
        <v>0.25</v>
      </c>
      <c r="C30" s="117"/>
      <c r="D30" s="117">
        <v>50292</v>
      </c>
      <c r="E30" s="117">
        <v>874502</v>
      </c>
      <c r="F30" s="117">
        <v>96862</v>
      </c>
    </row>
    <row r="31" spans="1:6" ht="18" customHeight="1">
      <c r="A31" s="39" t="s">
        <v>14</v>
      </c>
      <c r="B31" s="116"/>
      <c r="C31" s="117"/>
      <c r="D31" s="117">
        <v>24808</v>
      </c>
      <c r="E31" s="117">
        <v>777417</v>
      </c>
      <c r="F31" s="117">
        <v>108460</v>
      </c>
    </row>
    <row r="32" spans="1:6" ht="18" customHeight="1">
      <c r="A32" s="39" t="s">
        <v>15</v>
      </c>
      <c r="B32" s="116">
        <v>0.8</v>
      </c>
      <c r="C32" s="117"/>
      <c r="D32" s="117">
        <v>67375</v>
      </c>
      <c r="E32" s="117">
        <v>1991675</v>
      </c>
      <c r="F32" s="117">
        <v>120439</v>
      </c>
    </row>
    <row r="33" spans="1:6" ht="18" customHeight="1">
      <c r="A33" s="39" t="s">
        <v>16</v>
      </c>
      <c r="B33" s="116">
        <v>3.02</v>
      </c>
      <c r="C33" s="117"/>
      <c r="D33" s="117">
        <v>91691</v>
      </c>
      <c r="E33" s="117">
        <v>1837952</v>
      </c>
      <c r="F33" s="117">
        <v>77129</v>
      </c>
    </row>
    <row r="34" spans="1:6" ht="18" customHeight="1">
      <c r="A34" s="39" t="s">
        <v>31</v>
      </c>
      <c r="B34" s="116">
        <v>10</v>
      </c>
      <c r="C34" s="117">
        <v>3</v>
      </c>
      <c r="D34" s="117">
        <v>54700</v>
      </c>
      <c r="E34" s="117">
        <v>208307</v>
      </c>
      <c r="F34" s="117">
        <v>1693</v>
      </c>
    </row>
    <row r="35" spans="1:6" ht="18" customHeight="1">
      <c r="A35" s="39" t="s">
        <v>30</v>
      </c>
      <c r="B35" s="116"/>
      <c r="C35" s="117"/>
      <c r="D35" s="117">
        <v>16505</v>
      </c>
      <c r="E35" s="117">
        <v>407193</v>
      </c>
      <c r="F35" s="117">
        <v>21080</v>
      </c>
    </row>
    <row r="36" spans="1:6" ht="18" customHeight="1">
      <c r="A36" s="39" t="s">
        <v>29</v>
      </c>
      <c r="B36" s="116">
        <v>3.5</v>
      </c>
      <c r="C36" s="117"/>
      <c r="D36" s="117">
        <v>49146</v>
      </c>
      <c r="E36" s="117">
        <v>339222</v>
      </c>
      <c r="F36" s="117">
        <v>10110</v>
      </c>
    </row>
    <row r="37" spans="1:6" ht="18" customHeight="1">
      <c r="A37" s="39" t="s">
        <v>28</v>
      </c>
      <c r="B37" s="116">
        <v>1.2</v>
      </c>
      <c r="C37" s="117">
        <v>0.06</v>
      </c>
      <c r="D37" s="117">
        <v>12000</v>
      </c>
      <c r="E37" s="117">
        <v>22080</v>
      </c>
      <c r="F37" s="117"/>
    </row>
    <row r="38" spans="1:6" ht="18" customHeight="1">
      <c r="A38" s="39" t="s">
        <v>27</v>
      </c>
      <c r="B38" s="116">
        <v>22</v>
      </c>
      <c r="C38" s="117">
        <v>1</v>
      </c>
      <c r="D38" s="117">
        <v>84727</v>
      </c>
      <c r="E38" s="117">
        <v>207527</v>
      </c>
      <c r="F38" s="117">
        <v>3393</v>
      </c>
    </row>
    <row r="39" spans="1:6" ht="18" customHeight="1">
      <c r="A39" s="39" t="s">
        <v>22</v>
      </c>
      <c r="B39" s="116">
        <v>1.57</v>
      </c>
      <c r="C39" s="117"/>
      <c r="D39" s="117">
        <v>5284</v>
      </c>
      <c r="E39" s="117">
        <v>638774</v>
      </c>
      <c r="F39" s="117">
        <v>14273</v>
      </c>
    </row>
    <row r="40" spans="1:6">
      <c r="B40" s="21">
        <f>SUM(B27:B39)</f>
        <v>48.25</v>
      </c>
      <c r="C40" s="21">
        <f>SUM(C27:C39)</f>
        <v>6.04</v>
      </c>
      <c r="D40" s="21">
        <f>SUM(D27:D39)</f>
        <v>575895</v>
      </c>
      <c r="E40" s="21">
        <f>SUM(E27:E39)</f>
        <v>9504914</v>
      </c>
      <c r="F40" s="21">
        <f>SUM(F27:F39)</f>
        <v>610487</v>
      </c>
    </row>
  </sheetData>
  <mergeCells count="14">
    <mergeCell ref="C2:C4"/>
    <mergeCell ref="C23:C25"/>
    <mergeCell ref="D2:D4"/>
    <mergeCell ref="D23:D25"/>
    <mergeCell ref="A1:F1"/>
    <mergeCell ref="A22:B22"/>
    <mergeCell ref="A2:A4"/>
    <mergeCell ref="A23:A25"/>
    <mergeCell ref="B2:B4"/>
    <mergeCell ref="B23:B25"/>
    <mergeCell ref="E2:E4"/>
    <mergeCell ref="E23:E25"/>
    <mergeCell ref="F2:F4"/>
    <mergeCell ref="F23:F25"/>
  </mergeCells>
  <phoneticPr fontId="3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Q39"/>
  <sheetViews>
    <sheetView topLeftCell="A13" workbookViewId="0">
      <selection activeCell="I27" sqref="I27"/>
    </sheetView>
  </sheetViews>
  <sheetFormatPr defaultColWidth="8.75" defaultRowHeight="14.25"/>
  <cols>
    <col min="1" max="1" width="10.25" style="6" customWidth="1"/>
    <col min="2" max="2" width="10.375" customWidth="1"/>
    <col min="3" max="3" width="11" customWidth="1"/>
    <col min="4" max="5" width="9.5" customWidth="1"/>
    <col min="6" max="6" width="11.625" customWidth="1"/>
    <col min="7" max="7" width="10.375" customWidth="1"/>
    <col min="8" max="8" width="7.25" customWidth="1"/>
    <col min="10" max="10" width="9.5" bestFit="1" customWidth="1"/>
    <col min="11" max="11" width="9.625" customWidth="1"/>
    <col min="12" max="13" width="8.875" customWidth="1"/>
  </cols>
  <sheetData>
    <row r="1" spans="1:13" s="8" customFormat="1" ht="26.25" customHeight="1">
      <c r="A1" s="258" t="s">
        <v>24</v>
      </c>
      <c r="B1" s="258"/>
      <c r="C1" s="258"/>
      <c r="D1" s="258"/>
      <c r="E1" s="258"/>
      <c r="F1" s="258"/>
      <c r="G1" s="258"/>
      <c r="H1" s="15"/>
      <c r="I1" s="15"/>
      <c r="J1" s="15"/>
      <c r="K1" s="15"/>
      <c r="L1" s="15"/>
      <c r="M1" s="7"/>
    </row>
    <row r="2" spans="1:13" s="8" customFormat="1" ht="19.5" customHeight="1">
      <c r="A2" s="259" t="s">
        <v>26</v>
      </c>
      <c r="B2" s="259"/>
      <c r="C2" s="259"/>
      <c r="D2" s="259"/>
      <c r="E2" s="259"/>
      <c r="F2" s="259"/>
      <c r="G2" s="259"/>
      <c r="H2" s="20"/>
      <c r="I2" s="20"/>
      <c r="J2" s="20"/>
      <c r="K2" s="20"/>
      <c r="L2" s="20"/>
      <c r="M2" s="20"/>
    </row>
    <row r="3" spans="1:13" s="8" customFormat="1" ht="14.25" customHeight="1">
      <c r="A3" s="269"/>
      <c r="B3" s="272" t="s">
        <v>0</v>
      </c>
      <c r="C3" s="275" t="s">
        <v>1</v>
      </c>
      <c r="D3" s="275" t="s">
        <v>2</v>
      </c>
      <c r="E3" s="275" t="s">
        <v>175</v>
      </c>
      <c r="F3" s="263" t="s">
        <v>194</v>
      </c>
      <c r="G3" s="275" t="s">
        <v>3</v>
      </c>
    </row>
    <row r="4" spans="1:13" s="8" customFormat="1">
      <c r="A4" s="270"/>
      <c r="B4" s="273"/>
      <c r="C4" s="276"/>
      <c r="D4" s="276"/>
      <c r="E4" s="276"/>
      <c r="F4" s="264"/>
      <c r="G4" s="276"/>
    </row>
    <row r="5" spans="1:13" s="8" customFormat="1">
      <c r="A5" s="271"/>
      <c r="B5" s="274"/>
      <c r="C5" s="277"/>
      <c r="D5" s="277"/>
      <c r="E5" s="277"/>
      <c r="F5" s="265"/>
      <c r="G5" s="277"/>
    </row>
    <row r="6" spans="1:13" s="8" customFormat="1" ht="12.75" customHeight="1">
      <c r="A6" s="9" t="s">
        <v>9</v>
      </c>
      <c r="B6" s="146">
        <v>15485681</v>
      </c>
      <c r="C6" s="146">
        <v>16235960</v>
      </c>
      <c r="D6" s="146">
        <v>7696214</v>
      </c>
      <c r="E6" s="146">
        <v>744732</v>
      </c>
      <c r="F6" s="146">
        <f>F7+F8+F9+F10+F11+F12+F13+F14+F15+F16+F17+F18+F19</f>
        <v>2079818</v>
      </c>
      <c r="G6" s="146">
        <v>48846</v>
      </c>
      <c r="K6" s="2"/>
      <c r="L6" s="11"/>
    </row>
    <row r="7" spans="1:13" s="8" customFormat="1" ht="12.75" customHeight="1">
      <c r="A7" s="12" t="s">
        <v>10</v>
      </c>
      <c r="B7" s="136">
        <v>85121</v>
      </c>
      <c r="C7" s="136">
        <v>93775</v>
      </c>
      <c r="D7" s="146">
        <v>35497</v>
      </c>
      <c r="E7" s="146">
        <v>0</v>
      </c>
      <c r="F7" s="146">
        <v>711</v>
      </c>
      <c r="G7" s="146">
        <v>3065</v>
      </c>
      <c r="K7" s="2"/>
      <c r="L7" s="11"/>
    </row>
    <row r="8" spans="1:13" s="8" customFormat="1" ht="12.75" customHeight="1">
      <c r="A8" s="12" t="s">
        <v>11</v>
      </c>
      <c r="B8" s="136">
        <v>1683920</v>
      </c>
      <c r="C8" s="136">
        <v>1687356</v>
      </c>
      <c r="D8" s="146">
        <v>721102</v>
      </c>
      <c r="E8" s="146">
        <v>47130</v>
      </c>
      <c r="F8" s="146">
        <v>94572</v>
      </c>
      <c r="G8" s="146">
        <v>23208</v>
      </c>
      <c r="K8" s="2"/>
      <c r="L8" s="11"/>
    </row>
    <row r="9" spans="1:13" s="8" customFormat="1" ht="12.75" customHeight="1">
      <c r="A9" s="12" t="s">
        <v>12</v>
      </c>
      <c r="B9" s="136">
        <v>1824705</v>
      </c>
      <c r="C9" s="136">
        <v>2494798</v>
      </c>
      <c r="D9" s="146">
        <v>1485136</v>
      </c>
      <c r="E9" s="146">
        <v>28206</v>
      </c>
      <c r="F9" s="146">
        <v>924299</v>
      </c>
      <c r="G9" s="146">
        <v>2108</v>
      </c>
      <c r="K9" s="2"/>
      <c r="L9" s="11"/>
    </row>
    <row r="10" spans="1:13" s="8" customFormat="1" ht="12.75" customHeight="1">
      <c r="A10" s="12" t="s">
        <v>13</v>
      </c>
      <c r="B10" s="136">
        <v>1580434</v>
      </c>
      <c r="C10" s="136">
        <v>1614655</v>
      </c>
      <c r="D10" s="146">
        <v>598930</v>
      </c>
      <c r="E10" s="146">
        <v>5351</v>
      </c>
      <c r="F10" s="146">
        <v>246012</v>
      </c>
      <c r="G10" s="146">
        <v>2733</v>
      </c>
      <c r="K10" s="2"/>
      <c r="L10" s="11"/>
    </row>
    <row r="11" spans="1:13" s="8" customFormat="1" ht="12.75" customHeight="1">
      <c r="A11" s="12" t="s">
        <v>14</v>
      </c>
      <c r="B11" s="136">
        <v>1874115</v>
      </c>
      <c r="C11" s="136">
        <v>1777449</v>
      </c>
      <c r="D11" s="146">
        <v>723736</v>
      </c>
      <c r="E11" s="146">
        <v>37461</v>
      </c>
      <c r="F11" s="146">
        <v>144287</v>
      </c>
      <c r="G11" s="146">
        <v>3160</v>
      </c>
      <c r="K11" s="2"/>
      <c r="L11" s="11"/>
    </row>
    <row r="12" spans="1:13" s="8" customFormat="1" ht="12.75" customHeight="1">
      <c r="A12" s="12" t="s">
        <v>15</v>
      </c>
      <c r="B12" s="136">
        <v>2925420</v>
      </c>
      <c r="C12" s="136">
        <v>2986281</v>
      </c>
      <c r="D12" s="146">
        <v>1619173</v>
      </c>
      <c r="E12" s="146">
        <v>69398</v>
      </c>
      <c r="F12" s="146">
        <v>330955</v>
      </c>
      <c r="G12" s="146">
        <v>6488</v>
      </c>
      <c r="K12" s="2"/>
      <c r="L12" s="11"/>
    </row>
    <row r="13" spans="1:13" s="8" customFormat="1" ht="12.75" customHeight="1">
      <c r="A13" s="12" t="s">
        <v>16</v>
      </c>
      <c r="B13" s="136">
        <v>2233033</v>
      </c>
      <c r="C13" s="136">
        <v>2278810</v>
      </c>
      <c r="D13" s="146">
        <v>833663</v>
      </c>
      <c r="E13" s="146">
        <v>217817</v>
      </c>
      <c r="F13" s="146">
        <v>47822</v>
      </c>
      <c r="G13" s="146">
        <v>612</v>
      </c>
      <c r="K13" s="2"/>
      <c r="L13" s="11"/>
    </row>
    <row r="14" spans="1:13" s="8" customFormat="1" ht="12.75" customHeight="1">
      <c r="A14" s="12" t="s">
        <v>17</v>
      </c>
      <c r="B14" s="136">
        <v>533368</v>
      </c>
      <c r="C14" s="136">
        <v>351816</v>
      </c>
      <c r="D14" s="146">
        <v>168828</v>
      </c>
      <c r="E14" s="146">
        <v>15198</v>
      </c>
      <c r="F14" s="146">
        <v>5786</v>
      </c>
      <c r="G14" s="146">
        <v>2728</v>
      </c>
      <c r="K14" s="2"/>
      <c r="L14" s="11"/>
    </row>
    <row r="15" spans="1:13" s="8" customFormat="1" ht="12.75" customHeight="1">
      <c r="A15" s="12" t="s">
        <v>18</v>
      </c>
      <c r="B15" s="136">
        <v>531378</v>
      </c>
      <c r="C15" s="136">
        <v>636483</v>
      </c>
      <c r="D15" s="146">
        <v>397818</v>
      </c>
      <c r="E15" s="146">
        <v>41390</v>
      </c>
      <c r="F15" s="146">
        <v>46426</v>
      </c>
      <c r="G15" s="146">
        <v>58</v>
      </c>
      <c r="K15" s="2"/>
      <c r="L15" s="11"/>
    </row>
    <row r="16" spans="1:13" s="8" customFormat="1" ht="12.75" customHeight="1">
      <c r="A16" s="12" t="s">
        <v>19</v>
      </c>
      <c r="B16" s="136">
        <v>556103</v>
      </c>
      <c r="C16" s="136">
        <v>556823</v>
      </c>
      <c r="D16" s="146">
        <v>219289</v>
      </c>
      <c r="E16" s="146">
        <v>39009</v>
      </c>
      <c r="F16" s="146">
        <v>178443</v>
      </c>
      <c r="G16" s="146">
        <v>1629</v>
      </c>
      <c r="K16" s="2"/>
      <c r="L16" s="11"/>
    </row>
    <row r="17" spans="1:17" s="8" customFormat="1" ht="12.75" customHeight="1">
      <c r="A17" s="12" t="s">
        <v>20</v>
      </c>
      <c r="B17" s="136">
        <v>705177</v>
      </c>
      <c r="C17" s="136">
        <v>794170</v>
      </c>
      <c r="D17" s="147">
        <v>364588</v>
      </c>
      <c r="E17" s="147">
        <v>180856</v>
      </c>
      <c r="F17" s="147">
        <v>27957</v>
      </c>
      <c r="G17" s="147">
        <v>644</v>
      </c>
      <c r="K17" s="2"/>
      <c r="L17" s="11"/>
    </row>
    <row r="18" spans="1:17" s="8" customFormat="1" ht="12.75" customHeight="1">
      <c r="A18" s="12" t="s">
        <v>21</v>
      </c>
      <c r="B18" s="136">
        <v>322150</v>
      </c>
      <c r="C18" s="136">
        <v>314798</v>
      </c>
      <c r="D18" s="146">
        <v>203125</v>
      </c>
      <c r="E18" s="146">
        <v>18642</v>
      </c>
      <c r="F18" s="146"/>
      <c r="G18" s="146">
        <v>536</v>
      </c>
      <c r="K18" s="2"/>
      <c r="L18" s="11"/>
    </row>
    <row r="19" spans="1:17" s="8" customFormat="1" ht="12.75" customHeight="1">
      <c r="A19" s="12" t="s">
        <v>22</v>
      </c>
      <c r="B19" s="140">
        <v>630757</v>
      </c>
      <c r="C19" s="140">
        <v>648746</v>
      </c>
      <c r="D19" s="148">
        <v>325329</v>
      </c>
      <c r="E19" s="148">
        <v>44274</v>
      </c>
      <c r="F19" s="148">
        <v>32548</v>
      </c>
      <c r="G19" s="148">
        <v>1877</v>
      </c>
      <c r="K19" s="2"/>
      <c r="L19" s="11"/>
    </row>
    <row r="20" spans="1:17" s="8" customFormat="1" ht="12.75" customHeight="1">
      <c r="A20" s="12"/>
      <c r="B20" s="10"/>
      <c r="C20" s="10"/>
      <c r="D20" s="10"/>
      <c r="E20" s="10"/>
      <c r="F20" s="10"/>
      <c r="G20" s="10"/>
      <c r="H20" s="10"/>
      <c r="I20" s="10"/>
      <c r="J20" s="10"/>
      <c r="K20" s="3"/>
    </row>
    <row r="21" spans="1:17" s="8" customFormat="1" ht="25.5" customHeight="1">
      <c r="A21" s="13"/>
      <c r="B21" s="149"/>
      <c r="C21" s="149"/>
      <c r="D21" s="149"/>
      <c r="E21" s="149"/>
      <c r="F21" s="149"/>
      <c r="G21" s="149"/>
    </row>
    <row r="22" spans="1:17" s="8" customFormat="1" ht="15" customHeight="1">
      <c r="A22" s="16" t="s">
        <v>25</v>
      </c>
      <c r="B22" s="149"/>
      <c r="C22" s="149"/>
      <c r="D22" s="149"/>
      <c r="E22" s="149"/>
      <c r="F22" s="149"/>
      <c r="G22" s="150"/>
    </row>
    <row r="23" spans="1:17" s="8" customFormat="1">
      <c r="A23" s="269"/>
      <c r="B23" s="278" t="s">
        <v>4</v>
      </c>
      <c r="C23" s="278" t="s">
        <v>5</v>
      </c>
      <c r="D23" s="281" t="s">
        <v>6</v>
      </c>
      <c r="E23" s="266" t="s">
        <v>193</v>
      </c>
      <c r="F23" s="260" t="s">
        <v>7</v>
      </c>
      <c r="G23" s="260" t="s">
        <v>8</v>
      </c>
    </row>
    <row r="24" spans="1:17">
      <c r="A24" s="270"/>
      <c r="B24" s="279"/>
      <c r="C24" s="279"/>
      <c r="D24" s="282"/>
      <c r="E24" s="267"/>
      <c r="F24" s="261"/>
      <c r="G24" s="261"/>
    </row>
    <row r="25" spans="1:17">
      <c r="A25" s="271"/>
      <c r="B25" s="280"/>
      <c r="C25" s="280"/>
      <c r="D25" s="283"/>
      <c r="E25" s="268"/>
      <c r="F25" s="262"/>
      <c r="G25" s="262"/>
    </row>
    <row r="26" spans="1:17" ht="16.5" customHeight="1">
      <c r="A26" s="9" t="s">
        <v>9</v>
      </c>
      <c r="B26" s="146">
        <v>180363</v>
      </c>
      <c r="C26" s="146">
        <f>C27+C28+C29+C30+C31+C32+C33+C34+C35+C36+C37+C38+C39</f>
        <v>7288412</v>
      </c>
      <c r="D26" s="151">
        <f>D27+D28+D29+D30+D31+D32+D33+D34+D35+D36+D37+D38+D39</f>
        <v>1663234</v>
      </c>
      <c r="E26" s="151">
        <v>9104761</v>
      </c>
      <c r="F26" s="143">
        <v>12945075</v>
      </c>
      <c r="G26" s="143">
        <v>2995937</v>
      </c>
      <c r="N26" s="5"/>
      <c r="O26" s="5"/>
      <c r="P26" s="5"/>
      <c r="Q26" s="5"/>
    </row>
    <row r="27" spans="1:17" ht="16.5" customHeight="1">
      <c r="A27" s="12" t="s">
        <v>10</v>
      </c>
      <c r="B27" s="146"/>
      <c r="C27" s="146">
        <v>24489</v>
      </c>
      <c r="D27" s="151"/>
      <c r="E27" s="151">
        <v>45872</v>
      </c>
      <c r="F27" s="143">
        <v>77781</v>
      </c>
      <c r="G27" s="143">
        <v>0</v>
      </c>
      <c r="N27" s="5"/>
      <c r="O27" s="5"/>
      <c r="P27" s="5"/>
      <c r="Q27" s="5"/>
    </row>
    <row r="28" spans="1:17" ht="16.5" customHeight="1">
      <c r="A28" s="12" t="s">
        <v>11</v>
      </c>
      <c r="B28" s="146">
        <v>16141</v>
      </c>
      <c r="C28" s="146">
        <v>728624</v>
      </c>
      <c r="D28" s="151">
        <v>90216</v>
      </c>
      <c r="E28" s="151">
        <v>922915</v>
      </c>
      <c r="F28" s="143">
        <v>1390401</v>
      </c>
      <c r="G28" s="143">
        <v>277217</v>
      </c>
      <c r="N28" s="5"/>
      <c r="O28" s="5"/>
      <c r="P28" s="5"/>
      <c r="Q28" s="5"/>
    </row>
    <row r="29" spans="1:17" ht="16.5" customHeight="1">
      <c r="A29" s="12" t="s">
        <v>12</v>
      </c>
      <c r="B29" s="146">
        <v>20737</v>
      </c>
      <c r="C29" s="146">
        <v>1081855</v>
      </c>
      <c r="D29" s="151">
        <v>662848</v>
      </c>
      <c r="E29" s="151">
        <v>1258118</v>
      </c>
      <c r="F29" s="143">
        <v>2086921</v>
      </c>
      <c r="G29" s="143">
        <v>391312</v>
      </c>
      <c r="N29" s="5"/>
      <c r="O29" s="5"/>
      <c r="P29" s="5"/>
      <c r="Q29" s="5"/>
    </row>
    <row r="30" spans="1:17" ht="16.5" customHeight="1">
      <c r="A30" s="12" t="s">
        <v>13</v>
      </c>
      <c r="B30" s="146">
        <v>25272</v>
      </c>
      <c r="C30" s="146">
        <v>661396</v>
      </c>
      <c r="D30" s="151">
        <v>82202</v>
      </c>
      <c r="E30" s="151">
        <v>881584</v>
      </c>
      <c r="F30" s="143">
        <v>1351799</v>
      </c>
      <c r="G30" s="143">
        <v>194118</v>
      </c>
      <c r="N30" s="5"/>
      <c r="O30" s="5"/>
      <c r="P30" s="5"/>
      <c r="Q30" s="5"/>
    </row>
    <row r="31" spans="1:17" ht="16.5" customHeight="1">
      <c r="A31" s="12" t="s">
        <v>14</v>
      </c>
      <c r="B31" s="146">
        <v>22793</v>
      </c>
      <c r="C31" s="146">
        <v>867602</v>
      </c>
      <c r="D31" s="151">
        <v>108595</v>
      </c>
      <c r="E31" s="151">
        <v>923644</v>
      </c>
      <c r="F31" s="143">
        <v>1777329</v>
      </c>
      <c r="G31" s="143">
        <v>0</v>
      </c>
      <c r="N31" s="5"/>
      <c r="O31" s="5"/>
      <c r="P31" s="5"/>
      <c r="Q31" s="5"/>
    </row>
    <row r="32" spans="1:17" ht="16.5" customHeight="1">
      <c r="A32" s="12" t="s">
        <v>15</v>
      </c>
      <c r="B32" s="146">
        <v>34209</v>
      </c>
      <c r="C32" s="146">
        <v>1455859</v>
      </c>
      <c r="D32" s="151">
        <v>462109</v>
      </c>
      <c r="E32" s="151">
        <v>1735226</v>
      </c>
      <c r="F32" s="143">
        <v>2893726</v>
      </c>
      <c r="G32" s="143">
        <v>27683</v>
      </c>
      <c r="N32" s="5"/>
      <c r="O32" s="5"/>
      <c r="P32" s="5"/>
      <c r="Q32" s="5"/>
    </row>
    <row r="33" spans="1:17" ht="16.5" customHeight="1">
      <c r="A33" s="12" t="s">
        <v>16</v>
      </c>
      <c r="B33" s="146">
        <v>17145</v>
      </c>
      <c r="C33" s="151">
        <v>632893</v>
      </c>
      <c r="D33" s="151">
        <v>40642</v>
      </c>
      <c r="E33" s="151">
        <v>1376072</v>
      </c>
      <c r="F33" s="143">
        <v>2178543</v>
      </c>
      <c r="G33" s="143">
        <v>68811</v>
      </c>
      <c r="N33" s="5"/>
      <c r="O33" s="5"/>
      <c r="P33" s="5"/>
      <c r="Q33" s="5"/>
    </row>
    <row r="34" spans="1:17" ht="16.5" customHeight="1">
      <c r="A34" s="12" t="s">
        <v>17</v>
      </c>
      <c r="B34" s="146">
        <v>2922</v>
      </c>
      <c r="C34" s="146">
        <v>339003</v>
      </c>
      <c r="D34" s="151">
        <v>1437</v>
      </c>
      <c r="E34" s="151">
        <v>205982</v>
      </c>
      <c r="F34" s="143">
        <v>128738</v>
      </c>
      <c r="G34" s="143">
        <v>214006</v>
      </c>
      <c r="N34" s="5"/>
      <c r="O34" s="5"/>
      <c r="P34" s="5"/>
      <c r="Q34" s="5"/>
    </row>
    <row r="35" spans="1:17" ht="16.5" customHeight="1">
      <c r="A35" s="12" t="s">
        <v>18</v>
      </c>
      <c r="B35" s="146">
        <v>18775</v>
      </c>
      <c r="C35" s="146">
        <v>326373</v>
      </c>
      <c r="D35" s="151">
        <v>31053</v>
      </c>
      <c r="E35" s="151">
        <v>367855</v>
      </c>
      <c r="F35" s="143">
        <v>39124</v>
      </c>
      <c r="G35" s="143">
        <v>581431</v>
      </c>
      <c r="N35" s="5"/>
      <c r="O35" s="5"/>
      <c r="P35" s="5"/>
      <c r="Q35" s="5"/>
    </row>
    <row r="36" spans="1:17" ht="16.5" customHeight="1">
      <c r="A36" s="12" t="s">
        <v>19</v>
      </c>
      <c r="B36" s="146">
        <v>7653</v>
      </c>
      <c r="C36" s="146">
        <v>294965</v>
      </c>
      <c r="D36" s="151">
        <v>131774</v>
      </c>
      <c r="E36" s="151">
        <v>353127</v>
      </c>
      <c r="F36" s="143">
        <v>272812</v>
      </c>
      <c r="G36" s="143">
        <v>282791</v>
      </c>
      <c r="N36" s="5"/>
      <c r="O36" s="5"/>
      <c r="P36" s="5"/>
      <c r="Q36" s="5"/>
    </row>
    <row r="37" spans="1:17" ht="16.5" customHeight="1">
      <c r="A37" s="12" t="s">
        <v>20</v>
      </c>
      <c r="B37" s="147">
        <v>6670</v>
      </c>
      <c r="C37" s="147">
        <v>311280</v>
      </c>
      <c r="D37" s="151">
        <v>38135</v>
      </c>
      <c r="E37" s="151">
        <v>475619</v>
      </c>
      <c r="F37" s="144">
        <v>101420</v>
      </c>
      <c r="G37" s="143">
        <v>654006</v>
      </c>
      <c r="N37" s="5"/>
      <c r="O37" s="5"/>
      <c r="P37" s="5"/>
      <c r="Q37" s="5"/>
    </row>
    <row r="38" spans="1:17" ht="16.5" customHeight="1">
      <c r="A38" s="12" t="s">
        <v>21</v>
      </c>
      <c r="B38" s="146">
        <v>6382</v>
      </c>
      <c r="C38" s="146">
        <v>197675</v>
      </c>
      <c r="D38" s="151"/>
      <c r="E38" s="151">
        <v>214374</v>
      </c>
      <c r="F38" s="143">
        <v>21464</v>
      </c>
      <c r="G38" s="143">
        <v>284344</v>
      </c>
      <c r="N38" s="5"/>
      <c r="O38" s="5"/>
      <c r="P38" s="5"/>
      <c r="Q38" s="5"/>
    </row>
    <row r="39" spans="1:17" ht="16.5" customHeight="1">
      <c r="A39" s="14" t="s">
        <v>22</v>
      </c>
      <c r="B39" s="148">
        <v>1664</v>
      </c>
      <c r="C39" s="148">
        <v>366398</v>
      </c>
      <c r="D39" s="152">
        <v>14223</v>
      </c>
      <c r="E39" s="152">
        <v>344373</v>
      </c>
      <c r="F39" s="145">
        <v>625017</v>
      </c>
      <c r="G39" s="145">
        <v>20218</v>
      </c>
      <c r="N39" s="5"/>
      <c r="O39" s="5"/>
      <c r="P39" s="5"/>
      <c r="Q39" s="5"/>
    </row>
  </sheetData>
  <mergeCells count="16">
    <mergeCell ref="A1:G1"/>
    <mergeCell ref="A2:G2"/>
    <mergeCell ref="G23:G25"/>
    <mergeCell ref="F3:F5"/>
    <mergeCell ref="E23:E25"/>
    <mergeCell ref="F23:F25"/>
    <mergeCell ref="A23:A25"/>
    <mergeCell ref="A3:A5"/>
    <mergeCell ref="B3:B5"/>
    <mergeCell ref="C3:C5"/>
    <mergeCell ref="D3:D5"/>
    <mergeCell ref="G3:G5"/>
    <mergeCell ref="B23:B25"/>
    <mergeCell ref="C23:C25"/>
    <mergeCell ref="D23:D25"/>
    <mergeCell ref="E3:E5"/>
  </mergeCells>
  <phoneticPr fontId="3" type="noConversion"/>
  <pageMargins left="0.74803149606299213" right="0.74803149606299213" top="0" bottom="0" header="0.51181102362204722" footer="0.51181102362204722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0"/>
  <sheetViews>
    <sheetView topLeftCell="A19" workbookViewId="0">
      <selection activeCell="I46" sqref="I46"/>
    </sheetView>
  </sheetViews>
  <sheetFormatPr defaultRowHeight="14.25"/>
  <cols>
    <col min="1" max="1" width="11.625" customWidth="1"/>
  </cols>
  <sheetData>
    <row r="1" spans="1:13" ht="21">
      <c r="A1" s="284" t="s">
        <v>184</v>
      </c>
      <c r="B1" s="284"/>
      <c r="C1" s="284"/>
      <c r="D1" s="284"/>
      <c r="E1" s="284"/>
      <c r="F1" s="284"/>
      <c r="G1" s="284"/>
      <c r="H1" s="18"/>
      <c r="I1" s="18"/>
      <c r="J1" s="18"/>
      <c r="K1" s="18"/>
      <c r="L1" s="18"/>
      <c r="M1" s="1"/>
    </row>
    <row r="2" spans="1:13">
      <c r="F2" s="289" t="s">
        <v>183</v>
      </c>
      <c r="G2" s="289"/>
      <c r="H2" s="19"/>
      <c r="I2" s="19"/>
      <c r="J2" s="19"/>
      <c r="K2" s="19"/>
      <c r="L2" s="19"/>
      <c r="M2" s="4"/>
    </row>
    <row r="3" spans="1:13" s="8" customFormat="1">
      <c r="A3" s="287"/>
      <c r="B3" s="288" t="s">
        <v>0</v>
      </c>
      <c r="C3" s="285" t="s">
        <v>1</v>
      </c>
      <c r="D3" s="285" t="s">
        <v>2</v>
      </c>
      <c r="E3" s="275" t="s">
        <v>182</v>
      </c>
      <c r="F3" s="275" t="s">
        <v>181</v>
      </c>
      <c r="G3" s="285" t="s">
        <v>3</v>
      </c>
    </row>
    <row r="4" spans="1:13" s="8" customFormat="1">
      <c r="A4" s="287"/>
      <c r="B4" s="288"/>
      <c r="C4" s="285"/>
      <c r="D4" s="285"/>
      <c r="E4" s="276"/>
      <c r="F4" s="276"/>
      <c r="G4" s="285"/>
    </row>
    <row r="5" spans="1:13" s="8" customFormat="1">
      <c r="A5" s="287"/>
      <c r="B5" s="288"/>
      <c r="C5" s="285"/>
      <c r="D5" s="285"/>
      <c r="E5" s="277"/>
      <c r="F5" s="277"/>
      <c r="G5" s="285"/>
    </row>
    <row r="6" spans="1:13" s="8" customFormat="1" ht="15">
      <c r="A6" s="17" t="s">
        <v>9</v>
      </c>
      <c r="B6" s="169">
        <f t="shared" ref="B6:G6" si="0">B7+B8+B9+B10+B11+B12+B13+B14+B15+B16+B17+B18+B19</f>
        <v>7255247</v>
      </c>
      <c r="C6" s="169">
        <f t="shared" si="0"/>
        <v>7898626</v>
      </c>
      <c r="D6" s="169">
        <f t="shared" si="0"/>
        <v>7379263</v>
      </c>
      <c r="E6" s="169">
        <f t="shared" si="0"/>
        <v>1025002</v>
      </c>
      <c r="F6" s="169">
        <f t="shared" si="0"/>
        <v>3080169</v>
      </c>
      <c r="G6" s="169">
        <f t="shared" si="0"/>
        <v>36701</v>
      </c>
    </row>
    <row r="7" spans="1:13" s="8" customFormat="1">
      <c r="A7" s="96" t="s">
        <v>10</v>
      </c>
      <c r="B7" s="169">
        <v>43199</v>
      </c>
      <c r="C7" s="169">
        <v>54121</v>
      </c>
      <c r="D7" s="169">
        <v>38152</v>
      </c>
      <c r="E7" s="169"/>
      <c r="F7" s="169">
        <v>36423</v>
      </c>
      <c r="G7" s="169">
        <v>608</v>
      </c>
    </row>
    <row r="8" spans="1:13" s="8" customFormat="1">
      <c r="A8" s="96" t="s">
        <v>11</v>
      </c>
      <c r="B8" s="169">
        <v>657648</v>
      </c>
      <c r="C8" s="169">
        <v>831569</v>
      </c>
      <c r="D8" s="169">
        <v>724401</v>
      </c>
      <c r="E8" s="169">
        <v>59284</v>
      </c>
      <c r="F8" s="169">
        <v>444922</v>
      </c>
      <c r="G8" s="169">
        <v>12746</v>
      </c>
      <c r="I8"/>
    </row>
    <row r="9" spans="1:13" s="8" customFormat="1" ht="15">
      <c r="A9" s="96" t="s">
        <v>12</v>
      </c>
      <c r="B9" s="169">
        <v>779843</v>
      </c>
      <c r="C9" s="169">
        <v>1228371</v>
      </c>
      <c r="D9" s="169">
        <v>1114775</v>
      </c>
      <c r="E9" s="169">
        <v>6023</v>
      </c>
      <c r="F9" s="169">
        <v>880207</v>
      </c>
      <c r="G9" s="169">
        <v>1623</v>
      </c>
      <c r="I9"/>
    </row>
    <row r="10" spans="1:13" s="8" customFormat="1">
      <c r="A10" s="96" t="s">
        <v>13</v>
      </c>
      <c r="B10" s="169">
        <v>688179</v>
      </c>
      <c r="C10" s="169">
        <v>658064</v>
      </c>
      <c r="D10" s="169">
        <v>710013</v>
      </c>
      <c r="E10" s="169">
        <v>2239</v>
      </c>
      <c r="F10" s="169">
        <v>387253</v>
      </c>
      <c r="G10" s="169">
        <v>2325</v>
      </c>
      <c r="I10"/>
    </row>
    <row r="11" spans="1:13" s="8" customFormat="1">
      <c r="A11" s="96" t="s">
        <v>14</v>
      </c>
      <c r="B11" s="169">
        <v>782875</v>
      </c>
      <c r="C11" s="169">
        <v>750035</v>
      </c>
      <c r="D11" s="169">
        <v>723856</v>
      </c>
      <c r="E11" s="169">
        <v>72976</v>
      </c>
      <c r="F11" s="169">
        <v>98203</v>
      </c>
      <c r="G11" s="169">
        <v>1507</v>
      </c>
      <c r="I11"/>
    </row>
    <row r="12" spans="1:13" s="8" customFormat="1">
      <c r="A12" s="96" t="s">
        <v>15</v>
      </c>
      <c r="B12" s="169">
        <v>1642094</v>
      </c>
      <c r="C12" s="169">
        <v>1773089</v>
      </c>
      <c r="D12" s="169">
        <v>1602774</v>
      </c>
      <c r="E12" s="169"/>
      <c r="F12" s="169"/>
      <c r="G12" s="169">
        <v>11070</v>
      </c>
    </row>
    <row r="13" spans="1:13" s="8" customFormat="1">
      <c r="A13" s="96" t="s">
        <v>16</v>
      </c>
      <c r="B13" s="169">
        <v>936953</v>
      </c>
      <c r="C13" s="169">
        <v>954987</v>
      </c>
      <c r="D13" s="169">
        <v>837493</v>
      </c>
      <c r="E13" s="169">
        <v>594216</v>
      </c>
      <c r="F13" s="169">
        <v>618076</v>
      </c>
      <c r="G13" s="169">
        <v>680</v>
      </c>
    </row>
    <row r="14" spans="1:13" s="8" customFormat="1" ht="15">
      <c r="A14" s="96" t="s">
        <v>17</v>
      </c>
      <c r="B14" s="169">
        <v>273798</v>
      </c>
      <c r="C14" s="169">
        <v>212411</v>
      </c>
      <c r="D14" s="169">
        <v>218464</v>
      </c>
      <c r="E14" s="169">
        <v>22162</v>
      </c>
      <c r="F14" s="169">
        <v>5152</v>
      </c>
      <c r="G14" s="169">
        <v>1773</v>
      </c>
    </row>
    <row r="15" spans="1:13" s="8" customFormat="1" ht="15">
      <c r="A15" s="96" t="s">
        <v>18</v>
      </c>
      <c r="B15" s="169">
        <v>223072</v>
      </c>
      <c r="C15" s="169">
        <v>278019</v>
      </c>
      <c r="D15" s="169">
        <v>298765</v>
      </c>
      <c r="E15" s="169">
        <v>19167</v>
      </c>
      <c r="F15" s="169">
        <v>17145</v>
      </c>
      <c r="G15" s="169">
        <v>243</v>
      </c>
    </row>
    <row r="16" spans="1:13" s="8" customFormat="1" ht="15">
      <c r="A16" s="96" t="s">
        <v>23</v>
      </c>
      <c r="B16" s="169">
        <v>246297</v>
      </c>
      <c r="C16" s="169">
        <v>256491</v>
      </c>
      <c r="D16" s="169">
        <v>212195</v>
      </c>
      <c r="E16" s="169">
        <v>38861</v>
      </c>
      <c r="F16" s="169">
        <v>173004</v>
      </c>
      <c r="G16" s="169">
        <v>1009</v>
      </c>
    </row>
    <row r="17" spans="1:7" s="8" customFormat="1" ht="15">
      <c r="A17" s="96" t="s">
        <v>20</v>
      </c>
      <c r="B17" s="169">
        <v>381197</v>
      </c>
      <c r="C17" s="169">
        <v>415920</v>
      </c>
      <c r="D17" s="169">
        <v>311745</v>
      </c>
      <c r="E17" s="169">
        <v>73073</v>
      </c>
      <c r="F17" s="169">
        <v>265925</v>
      </c>
      <c r="G17" s="169">
        <v>1074</v>
      </c>
    </row>
    <row r="18" spans="1:7" s="8" customFormat="1" ht="15">
      <c r="A18" s="96" t="s">
        <v>21</v>
      </c>
      <c r="B18" s="169">
        <v>234509</v>
      </c>
      <c r="C18" s="169">
        <v>193007</v>
      </c>
      <c r="D18" s="169">
        <v>218016</v>
      </c>
      <c r="E18" s="169">
        <v>57198</v>
      </c>
      <c r="F18" s="169"/>
      <c r="G18" s="169">
        <v>764</v>
      </c>
    </row>
    <row r="19" spans="1:7" s="8" customFormat="1">
      <c r="A19" s="96" t="s">
        <v>22</v>
      </c>
      <c r="B19" s="169">
        <v>365583</v>
      </c>
      <c r="C19" s="169">
        <v>292542</v>
      </c>
      <c r="D19" s="169">
        <v>368614</v>
      </c>
      <c r="E19" s="169">
        <v>79803</v>
      </c>
      <c r="F19" s="169">
        <v>153859</v>
      </c>
      <c r="G19" s="169">
        <v>1279</v>
      </c>
    </row>
    <row r="20" spans="1:7" s="8" customFormat="1">
      <c r="A20" s="13"/>
      <c r="B20" s="8">
        <f>SUM(B7:B19)</f>
        <v>7255247</v>
      </c>
      <c r="C20" s="8">
        <f t="shared" ref="C20:G20" si="1">SUM(C7:C19)</f>
        <v>7898626</v>
      </c>
      <c r="D20" s="8">
        <f t="shared" si="1"/>
        <v>7379263</v>
      </c>
      <c r="E20" s="8">
        <f t="shared" si="1"/>
        <v>1025002</v>
      </c>
      <c r="F20" s="8">
        <f t="shared" si="1"/>
        <v>3080169</v>
      </c>
      <c r="G20" s="8">
        <f t="shared" si="1"/>
        <v>36701</v>
      </c>
    </row>
    <row r="21" spans="1:7" s="8" customFormat="1"/>
    <row r="22" spans="1:7">
      <c r="A22" s="12" t="s">
        <v>180</v>
      </c>
    </row>
    <row r="23" spans="1:7">
      <c r="A23" s="287"/>
      <c r="B23" s="285" t="s">
        <v>4</v>
      </c>
      <c r="C23" s="285" t="s">
        <v>5</v>
      </c>
      <c r="D23" s="285" t="s">
        <v>179</v>
      </c>
      <c r="E23" s="286" t="s">
        <v>178</v>
      </c>
      <c r="F23" s="286" t="s">
        <v>177</v>
      </c>
      <c r="G23" s="290" t="s">
        <v>176</v>
      </c>
    </row>
    <row r="24" spans="1:7">
      <c r="A24" s="287"/>
      <c r="B24" s="285"/>
      <c r="C24" s="285"/>
      <c r="D24" s="285"/>
      <c r="E24" s="286"/>
      <c r="F24" s="286"/>
      <c r="G24" s="291"/>
    </row>
    <row r="25" spans="1:7">
      <c r="A25" s="287"/>
      <c r="B25" s="285"/>
      <c r="C25" s="285"/>
      <c r="D25" s="285"/>
      <c r="E25" s="286"/>
      <c r="F25" s="286"/>
      <c r="G25" s="292"/>
    </row>
    <row r="26" spans="1:7" ht="15">
      <c r="A26" s="17" t="s">
        <v>9</v>
      </c>
      <c r="B26" s="169">
        <f t="shared" ref="B26:G26" si="2">B27+B28+B29+B30+B31+B32+B33+B34+B35+B36+B37+B38+B39</f>
        <v>291240</v>
      </c>
      <c r="C26" s="169">
        <f t="shared" si="2"/>
        <v>9949076</v>
      </c>
      <c r="D26" s="169">
        <f t="shared" si="2"/>
        <v>263839</v>
      </c>
      <c r="E26" s="169">
        <f t="shared" si="2"/>
        <v>6841566</v>
      </c>
      <c r="F26" s="169">
        <f t="shared" si="2"/>
        <v>6294997</v>
      </c>
      <c r="G26" s="169">
        <f t="shared" si="2"/>
        <v>1451991</v>
      </c>
    </row>
    <row r="27" spans="1:7">
      <c r="A27" s="96" t="s">
        <v>10</v>
      </c>
      <c r="B27" s="169">
        <v>3524</v>
      </c>
      <c r="C27" s="169">
        <v>58279</v>
      </c>
      <c r="D27" s="169">
        <v>1242</v>
      </c>
      <c r="E27" s="169">
        <v>40519</v>
      </c>
      <c r="F27" s="169">
        <v>45765</v>
      </c>
      <c r="G27" s="169"/>
    </row>
    <row r="28" spans="1:7">
      <c r="A28" s="96" t="s">
        <v>11</v>
      </c>
      <c r="B28" s="169">
        <v>17768</v>
      </c>
      <c r="C28" s="169">
        <v>961699</v>
      </c>
      <c r="D28" s="169">
        <v>57153</v>
      </c>
      <c r="E28" s="169">
        <v>726795</v>
      </c>
      <c r="F28" s="169">
        <v>687498</v>
      </c>
      <c r="G28" s="169">
        <v>138476</v>
      </c>
    </row>
    <row r="29" spans="1:7" ht="15">
      <c r="A29" s="96" t="s">
        <v>12</v>
      </c>
      <c r="B29" s="169">
        <v>28802</v>
      </c>
      <c r="C29" s="169">
        <v>1404622</v>
      </c>
      <c r="D29" s="169">
        <v>117430</v>
      </c>
      <c r="E29" s="169">
        <v>1046498</v>
      </c>
      <c r="F29" s="169">
        <v>1016024</v>
      </c>
      <c r="G29" s="169">
        <v>202622</v>
      </c>
    </row>
    <row r="30" spans="1:7">
      <c r="A30" s="96" t="s">
        <v>13</v>
      </c>
      <c r="B30" s="169">
        <v>30840</v>
      </c>
      <c r="C30" s="169">
        <v>1002655</v>
      </c>
      <c r="D30" s="169">
        <v>7855</v>
      </c>
      <c r="E30" s="169">
        <v>571248</v>
      </c>
      <c r="F30" s="169">
        <v>534484</v>
      </c>
      <c r="G30" s="169">
        <v>93488</v>
      </c>
    </row>
    <row r="31" spans="1:7">
      <c r="A31" s="96" t="s">
        <v>14</v>
      </c>
      <c r="B31" s="169">
        <v>32634</v>
      </c>
      <c r="C31" s="169">
        <v>889460</v>
      </c>
      <c r="D31" s="169">
        <v>4274</v>
      </c>
      <c r="E31" s="169">
        <v>677272</v>
      </c>
      <c r="F31" s="169">
        <v>749744</v>
      </c>
      <c r="G31" s="169"/>
    </row>
    <row r="32" spans="1:7">
      <c r="A32" s="96" t="s">
        <v>15</v>
      </c>
      <c r="B32" s="169">
        <v>42783</v>
      </c>
      <c r="C32" s="169">
        <v>1417926</v>
      </c>
      <c r="D32" s="169"/>
      <c r="E32" s="169">
        <v>1511476</v>
      </c>
      <c r="F32" s="169">
        <v>1736309</v>
      </c>
      <c r="G32" s="169">
        <v>8322</v>
      </c>
    </row>
    <row r="33" spans="1:7">
      <c r="A33" s="96" t="s">
        <v>16</v>
      </c>
      <c r="B33" s="169">
        <v>59596</v>
      </c>
      <c r="C33" s="169">
        <v>1971475</v>
      </c>
      <c r="D33" s="169"/>
      <c r="E33" s="169">
        <v>867837</v>
      </c>
      <c r="F33" s="169">
        <v>917379</v>
      </c>
      <c r="G33" s="169">
        <v>17439</v>
      </c>
    </row>
    <row r="34" spans="1:7" ht="15">
      <c r="A34" s="96" t="s">
        <v>17</v>
      </c>
      <c r="B34" s="169">
        <v>6237</v>
      </c>
      <c r="C34" s="169">
        <v>258695</v>
      </c>
      <c r="D34" s="169">
        <v>3921</v>
      </c>
      <c r="E34" s="169">
        <v>192997</v>
      </c>
      <c r="F34" s="169">
        <v>91507</v>
      </c>
      <c r="G34" s="169">
        <v>107848</v>
      </c>
    </row>
    <row r="35" spans="1:7" ht="15">
      <c r="A35" s="96" t="s">
        <v>18</v>
      </c>
      <c r="B35" s="169">
        <v>20227</v>
      </c>
      <c r="C35" s="169">
        <v>201580</v>
      </c>
      <c r="D35" s="169">
        <v>21137</v>
      </c>
      <c r="E35" s="169">
        <v>247640</v>
      </c>
      <c r="F35" s="169">
        <v>29368</v>
      </c>
      <c r="G35" s="169">
        <v>231833</v>
      </c>
    </row>
    <row r="36" spans="1:7" ht="15">
      <c r="A36" s="96" t="s">
        <v>23</v>
      </c>
      <c r="B36" s="169">
        <v>20621</v>
      </c>
      <c r="C36" s="169">
        <v>380921</v>
      </c>
      <c r="D36" s="169">
        <v>11315</v>
      </c>
      <c r="E36" s="169">
        <v>211278</v>
      </c>
      <c r="F36" s="169">
        <v>133471</v>
      </c>
      <c r="G36" s="169">
        <v>122181</v>
      </c>
    </row>
    <row r="37" spans="1:7" ht="15">
      <c r="A37" s="96" t="s">
        <v>20</v>
      </c>
      <c r="B37" s="169">
        <v>11871</v>
      </c>
      <c r="C37" s="169">
        <v>448034</v>
      </c>
      <c r="D37" s="169">
        <v>37375</v>
      </c>
      <c r="E37" s="169">
        <v>354996</v>
      </c>
      <c r="F37" s="169">
        <v>72145</v>
      </c>
      <c r="G37" s="169">
        <v>336410</v>
      </c>
    </row>
    <row r="38" spans="1:7" ht="15">
      <c r="A38" s="96" t="s">
        <v>21</v>
      </c>
      <c r="B38" s="169">
        <v>13027</v>
      </c>
      <c r="C38" s="169">
        <v>285139</v>
      </c>
      <c r="D38" s="169"/>
      <c r="E38" s="169">
        <v>134818</v>
      </c>
      <c r="F38" s="169">
        <v>4118</v>
      </c>
      <c r="G38" s="169">
        <v>180329</v>
      </c>
    </row>
    <row r="39" spans="1:7">
      <c r="A39" s="96" t="s">
        <v>22</v>
      </c>
      <c r="B39" s="169">
        <v>3310</v>
      </c>
      <c r="C39" s="169">
        <v>668591</v>
      </c>
      <c r="D39" s="169">
        <v>2137</v>
      </c>
      <c r="E39" s="169">
        <v>258192</v>
      </c>
      <c r="F39" s="169">
        <v>277185</v>
      </c>
      <c r="G39" s="169">
        <v>13043</v>
      </c>
    </row>
    <row r="40" spans="1:7">
      <c r="B40">
        <f>SUM(B27:B39)</f>
        <v>291240</v>
      </c>
      <c r="C40">
        <f t="shared" ref="C40:G40" si="3">SUM(C27:C39)</f>
        <v>9949076</v>
      </c>
      <c r="D40">
        <f t="shared" si="3"/>
        <v>263839</v>
      </c>
      <c r="E40">
        <f t="shared" si="3"/>
        <v>6841566</v>
      </c>
      <c r="F40">
        <f t="shared" si="3"/>
        <v>6294997</v>
      </c>
      <c r="G40">
        <f t="shared" si="3"/>
        <v>1451991</v>
      </c>
    </row>
  </sheetData>
  <mergeCells count="16">
    <mergeCell ref="A1:G1"/>
    <mergeCell ref="C23:C25"/>
    <mergeCell ref="D23:D25"/>
    <mergeCell ref="E23:E25"/>
    <mergeCell ref="F23:F25"/>
    <mergeCell ref="A3:A5"/>
    <mergeCell ref="B3:B5"/>
    <mergeCell ref="C3:C5"/>
    <mergeCell ref="D3:D5"/>
    <mergeCell ref="A23:A25"/>
    <mergeCell ref="F2:G2"/>
    <mergeCell ref="G3:G5"/>
    <mergeCell ref="B23:B25"/>
    <mergeCell ref="G23:G25"/>
    <mergeCell ref="F3:F5"/>
    <mergeCell ref="E3:E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42"/>
  <sheetViews>
    <sheetView topLeftCell="A16" workbookViewId="0">
      <selection activeCell="B28" sqref="B28:H41"/>
    </sheetView>
  </sheetViews>
  <sheetFormatPr defaultColWidth="8.75" defaultRowHeight="14.25"/>
  <cols>
    <col min="1" max="1" width="9" style="98" customWidth="1"/>
    <col min="2" max="2" width="8.875" style="21" customWidth="1"/>
    <col min="3" max="4" width="7.5" style="21" customWidth="1"/>
    <col min="5" max="5" width="8.875" style="21" customWidth="1"/>
    <col min="6" max="9" width="7.5" style="21" customWidth="1"/>
    <col min="10" max="14" width="8.75" style="21"/>
    <col min="15" max="15" width="9.5" style="21" bestFit="1" customWidth="1"/>
    <col min="16" max="16384" width="8.75" style="21"/>
  </cols>
  <sheetData>
    <row r="1" spans="1:10" ht="30" customHeight="1">
      <c r="A1" s="293" t="s">
        <v>190</v>
      </c>
      <c r="B1" s="294"/>
      <c r="C1" s="294"/>
      <c r="D1" s="294"/>
      <c r="E1" s="294"/>
      <c r="F1" s="294"/>
      <c r="G1" s="294"/>
    </row>
    <row r="2" spans="1:10" ht="20.25" customHeight="1">
      <c r="A2" s="97"/>
      <c r="B2" s="102"/>
      <c r="C2" s="102"/>
      <c r="D2" s="102"/>
      <c r="E2" s="106"/>
      <c r="F2" s="102"/>
      <c r="G2" s="102" t="s">
        <v>131</v>
      </c>
      <c r="I2" s="46"/>
      <c r="J2" s="46"/>
    </row>
    <row r="3" spans="1:10" ht="14.25" customHeight="1">
      <c r="A3" s="295"/>
      <c r="B3" s="298" t="s">
        <v>133</v>
      </c>
      <c r="C3" s="298" t="s">
        <v>128</v>
      </c>
      <c r="D3" s="301" t="s">
        <v>130</v>
      </c>
      <c r="E3" s="301" t="s">
        <v>129</v>
      </c>
      <c r="F3" s="304" t="s">
        <v>132</v>
      </c>
      <c r="G3" s="307" t="s">
        <v>189</v>
      </c>
      <c r="H3" s="310" t="s">
        <v>188</v>
      </c>
      <c r="J3" s="46"/>
    </row>
    <row r="4" spans="1:10">
      <c r="A4" s="296"/>
      <c r="B4" s="299"/>
      <c r="C4" s="299"/>
      <c r="D4" s="302"/>
      <c r="E4" s="302"/>
      <c r="F4" s="305"/>
      <c r="G4" s="308"/>
      <c r="H4" s="311"/>
      <c r="J4" s="46"/>
    </row>
    <row r="5" spans="1:10">
      <c r="A5" s="297"/>
      <c r="B5" s="300"/>
      <c r="C5" s="300"/>
      <c r="D5" s="303"/>
      <c r="E5" s="303"/>
      <c r="F5" s="306"/>
      <c r="G5" s="309"/>
      <c r="H5" s="312"/>
      <c r="J5" s="46"/>
    </row>
    <row r="6" spans="1:10" ht="15">
      <c r="A6" s="101" t="s">
        <v>9</v>
      </c>
      <c r="B6" s="154">
        <v>87.92813217552326</v>
      </c>
      <c r="C6" s="154">
        <v>0.3154268772551882</v>
      </c>
      <c r="D6" s="154">
        <v>49.383478840872421</v>
      </c>
      <c r="E6" s="154">
        <v>5.4</v>
      </c>
      <c r="F6" s="155">
        <v>56.077749637225025</v>
      </c>
      <c r="G6" s="153">
        <v>79.730887486788589</v>
      </c>
      <c r="H6" s="153">
        <v>18.452478325888951</v>
      </c>
      <c r="I6" s="105"/>
      <c r="J6" s="103"/>
    </row>
    <row r="7" spans="1:10">
      <c r="A7" s="100" t="s">
        <v>10</v>
      </c>
      <c r="B7" s="154">
        <v>92.34631494055516</v>
      </c>
      <c r="C7" s="154">
        <v>3.6007565700590924</v>
      </c>
      <c r="D7" s="154">
        <v>38.101056143607337</v>
      </c>
      <c r="E7" s="154">
        <v>3.3</v>
      </c>
      <c r="F7" s="155">
        <v>48.91708877632631</v>
      </c>
      <c r="G7" s="153">
        <v>82.944281524926694</v>
      </c>
      <c r="H7" s="153">
        <v>0</v>
      </c>
      <c r="I7" s="104"/>
      <c r="J7" s="103"/>
    </row>
    <row r="8" spans="1:10">
      <c r="A8" s="100" t="s">
        <v>11</v>
      </c>
      <c r="B8" s="154">
        <v>80.752312481802505</v>
      </c>
      <c r="C8" s="154">
        <v>1.3782127416979428</v>
      </c>
      <c r="D8" s="154">
        <v>41.444605444439162</v>
      </c>
      <c r="E8" s="154">
        <v>14.3</v>
      </c>
      <c r="F8" s="155">
        <v>54.695926644999638</v>
      </c>
      <c r="G8" s="153">
        <v>82.401164899404748</v>
      </c>
      <c r="H8" s="153">
        <v>16.429076021894609</v>
      </c>
      <c r="I8" s="104"/>
      <c r="J8" s="103"/>
    </row>
    <row r="9" spans="1:10" ht="15">
      <c r="A9" s="100" t="s">
        <v>12</v>
      </c>
      <c r="B9" s="154">
        <v>156.58756819106785</v>
      </c>
      <c r="C9" s="154">
        <v>0.11552552330376691</v>
      </c>
      <c r="D9" s="154">
        <v>81.274945813158837</v>
      </c>
      <c r="E9" s="154">
        <v>1.5</v>
      </c>
      <c r="F9" s="155">
        <v>50.429654024093331</v>
      </c>
      <c r="G9" s="153">
        <v>83.65090079437293</v>
      </c>
      <c r="H9" s="153">
        <v>15.685117592686861</v>
      </c>
      <c r="I9" s="104"/>
      <c r="J9" s="103"/>
    </row>
    <row r="10" spans="1:10">
      <c r="A10" s="100" t="s">
        <v>13</v>
      </c>
      <c r="B10" s="154">
        <v>73.413668795789306</v>
      </c>
      <c r="C10" s="154">
        <v>0.1729271832926905</v>
      </c>
      <c r="D10" s="154">
        <v>37.723625282675513</v>
      </c>
      <c r="E10" s="154">
        <v>0.2</v>
      </c>
      <c r="F10" s="155">
        <v>54.598908125884485</v>
      </c>
      <c r="G10" s="153">
        <v>83.720609046514582</v>
      </c>
      <c r="H10" s="153">
        <v>12.022258624907488</v>
      </c>
      <c r="I10" s="104"/>
      <c r="J10" s="103"/>
    </row>
    <row r="11" spans="1:10">
      <c r="A11" s="100" t="s">
        <v>14</v>
      </c>
      <c r="B11" s="154">
        <v>70.31696928242755</v>
      </c>
      <c r="C11" s="154">
        <v>0.16861291863092714</v>
      </c>
      <c r="D11" s="154">
        <v>38.448867865632579</v>
      </c>
      <c r="E11" s="154">
        <v>5</v>
      </c>
      <c r="F11" s="155">
        <v>51.964585200475511</v>
      </c>
      <c r="G11" s="153">
        <v>99.993248751440973</v>
      </c>
      <c r="H11" s="153">
        <v>0</v>
      </c>
      <c r="I11" s="104"/>
      <c r="J11" s="103"/>
    </row>
    <row r="12" spans="1:10">
      <c r="A12" s="100" t="s">
        <v>15</v>
      </c>
      <c r="B12" s="154">
        <v>95.451589874369887</v>
      </c>
      <c r="C12" s="154">
        <v>0.22178012046133547</v>
      </c>
      <c r="D12" s="154">
        <v>55.126614298117879</v>
      </c>
      <c r="E12" s="154">
        <v>2.5</v>
      </c>
      <c r="F12" s="155">
        <v>58.10658809402063</v>
      </c>
      <c r="G12" s="153">
        <v>96.900660051749981</v>
      </c>
      <c r="H12" s="153">
        <v>0.92700586448495637</v>
      </c>
      <c r="I12" s="104"/>
      <c r="J12" s="103"/>
    </row>
    <row r="13" spans="1:10">
      <c r="A13" s="100" t="s">
        <v>16</v>
      </c>
      <c r="B13" s="154">
        <v>62.413846801157746</v>
      </c>
      <c r="C13" s="154">
        <v>2.7406670658248221E-2</v>
      </c>
      <c r="D13" s="154">
        <v>37.305807840726047</v>
      </c>
      <c r="E13" s="154">
        <v>2</v>
      </c>
      <c r="F13" s="155">
        <v>60.385552108337251</v>
      </c>
      <c r="G13" s="153">
        <v>95.600028084833752</v>
      </c>
      <c r="H13" s="153">
        <v>3.0196023363071074</v>
      </c>
      <c r="I13" s="104"/>
      <c r="J13" s="103"/>
    </row>
    <row r="14" spans="1:10" ht="15">
      <c r="A14" s="100" t="s">
        <v>17</v>
      </c>
      <c r="B14" s="154">
        <v>55.180303114489945</v>
      </c>
      <c r="C14" s="154">
        <v>0.51146675466094704</v>
      </c>
      <c r="D14" s="154">
        <v>31.141725787823795</v>
      </c>
      <c r="E14" s="154">
        <v>72.900000000000006</v>
      </c>
      <c r="F14" s="155">
        <v>58.547719139671251</v>
      </c>
      <c r="G14" s="153">
        <v>36.592423312185915</v>
      </c>
      <c r="H14" s="153">
        <v>60.828956045205452</v>
      </c>
      <c r="I14" s="104"/>
      <c r="J14" s="103"/>
    </row>
    <row r="15" spans="1:10" ht="15">
      <c r="A15" s="100" t="s">
        <v>18</v>
      </c>
      <c r="B15" s="154">
        <v>121.3947867905989</v>
      </c>
      <c r="C15" s="154">
        <v>1.0915017181742565E-2</v>
      </c>
      <c r="D15" s="154">
        <v>74.854435072584863</v>
      </c>
      <c r="E15" s="154">
        <v>2.6</v>
      </c>
      <c r="F15" s="155">
        <v>57.794945033881504</v>
      </c>
      <c r="G15" s="153">
        <v>6.1469041592626983</v>
      </c>
      <c r="H15" s="153">
        <v>91.350593810046774</v>
      </c>
      <c r="I15" s="104"/>
      <c r="J15" s="103"/>
    </row>
    <row r="16" spans="1:10" ht="15">
      <c r="A16" s="100" t="s">
        <v>23</v>
      </c>
      <c r="B16" s="154">
        <v>62.864145859014421</v>
      </c>
      <c r="C16" s="154">
        <v>0.29293134545219141</v>
      </c>
      <c r="D16" s="154">
        <v>39.140231216159599</v>
      </c>
      <c r="E16" s="154">
        <v>8.1999999999999993</v>
      </c>
      <c r="F16" s="155">
        <v>63.418177769237261</v>
      </c>
      <c r="G16" s="153">
        <v>48.994384211859064</v>
      </c>
      <c r="H16" s="153">
        <v>50.786515643211573</v>
      </c>
      <c r="I16" s="104"/>
      <c r="J16" s="103"/>
    </row>
    <row r="17" spans="1:10" ht="15">
      <c r="A17" s="100" t="s">
        <v>20</v>
      </c>
      <c r="B17" s="154">
        <v>78.929160586944008</v>
      </c>
      <c r="C17" s="154">
        <v>9.1324589429320577E-2</v>
      </c>
      <c r="D17" s="154">
        <v>51.610304930535165</v>
      </c>
      <c r="E17" s="154">
        <v>2.9</v>
      </c>
      <c r="F17" s="155">
        <v>59.888814737398796</v>
      </c>
      <c r="G17" s="153">
        <v>12.770565496052482</v>
      </c>
      <c r="H17" s="153">
        <v>82.350882052960955</v>
      </c>
      <c r="I17" s="104"/>
      <c r="J17" s="103"/>
    </row>
    <row r="18" spans="1:10" ht="15">
      <c r="A18" s="100" t="s">
        <v>21</v>
      </c>
      <c r="B18" s="154">
        <v>92.588794077963755</v>
      </c>
      <c r="C18" s="154">
        <v>0.16638212013037404</v>
      </c>
      <c r="D18" s="154">
        <v>62.886543535620056</v>
      </c>
      <c r="E18" s="154">
        <v>9.1999999999999993</v>
      </c>
      <c r="F18" s="155">
        <v>68.098907871079234</v>
      </c>
      <c r="G18" s="153">
        <v>6.8183406501947275</v>
      </c>
      <c r="H18" s="153">
        <v>90.325859757685876</v>
      </c>
      <c r="I18" s="104"/>
      <c r="J18" s="103"/>
    </row>
    <row r="19" spans="1:10">
      <c r="A19" s="100" t="s">
        <v>22</v>
      </c>
      <c r="B19" s="154">
        <v>97.965286100588401</v>
      </c>
      <c r="C19" s="154">
        <v>0.29757894085995085</v>
      </c>
      <c r="D19" s="154">
        <v>51.279969940880562</v>
      </c>
      <c r="E19" s="154">
        <v>2.7</v>
      </c>
      <c r="F19" s="155">
        <v>53.082870645830567</v>
      </c>
      <c r="G19" s="153">
        <v>96.342328122254315</v>
      </c>
      <c r="H19" s="153">
        <v>3.116473935870125</v>
      </c>
      <c r="I19" s="104"/>
      <c r="J19" s="103"/>
    </row>
    <row r="20" spans="1:10">
      <c r="I20" s="46"/>
      <c r="J20" s="46"/>
    </row>
    <row r="23" spans="1:10" ht="30" customHeight="1">
      <c r="A23" s="293" t="s">
        <v>187</v>
      </c>
      <c r="B23" s="294"/>
      <c r="C23" s="294"/>
      <c r="D23" s="294"/>
      <c r="E23" s="294"/>
      <c r="F23" s="294"/>
      <c r="G23" s="294"/>
    </row>
    <row r="24" spans="1:10" ht="17.25" customHeight="1">
      <c r="A24" s="97"/>
      <c r="B24" s="102"/>
      <c r="C24" s="102"/>
      <c r="D24" s="102"/>
      <c r="E24" s="102"/>
      <c r="F24" s="102"/>
      <c r="G24" s="102"/>
      <c r="I24" s="21" t="s">
        <v>131</v>
      </c>
    </row>
    <row r="25" spans="1:10" ht="14.25" customHeight="1">
      <c r="A25" s="313"/>
      <c r="B25" s="298" t="s">
        <v>130</v>
      </c>
      <c r="C25" s="298" t="s">
        <v>129</v>
      </c>
      <c r="D25" s="298" t="s">
        <v>128</v>
      </c>
      <c r="E25" s="298" t="s">
        <v>127</v>
      </c>
      <c r="F25" s="316" t="s">
        <v>126</v>
      </c>
      <c r="G25" s="307" t="s">
        <v>186</v>
      </c>
      <c r="H25" s="310" t="s">
        <v>185</v>
      </c>
    </row>
    <row r="26" spans="1:10">
      <c r="A26" s="314"/>
      <c r="B26" s="299"/>
      <c r="C26" s="299"/>
      <c r="D26" s="299"/>
      <c r="E26" s="299"/>
      <c r="F26" s="317"/>
      <c r="G26" s="308"/>
      <c r="H26" s="311"/>
    </row>
    <row r="27" spans="1:10">
      <c r="A27" s="315"/>
      <c r="B27" s="299"/>
      <c r="C27" s="299"/>
      <c r="D27" s="299"/>
      <c r="E27" s="299"/>
      <c r="F27" s="317"/>
      <c r="G27" s="308"/>
      <c r="H27" s="311"/>
    </row>
    <row r="28" spans="1:10" ht="15">
      <c r="A28" s="101" t="s">
        <v>9</v>
      </c>
      <c r="B28" s="189">
        <v>101.20347384451556</v>
      </c>
      <c r="C28" s="189">
        <v>8.8677752804280825</v>
      </c>
      <c r="D28" s="189">
        <v>0.46465043413879831</v>
      </c>
      <c r="E28" s="189">
        <v>141.14358890882696</v>
      </c>
      <c r="F28" s="189">
        <v>86.617166074200753</v>
      </c>
      <c r="G28" s="190">
        <v>79.697367618114839</v>
      </c>
      <c r="H28" s="190">
        <v>18.382830127670307</v>
      </c>
    </row>
    <row r="29" spans="1:10">
      <c r="A29" s="100" t="s">
        <v>10</v>
      </c>
      <c r="B29" s="189">
        <v>86.90941919951851</v>
      </c>
      <c r="C29" s="189">
        <v>25.282992661867169</v>
      </c>
      <c r="D29" s="189">
        <v>1.1234086583766005</v>
      </c>
      <c r="E29" s="189">
        <v>143.06581170860437</v>
      </c>
      <c r="F29" s="189">
        <v>74.867426692041903</v>
      </c>
      <c r="G29" s="190">
        <v>84.560521793758426</v>
      </c>
      <c r="H29" s="190">
        <v>0</v>
      </c>
    </row>
    <row r="30" spans="1:10">
      <c r="A30" s="100" t="s">
        <v>11</v>
      </c>
      <c r="B30" s="189">
        <v>108.21214388244167</v>
      </c>
      <c r="C30" s="189">
        <v>26.445910274189231</v>
      </c>
      <c r="D30" s="189">
        <v>1.5327651704188106</v>
      </c>
      <c r="E30" s="189">
        <v>148.93484052258958</v>
      </c>
      <c r="F30" s="189">
        <v>87.400444220503644</v>
      </c>
      <c r="G30" s="190">
        <v>82.674799084621966</v>
      </c>
      <c r="H30" s="190">
        <v>16.652376411338086</v>
      </c>
    </row>
    <row r="31" spans="1:10" ht="15">
      <c r="A31" s="100" t="s">
        <v>12</v>
      </c>
      <c r="B31" s="189">
        <v>142.74052597766473</v>
      </c>
      <c r="C31" s="189">
        <v>57.515166514285568</v>
      </c>
      <c r="D31" s="189">
        <v>0.13212620617061133</v>
      </c>
      <c r="E31" s="189">
        <v>183.80930520630434</v>
      </c>
      <c r="F31" s="189">
        <v>85.193968271800628</v>
      </c>
      <c r="G31" s="190">
        <v>82.713121687177576</v>
      </c>
      <c r="H31" s="190">
        <v>16.495179387986202</v>
      </c>
    </row>
    <row r="32" spans="1:10">
      <c r="A32" s="100" t="s">
        <v>13</v>
      </c>
      <c r="B32" s="189">
        <v>102.83487290370674</v>
      </c>
      <c r="C32" s="189">
        <v>-4.3760416984534549</v>
      </c>
      <c r="D32" s="189">
        <v>0.3533091006345887</v>
      </c>
      <c r="E32" s="189">
        <v>150.17822397951696</v>
      </c>
      <c r="F32" s="189">
        <v>86.807362201852712</v>
      </c>
      <c r="G32" s="190">
        <v>81.220671545624739</v>
      </c>
      <c r="H32" s="190">
        <v>14.206520946290938</v>
      </c>
    </row>
    <row r="33" spans="1:9">
      <c r="A33" s="100" t="s">
        <v>14</v>
      </c>
      <c r="B33" s="189">
        <v>92.268752993772949</v>
      </c>
      <c r="C33" s="189">
        <v>-4.1947948267603383</v>
      </c>
      <c r="D33" s="189">
        <v>0.20092395688201214</v>
      </c>
      <c r="E33" s="189">
        <v>117.7830432699984</v>
      </c>
      <c r="F33" s="189">
        <v>90.298719393094984</v>
      </c>
      <c r="G33" s="190">
        <v>99.961201810582168</v>
      </c>
      <c r="H33" s="190">
        <v>0</v>
      </c>
    </row>
    <row r="34" spans="1:9">
      <c r="A34" s="100" t="s">
        <v>15</v>
      </c>
      <c r="B34" s="189">
        <v>96.931357157385634</v>
      </c>
      <c r="C34" s="189">
        <v>7.9773143315790689</v>
      </c>
      <c r="D34" s="189">
        <v>0.624334142279378</v>
      </c>
      <c r="E34" s="189">
        <v>88.954042825806553</v>
      </c>
      <c r="F34" s="189">
        <v>85.245354294116083</v>
      </c>
      <c r="G34" s="190">
        <v>97.92565404218287</v>
      </c>
      <c r="H34" s="190">
        <v>0.46935038229891446</v>
      </c>
    </row>
    <row r="35" spans="1:9">
      <c r="A35" s="100" t="s">
        <v>16</v>
      </c>
      <c r="B35" s="189">
        <v>89.312164003957506</v>
      </c>
      <c r="C35" s="189">
        <v>1.9247496939547661</v>
      </c>
      <c r="D35" s="189">
        <v>7.1205157766545513E-2</v>
      </c>
      <c r="E35" s="189">
        <v>216.77405376790512</v>
      </c>
      <c r="F35" s="189">
        <v>90.874221324478768</v>
      </c>
      <c r="G35" s="190">
        <v>96.061935921640824</v>
      </c>
      <c r="H35" s="190">
        <v>1.8260981563099812</v>
      </c>
    </row>
    <row r="36" spans="1:9" ht="15">
      <c r="A36" s="100" t="s">
        <v>17</v>
      </c>
      <c r="B36" s="189">
        <v>79.142652612509963</v>
      </c>
      <c r="C36" s="189">
        <v>-22.420543612444209</v>
      </c>
      <c r="D36" s="189">
        <v>0.83470253423786911</v>
      </c>
      <c r="E36" s="189">
        <v>96.761846324662699</v>
      </c>
      <c r="F36" s="189">
        <v>90.860172024989296</v>
      </c>
      <c r="G36" s="190">
        <v>43.080160631982331</v>
      </c>
      <c r="H36" s="190">
        <v>50.773265038062995</v>
      </c>
    </row>
    <row r="37" spans="1:9" ht="15">
      <c r="A37" s="100" t="s">
        <v>18</v>
      </c>
      <c r="B37" s="189">
        <v>133.82316023526039</v>
      </c>
      <c r="C37" s="189">
        <v>24.63195739492182</v>
      </c>
      <c r="D37" s="189">
        <v>8.7404098281052736E-2</v>
      </c>
      <c r="E37" s="189">
        <v>99.432918519581122</v>
      </c>
      <c r="F37" s="189">
        <v>89.073048964279423</v>
      </c>
      <c r="G37" s="190">
        <v>10.563306824353731</v>
      </c>
      <c r="H37" s="190">
        <v>83.387466324244031</v>
      </c>
    </row>
    <row r="38" spans="1:9" ht="15">
      <c r="A38" s="100" t="s">
        <v>23</v>
      </c>
      <c r="B38" s="189">
        <v>85.744446745189748</v>
      </c>
      <c r="C38" s="189">
        <v>4.1389054677888897</v>
      </c>
      <c r="D38" s="189">
        <v>0.3933861227099586</v>
      </c>
      <c r="E38" s="189">
        <v>163.03162442092272</v>
      </c>
      <c r="F38" s="189">
        <v>82.372480905762785</v>
      </c>
      <c r="G38" s="190">
        <v>52.037303453142606</v>
      </c>
      <c r="H38" s="190">
        <v>47.635589552849808</v>
      </c>
    </row>
    <row r="39" spans="1:9" ht="15">
      <c r="A39" s="100" t="s">
        <v>20</v>
      </c>
      <c r="B39" s="189">
        <v>81.498805079788141</v>
      </c>
      <c r="C39" s="189">
        <v>9.1089384229151857</v>
      </c>
      <c r="D39" s="189">
        <v>0.25822273514137334</v>
      </c>
      <c r="E39" s="189">
        <v>120.64759166520199</v>
      </c>
      <c r="F39" s="189">
        <v>85.351990767455277</v>
      </c>
      <c r="G39" s="190">
        <v>17.345883823812272</v>
      </c>
      <c r="H39" s="190">
        <v>80.88334295056741</v>
      </c>
    </row>
    <row r="40" spans="1:9" ht="15">
      <c r="A40" s="100" t="s">
        <v>21</v>
      </c>
      <c r="B40" s="189">
        <v>92.64122059281307</v>
      </c>
      <c r="C40" s="189">
        <v>-17.697401805474417</v>
      </c>
      <c r="D40" s="189">
        <v>0.39584056536809548</v>
      </c>
      <c r="E40" s="189">
        <v>127.14480041277734</v>
      </c>
      <c r="F40" s="189">
        <v>69.851352541617658</v>
      </c>
      <c r="G40" s="190">
        <v>2.1336013719709648</v>
      </c>
      <c r="H40" s="190">
        <v>93.431326324951954</v>
      </c>
    </row>
    <row r="41" spans="1:9">
      <c r="A41" s="100" t="s">
        <v>22</v>
      </c>
      <c r="B41" s="189">
        <v>100.47923453771099</v>
      </c>
      <c r="C41" s="189">
        <v>-19.979320701454935</v>
      </c>
      <c r="D41" s="189">
        <v>0.43720217951610368</v>
      </c>
      <c r="E41" s="189">
        <v>183.78890703342333</v>
      </c>
      <c r="F41" s="189">
        <v>88.258096273355619</v>
      </c>
      <c r="G41" s="190">
        <v>94.750497364481006</v>
      </c>
      <c r="H41" s="190">
        <v>4.4585051035406877</v>
      </c>
    </row>
    <row r="42" spans="1:9">
      <c r="I42" s="99"/>
    </row>
  </sheetData>
  <mergeCells count="18">
    <mergeCell ref="H3:H5"/>
    <mergeCell ref="A23:G23"/>
    <mergeCell ref="A25:A27"/>
    <mergeCell ref="B25:B27"/>
    <mergeCell ref="C25:C27"/>
    <mergeCell ref="D25:D27"/>
    <mergeCell ref="E25:E27"/>
    <mergeCell ref="F25:F27"/>
    <mergeCell ref="G25:G27"/>
    <mergeCell ref="H25:H27"/>
    <mergeCell ref="A1:G1"/>
    <mergeCell ref="A3:A5"/>
    <mergeCell ref="B3:B5"/>
    <mergeCell ref="C3:C5"/>
    <mergeCell ref="D3:D5"/>
    <mergeCell ref="E3:E5"/>
    <mergeCell ref="F3:F5"/>
    <mergeCell ref="G3:G5"/>
  </mergeCells>
  <phoneticPr fontId="3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6"/>
  <sheetViews>
    <sheetView topLeftCell="A19" workbookViewId="0">
      <selection activeCell="E43" sqref="E43"/>
    </sheetView>
  </sheetViews>
  <sheetFormatPr defaultColWidth="8.75" defaultRowHeight="21.75" customHeight="1"/>
  <cols>
    <col min="1" max="1" width="19.375" style="21" customWidth="1"/>
    <col min="2" max="2" width="11.75" style="21" customWidth="1"/>
    <col min="3" max="3" width="10.5" style="21" customWidth="1"/>
    <col min="4" max="4" width="10" style="21" customWidth="1"/>
    <col min="5" max="5" width="10.125" style="21" customWidth="1"/>
    <col min="6" max="6" width="11.375" style="21" customWidth="1"/>
    <col min="7" max="7" width="9.375" style="46" customWidth="1"/>
    <col min="8" max="8" width="9.5" style="21" customWidth="1"/>
    <col min="9" max="16384" width="8.75" style="21"/>
  </cols>
  <sheetData>
    <row r="1" spans="1:8" ht="21.75" customHeight="1">
      <c r="A1" s="336" t="s">
        <v>156</v>
      </c>
      <c r="B1" s="336"/>
      <c r="C1" s="336"/>
      <c r="D1" s="336"/>
      <c r="E1" s="336"/>
      <c r="F1" s="336"/>
      <c r="G1" s="336"/>
      <c r="H1" s="70"/>
    </row>
    <row r="2" spans="1:8" ht="9.75" customHeight="1">
      <c r="A2" s="77"/>
      <c r="B2" s="77"/>
      <c r="C2" s="77"/>
      <c r="D2" s="77"/>
      <c r="E2" s="65"/>
      <c r="F2" s="337" t="s">
        <v>155</v>
      </c>
      <c r="G2" s="337"/>
      <c r="H2" s="70"/>
    </row>
    <row r="3" spans="1:8" ht="13.5" customHeight="1">
      <c r="A3" s="330"/>
      <c r="B3" s="342" t="s">
        <v>154</v>
      </c>
      <c r="C3" s="340" t="s">
        <v>153</v>
      </c>
      <c r="D3" s="324" t="s">
        <v>152</v>
      </c>
      <c r="E3" s="76"/>
      <c r="F3" s="75"/>
      <c r="G3" s="74"/>
      <c r="H3" s="70"/>
    </row>
    <row r="4" spans="1:8" ht="9" customHeight="1">
      <c r="A4" s="331"/>
      <c r="B4" s="329"/>
      <c r="C4" s="341"/>
      <c r="D4" s="325"/>
      <c r="E4" s="328" t="s">
        <v>151</v>
      </c>
      <c r="F4" s="328" t="s">
        <v>150</v>
      </c>
      <c r="G4" s="324" t="s">
        <v>149</v>
      </c>
      <c r="H4" s="70"/>
    </row>
    <row r="5" spans="1:8" ht="28.5" customHeight="1">
      <c r="A5" s="332"/>
      <c r="B5" s="329"/>
      <c r="C5" s="341"/>
      <c r="D5" s="325"/>
      <c r="E5" s="329"/>
      <c r="F5" s="329"/>
      <c r="G5" s="325"/>
      <c r="H5" s="70"/>
    </row>
    <row r="6" spans="1:8" ht="17.25" customHeight="1">
      <c r="A6" s="73" t="s">
        <v>148</v>
      </c>
      <c r="B6" s="133">
        <f>C6+H25</f>
        <v>16301683</v>
      </c>
      <c r="C6" s="134">
        <v>16235960</v>
      </c>
      <c r="D6" s="135">
        <v>1778357</v>
      </c>
      <c r="E6" s="135">
        <v>1539012</v>
      </c>
      <c r="F6" s="135">
        <v>218694</v>
      </c>
      <c r="G6" s="135">
        <v>4395</v>
      </c>
    </row>
    <row r="7" spans="1:8" ht="17.25" customHeight="1">
      <c r="A7" s="72" t="s">
        <v>10</v>
      </c>
      <c r="B7" s="133">
        <f t="shared" ref="B7:B19" si="0">C7+H26</f>
        <v>93775</v>
      </c>
      <c r="C7" s="136">
        <v>93775</v>
      </c>
      <c r="D7" s="136">
        <v>9699</v>
      </c>
      <c r="E7" s="137">
        <v>5285</v>
      </c>
      <c r="F7" s="138">
        <v>2398</v>
      </c>
      <c r="G7" s="135"/>
    </row>
    <row r="8" spans="1:8" ht="17.25" customHeight="1">
      <c r="A8" s="72" t="s">
        <v>11</v>
      </c>
      <c r="B8" s="133">
        <f t="shared" si="0"/>
        <v>1691013</v>
      </c>
      <c r="C8" s="136">
        <v>1687356</v>
      </c>
      <c r="D8" s="136">
        <v>104912</v>
      </c>
      <c r="E8" s="137">
        <v>85570</v>
      </c>
      <c r="F8" s="138">
        <v>18295</v>
      </c>
      <c r="G8" s="135">
        <v>483</v>
      </c>
    </row>
    <row r="9" spans="1:8" ht="17.25" customHeight="1">
      <c r="A9" s="72" t="s">
        <v>139</v>
      </c>
      <c r="B9" s="133">
        <f t="shared" si="0"/>
        <v>2495901</v>
      </c>
      <c r="C9" s="136">
        <v>2494798</v>
      </c>
      <c r="D9" s="136">
        <v>247234</v>
      </c>
      <c r="E9" s="137">
        <v>217130</v>
      </c>
      <c r="F9" s="138">
        <v>29173</v>
      </c>
      <c r="G9" s="135"/>
    </row>
    <row r="10" spans="1:8" ht="17.25" customHeight="1">
      <c r="A10" s="72" t="s">
        <v>13</v>
      </c>
      <c r="B10" s="133">
        <f t="shared" si="0"/>
        <v>1615177</v>
      </c>
      <c r="C10" s="136">
        <v>1614655</v>
      </c>
      <c r="D10" s="136">
        <v>154716</v>
      </c>
      <c r="E10" s="137">
        <v>120749</v>
      </c>
      <c r="F10" s="138">
        <v>28415</v>
      </c>
      <c r="G10" s="135"/>
    </row>
    <row r="11" spans="1:8" ht="17.25" customHeight="1">
      <c r="A11" s="72" t="s">
        <v>14</v>
      </c>
      <c r="B11" s="133">
        <f t="shared" si="0"/>
        <v>1777657</v>
      </c>
      <c r="C11" s="136">
        <v>1777449</v>
      </c>
      <c r="D11" s="136">
        <v>68406</v>
      </c>
      <c r="E11" s="137">
        <v>48394</v>
      </c>
      <c r="F11" s="138">
        <v>15780</v>
      </c>
      <c r="G11" s="135">
        <v>104</v>
      </c>
    </row>
    <row r="12" spans="1:8" ht="17.25" customHeight="1">
      <c r="A12" s="72" t="s">
        <v>15</v>
      </c>
      <c r="B12" s="133">
        <f t="shared" si="0"/>
        <v>2987141</v>
      </c>
      <c r="C12" s="136">
        <v>2986281</v>
      </c>
      <c r="D12" s="136">
        <v>234831</v>
      </c>
      <c r="E12" s="137">
        <v>171080</v>
      </c>
      <c r="F12" s="138">
        <v>63000</v>
      </c>
      <c r="G12" s="135"/>
    </row>
    <row r="13" spans="1:8" ht="17.25" customHeight="1">
      <c r="A13" s="72" t="s">
        <v>16</v>
      </c>
      <c r="B13" s="133">
        <f t="shared" si="0"/>
        <v>2278813</v>
      </c>
      <c r="C13" s="136">
        <v>2278810</v>
      </c>
      <c r="D13" s="136">
        <v>262033</v>
      </c>
      <c r="E13" s="137">
        <v>230577</v>
      </c>
      <c r="F13" s="138">
        <v>30116</v>
      </c>
      <c r="G13" s="135">
        <v>210</v>
      </c>
    </row>
    <row r="14" spans="1:8" ht="17.25" customHeight="1">
      <c r="A14" s="72" t="s">
        <v>138</v>
      </c>
      <c r="B14" s="133">
        <f t="shared" si="0"/>
        <v>372576</v>
      </c>
      <c r="C14" s="136">
        <v>351816</v>
      </c>
      <c r="D14" s="136">
        <v>93027</v>
      </c>
      <c r="E14" s="137">
        <v>87719</v>
      </c>
      <c r="F14" s="138">
        <v>3743</v>
      </c>
      <c r="G14" s="135">
        <v>1515</v>
      </c>
    </row>
    <row r="15" spans="1:8" ht="17.25" customHeight="1">
      <c r="A15" s="72" t="s">
        <v>137</v>
      </c>
      <c r="B15" s="133">
        <f t="shared" si="0"/>
        <v>636676</v>
      </c>
      <c r="C15" s="136">
        <v>636483</v>
      </c>
      <c r="D15" s="136">
        <v>40786</v>
      </c>
      <c r="E15" s="137">
        <v>36426</v>
      </c>
      <c r="F15" s="138">
        <v>4181</v>
      </c>
      <c r="G15" s="135">
        <v>10</v>
      </c>
    </row>
    <row r="16" spans="1:8" ht="17.25" customHeight="1">
      <c r="A16" s="72" t="s">
        <v>136</v>
      </c>
      <c r="B16" s="133">
        <f t="shared" si="0"/>
        <v>557161</v>
      </c>
      <c r="C16" s="136">
        <v>556823</v>
      </c>
      <c r="D16" s="136">
        <v>115905</v>
      </c>
      <c r="E16" s="139">
        <v>110108</v>
      </c>
      <c r="F16" s="138">
        <v>5006</v>
      </c>
      <c r="G16" s="135">
        <v>604</v>
      </c>
    </row>
    <row r="17" spans="1:8" ht="17.25" customHeight="1">
      <c r="A17" s="72" t="s">
        <v>135</v>
      </c>
      <c r="B17" s="133">
        <f t="shared" si="0"/>
        <v>795723</v>
      </c>
      <c r="C17" s="136">
        <v>794170</v>
      </c>
      <c r="D17" s="136">
        <v>268801</v>
      </c>
      <c r="E17" s="137">
        <v>254095</v>
      </c>
      <c r="F17" s="138">
        <v>13422</v>
      </c>
      <c r="G17" s="135">
        <v>519</v>
      </c>
    </row>
    <row r="18" spans="1:8" ht="17.25" customHeight="1">
      <c r="A18" s="72" t="s">
        <v>134</v>
      </c>
      <c r="B18" s="133">
        <f t="shared" si="0"/>
        <v>350270</v>
      </c>
      <c r="C18" s="136">
        <v>314798</v>
      </c>
      <c r="D18" s="136">
        <v>149098</v>
      </c>
      <c r="E18" s="139">
        <v>146299</v>
      </c>
      <c r="F18" s="138">
        <v>2467</v>
      </c>
      <c r="G18" s="135">
        <v>319</v>
      </c>
    </row>
    <row r="19" spans="1:8" ht="17.25" customHeight="1">
      <c r="A19" s="72" t="s">
        <v>22</v>
      </c>
      <c r="B19" s="133">
        <f t="shared" si="0"/>
        <v>649800</v>
      </c>
      <c r="C19" s="140">
        <v>648746</v>
      </c>
      <c r="D19" s="140">
        <v>28909</v>
      </c>
      <c r="E19" s="141">
        <v>25580</v>
      </c>
      <c r="F19" s="142">
        <v>2698</v>
      </c>
      <c r="G19" s="126">
        <v>631</v>
      </c>
    </row>
    <row r="20" spans="1:8" ht="17.25" customHeight="1">
      <c r="A20" s="68"/>
      <c r="B20" s="69"/>
      <c r="C20" s="69"/>
      <c r="D20" s="69"/>
      <c r="E20" s="69"/>
      <c r="F20" s="69"/>
      <c r="G20" s="69"/>
      <c r="H20" s="68"/>
    </row>
    <row r="21" spans="1:8" ht="21.75" customHeight="1">
      <c r="A21" s="68" t="s">
        <v>147</v>
      </c>
      <c r="B21" s="68"/>
      <c r="C21" s="68"/>
      <c r="D21" s="68"/>
      <c r="E21" s="68"/>
      <c r="F21" s="68"/>
      <c r="G21" s="68"/>
      <c r="H21" s="68"/>
    </row>
    <row r="22" spans="1:8" ht="21.75" customHeight="1">
      <c r="A22" s="338"/>
      <c r="B22" s="338"/>
      <c r="C22" s="338"/>
      <c r="D22" s="339"/>
      <c r="E22" s="318" t="s">
        <v>146</v>
      </c>
      <c r="F22" s="67"/>
      <c r="G22" s="67"/>
      <c r="H22" s="66"/>
    </row>
    <row r="23" spans="1:8" ht="21.75" customHeight="1">
      <c r="A23" s="320"/>
      <c r="B23" s="321"/>
      <c r="C23" s="326" t="s">
        <v>145</v>
      </c>
      <c r="D23" s="326" t="s">
        <v>144</v>
      </c>
      <c r="E23" s="319"/>
      <c r="F23" s="326" t="s">
        <v>143</v>
      </c>
      <c r="G23" s="326" t="s">
        <v>142</v>
      </c>
      <c r="H23" s="318" t="s">
        <v>141</v>
      </c>
    </row>
    <row r="24" spans="1:8" ht="21.75" customHeight="1">
      <c r="A24" s="322"/>
      <c r="B24" s="323"/>
      <c r="C24" s="327"/>
      <c r="D24" s="327"/>
      <c r="E24" s="319"/>
      <c r="F24" s="327"/>
      <c r="G24" s="327"/>
      <c r="H24" s="319"/>
    </row>
    <row r="25" spans="1:8" ht="21.75" customHeight="1">
      <c r="A25" s="334" t="s">
        <v>140</v>
      </c>
      <c r="B25" s="335"/>
      <c r="C25" s="133">
        <v>69</v>
      </c>
      <c r="D25" s="134">
        <v>16187</v>
      </c>
      <c r="E25" s="135">
        <v>14457603</v>
      </c>
      <c r="F25" s="135">
        <v>13620065</v>
      </c>
      <c r="G25" s="135">
        <v>837538</v>
      </c>
      <c r="H25" s="135">
        <v>65723</v>
      </c>
    </row>
    <row r="26" spans="1:8" ht="21.75" customHeight="1">
      <c r="A26" s="334" t="s">
        <v>10</v>
      </c>
      <c r="B26" s="335"/>
      <c r="C26" s="133"/>
      <c r="D26" s="136">
        <v>2013</v>
      </c>
      <c r="E26" s="136">
        <v>84076</v>
      </c>
      <c r="F26" s="137">
        <v>68338</v>
      </c>
      <c r="G26" s="138">
        <v>15738</v>
      </c>
      <c r="H26" s="135">
        <v>0</v>
      </c>
    </row>
    <row r="27" spans="1:8" ht="21.75" customHeight="1">
      <c r="A27" s="334" t="s">
        <v>11</v>
      </c>
      <c r="B27" s="335"/>
      <c r="C27" s="133"/>
      <c r="D27" s="136">
        <v>564</v>
      </c>
      <c r="E27" s="136">
        <v>1582444</v>
      </c>
      <c r="F27" s="137">
        <v>1520194</v>
      </c>
      <c r="G27" s="138">
        <v>62250</v>
      </c>
      <c r="H27" s="135">
        <v>3657</v>
      </c>
    </row>
    <row r="28" spans="1:8" ht="21.75" customHeight="1">
      <c r="A28" s="334" t="s">
        <v>139</v>
      </c>
      <c r="B28" s="335"/>
      <c r="C28" s="133"/>
      <c r="D28" s="136">
        <v>931</v>
      </c>
      <c r="E28" s="136">
        <v>2247564</v>
      </c>
      <c r="F28" s="137">
        <v>2074139</v>
      </c>
      <c r="G28" s="138">
        <v>173425</v>
      </c>
      <c r="H28" s="135">
        <v>1103</v>
      </c>
    </row>
    <row r="29" spans="1:8" ht="21.75" customHeight="1">
      <c r="A29" s="334" t="s">
        <v>13</v>
      </c>
      <c r="B29" s="335"/>
      <c r="C29" s="133"/>
      <c r="D29" s="136">
        <v>5552</v>
      </c>
      <c r="E29" s="136">
        <v>1459939</v>
      </c>
      <c r="F29" s="137">
        <v>1334549</v>
      </c>
      <c r="G29" s="138">
        <v>125390</v>
      </c>
      <c r="H29" s="135">
        <v>522</v>
      </c>
    </row>
    <row r="30" spans="1:8" ht="21.75" customHeight="1">
      <c r="A30" s="334" t="s">
        <v>14</v>
      </c>
      <c r="B30" s="335"/>
      <c r="C30" s="133"/>
      <c r="D30" s="136">
        <v>4128</v>
      </c>
      <c r="E30" s="136">
        <v>1709043</v>
      </c>
      <c r="F30" s="137">
        <v>1554867</v>
      </c>
      <c r="G30" s="138">
        <v>154176</v>
      </c>
      <c r="H30" s="135">
        <v>208</v>
      </c>
    </row>
    <row r="31" spans="1:8" ht="21.75" customHeight="1">
      <c r="A31" s="334" t="s">
        <v>15</v>
      </c>
      <c r="B31" s="335"/>
      <c r="C31" s="133"/>
      <c r="D31" s="136">
        <v>751</v>
      </c>
      <c r="E31" s="136">
        <v>2751450</v>
      </c>
      <c r="F31" s="137">
        <v>2573749</v>
      </c>
      <c r="G31" s="138">
        <v>177701</v>
      </c>
      <c r="H31" s="135">
        <v>860</v>
      </c>
    </row>
    <row r="32" spans="1:8" ht="21.75" customHeight="1">
      <c r="A32" s="334" t="s">
        <v>16</v>
      </c>
      <c r="B32" s="335"/>
      <c r="C32" s="133">
        <v>1</v>
      </c>
      <c r="D32" s="136">
        <v>1129</v>
      </c>
      <c r="E32" s="136">
        <v>2016777</v>
      </c>
      <c r="F32" s="137">
        <v>1939996</v>
      </c>
      <c r="G32" s="138">
        <v>76781</v>
      </c>
      <c r="H32" s="135">
        <v>3</v>
      </c>
    </row>
    <row r="33" spans="1:8" ht="21.75" customHeight="1">
      <c r="A33" s="334" t="s">
        <v>138</v>
      </c>
      <c r="B33" s="335"/>
      <c r="C33" s="133">
        <v>50</v>
      </c>
      <c r="D33" s="136"/>
      <c r="E33" s="136">
        <v>258789</v>
      </c>
      <c r="F33" s="137">
        <v>256882</v>
      </c>
      <c r="G33" s="138">
        <v>1907</v>
      </c>
      <c r="H33" s="135">
        <v>20760</v>
      </c>
    </row>
    <row r="34" spans="1:8" ht="21.75" customHeight="1">
      <c r="A34" s="334" t="s">
        <v>137</v>
      </c>
      <c r="B34" s="335"/>
      <c r="C34" s="133"/>
      <c r="D34" s="136">
        <v>169</v>
      </c>
      <c r="E34" s="136">
        <v>595697</v>
      </c>
      <c r="F34" s="137">
        <v>573202</v>
      </c>
      <c r="G34" s="138">
        <v>22495</v>
      </c>
      <c r="H34" s="135">
        <v>193</v>
      </c>
    </row>
    <row r="35" spans="1:8" ht="21.75" customHeight="1">
      <c r="A35" s="334" t="s">
        <v>136</v>
      </c>
      <c r="B35" s="335"/>
      <c r="C35" s="133">
        <v>5</v>
      </c>
      <c r="D35" s="136">
        <v>182</v>
      </c>
      <c r="E35" s="136">
        <v>440918</v>
      </c>
      <c r="F35" s="139">
        <v>430550</v>
      </c>
      <c r="G35" s="138">
        <v>10368</v>
      </c>
      <c r="H35" s="135">
        <v>338</v>
      </c>
    </row>
    <row r="36" spans="1:8" ht="21.75" customHeight="1">
      <c r="A36" s="334" t="s">
        <v>135</v>
      </c>
      <c r="B36" s="335"/>
      <c r="C36" s="133"/>
      <c r="D36" s="136">
        <v>765</v>
      </c>
      <c r="E36" s="136">
        <v>525369</v>
      </c>
      <c r="F36" s="137">
        <v>524216</v>
      </c>
      <c r="G36" s="138">
        <v>1153</v>
      </c>
      <c r="H36" s="135">
        <v>1553</v>
      </c>
    </row>
    <row r="37" spans="1:8" ht="21.75" customHeight="1">
      <c r="A37" s="334" t="s">
        <v>134</v>
      </c>
      <c r="B37" s="335"/>
      <c r="C37" s="133">
        <v>13</v>
      </c>
      <c r="D37" s="136"/>
      <c r="E37" s="136">
        <v>165700</v>
      </c>
      <c r="F37" s="139">
        <v>164610</v>
      </c>
      <c r="G37" s="138">
        <v>1090</v>
      </c>
      <c r="H37" s="135">
        <v>35472</v>
      </c>
    </row>
    <row r="38" spans="1:8" ht="21.75" customHeight="1">
      <c r="A38" s="333" t="s">
        <v>22</v>
      </c>
      <c r="B38" s="333"/>
      <c r="C38" s="133"/>
      <c r="D38" s="140"/>
      <c r="E38" s="140">
        <v>619837</v>
      </c>
      <c r="F38" s="141">
        <v>604773</v>
      </c>
      <c r="G38" s="142">
        <v>15064</v>
      </c>
      <c r="H38" s="126">
        <v>1054</v>
      </c>
    </row>
    <row r="39" spans="1:8" ht="21.75" customHeight="1">
      <c r="G39" s="21"/>
    </row>
    <row r="40" spans="1:8" ht="21.75" customHeight="1">
      <c r="G40" s="21"/>
    </row>
    <row r="41" spans="1:8" ht="21.75" customHeight="1">
      <c r="G41" s="21"/>
    </row>
    <row r="42" spans="1:8" ht="21.75" customHeight="1">
      <c r="G42" s="21"/>
    </row>
    <row r="43" spans="1:8" ht="21.75" customHeight="1">
      <c r="G43" s="21"/>
    </row>
    <row r="44" spans="1:8" ht="21.75" customHeight="1">
      <c r="G44" s="21"/>
    </row>
    <row r="45" spans="1:8" ht="21.75" customHeight="1">
      <c r="G45" s="21"/>
    </row>
    <row r="46" spans="1:8" ht="21.75" customHeight="1">
      <c r="G46" s="21"/>
    </row>
    <row r="47" spans="1:8" ht="21.75" customHeight="1">
      <c r="G47" s="21"/>
    </row>
    <row r="48" spans="1:8" ht="21.75" customHeight="1">
      <c r="G48" s="21"/>
    </row>
    <row r="49" spans="7:7" ht="21.75" customHeight="1">
      <c r="G49" s="21"/>
    </row>
    <row r="50" spans="7:7" ht="21.75" customHeight="1">
      <c r="G50" s="21"/>
    </row>
    <row r="51" spans="7:7" ht="21.75" customHeight="1">
      <c r="G51" s="21"/>
    </row>
    <row r="52" spans="7:7" ht="21.75" customHeight="1">
      <c r="G52" s="21"/>
    </row>
    <row r="53" spans="7:7" ht="21.75" customHeight="1">
      <c r="G53" s="21"/>
    </row>
    <row r="54" spans="7:7" ht="21.75" customHeight="1">
      <c r="G54" s="21"/>
    </row>
    <row r="55" spans="7:7" ht="21.75" customHeight="1">
      <c r="G55" s="21"/>
    </row>
    <row r="56" spans="7:7" ht="21.75" customHeight="1">
      <c r="G56" s="21"/>
    </row>
  </sheetData>
  <mergeCells count="31">
    <mergeCell ref="A1:G1"/>
    <mergeCell ref="F2:G2"/>
    <mergeCell ref="A22:D22"/>
    <mergeCell ref="A25:B25"/>
    <mergeCell ref="D3:D5"/>
    <mergeCell ref="E22:E24"/>
    <mergeCell ref="C3:C5"/>
    <mergeCell ref="B3:B5"/>
    <mergeCell ref="A29:B29"/>
    <mergeCell ref="F23:F24"/>
    <mergeCell ref="A26:B26"/>
    <mergeCell ref="A28:B28"/>
    <mergeCell ref="A32:B32"/>
    <mergeCell ref="A31:B31"/>
    <mergeCell ref="A30:B30"/>
    <mergeCell ref="C23:C24"/>
    <mergeCell ref="A27:B27"/>
    <mergeCell ref="A38:B38"/>
    <mergeCell ref="A36:B36"/>
    <mergeCell ref="A34:B34"/>
    <mergeCell ref="A37:B37"/>
    <mergeCell ref="A33:B33"/>
    <mergeCell ref="A35:B35"/>
    <mergeCell ref="H23:H24"/>
    <mergeCell ref="A23:B24"/>
    <mergeCell ref="G4:G5"/>
    <mergeCell ref="G23:G24"/>
    <mergeCell ref="E4:E5"/>
    <mergeCell ref="F4:F5"/>
    <mergeCell ref="D23:D24"/>
    <mergeCell ref="A3:A5"/>
  </mergeCells>
  <phoneticPr fontId="3" type="noConversion"/>
  <pageMargins left="0" right="0" top="0.51181102362204722" bottom="0.59055118110236227" header="0.51181102362204722" footer="0.51181102362204722"/>
  <pageSetup paperSize="9" orientation="portrait" horizontalDpi="4294967292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9"/>
  <sheetViews>
    <sheetView topLeftCell="A16" workbookViewId="0">
      <selection activeCell="A39" sqref="A39:XFD39"/>
    </sheetView>
  </sheetViews>
  <sheetFormatPr defaultColWidth="8.75" defaultRowHeight="21.75" customHeight="1"/>
  <cols>
    <col min="1" max="1" width="19.375" style="21" customWidth="1"/>
    <col min="2" max="2" width="11.75" style="21" customWidth="1"/>
    <col min="3" max="3" width="8" style="21" customWidth="1"/>
    <col min="4" max="4" width="10.375" style="21" customWidth="1"/>
    <col min="5" max="5" width="8.625" style="21" customWidth="1"/>
    <col min="6" max="6" width="9.75" style="21" customWidth="1"/>
    <col min="7" max="7" width="8.25" style="46" customWidth="1"/>
    <col min="8" max="8" width="8.5" style="21" customWidth="1"/>
    <col min="9" max="16384" width="8.75" style="21"/>
  </cols>
  <sheetData>
    <row r="1" spans="1:8" ht="21.75" customHeight="1">
      <c r="A1" s="336" t="s">
        <v>159</v>
      </c>
      <c r="B1" s="336"/>
      <c r="C1" s="336"/>
      <c r="D1" s="336"/>
      <c r="E1" s="336"/>
      <c r="F1" s="336"/>
      <c r="G1" s="336"/>
      <c r="H1" s="70"/>
    </row>
    <row r="2" spans="1:8" ht="9.75" customHeight="1">
      <c r="A2" s="77"/>
      <c r="B2" s="77"/>
      <c r="C2" s="77"/>
      <c r="D2" s="77"/>
      <c r="E2" s="65"/>
      <c r="F2" s="337" t="s">
        <v>155</v>
      </c>
      <c r="G2" s="337"/>
      <c r="H2" s="70"/>
    </row>
    <row r="3" spans="1:8" ht="13.5" customHeight="1">
      <c r="A3" s="330"/>
      <c r="B3" s="328" t="s">
        <v>158</v>
      </c>
      <c r="C3" s="340" t="s">
        <v>153</v>
      </c>
      <c r="D3" s="324" t="s">
        <v>152</v>
      </c>
      <c r="E3" s="76"/>
      <c r="F3" s="75"/>
      <c r="G3" s="74"/>
      <c r="H3" s="70"/>
    </row>
    <row r="4" spans="1:8" ht="9" customHeight="1">
      <c r="A4" s="331"/>
      <c r="B4" s="329"/>
      <c r="C4" s="341"/>
      <c r="D4" s="325"/>
      <c r="E4" s="328" t="s">
        <v>151</v>
      </c>
      <c r="F4" s="345" t="s">
        <v>150</v>
      </c>
      <c r="G4" s="347" t="s">
        <v>149</v>
      </c>
      <c r="H4" s="70"/>
    </row>
    <row r="5" spans="1:8" ht="28.5" customHeight="1">
      <c r="A5" s="332"/>
      <c r="B5" s="329"/>
      <c r="C5" s="341"/>
      <c r="D5" s="325"/>
      <c r="E5" s="329"/>
      <c r="F5" s="346"/>
      <c r="G5" s="348"/>
      <c r="H5" s="70"/>
    </row>
    <row r="6" spans="1:8" ht="17.25" customHeight="1">
      <c r="A6" s="73" t="s">
        <v>148</v>
      </c>
      <c r="B6" s="170">
        <f t="shared" ref="B6:G6" si="0">B7+B8+B9+B10+B11+B12+B13+B14+B15+B16+B17+B18+B19</f>
        <v>7945106</v>
      </c>
      <c r="C6" s="170">
        <f t="shared" si="0"/>
        <v>7898626</v>
      </c>
      <c r="D6" s="170">
        <f t="shared" si="0"/>
        <v>1023012</v>
      </c>
      <c r="E6" s="170">
        <f t="shared" si="0"/>
        <v>882418</v>
      </c>
      <c r="F6" s="170">
        <f t="shared" si="0"/>
        <v>123644</v>
      </c>
      <c r="G6" s="170">
        <f t="shared" si="0"/>
        <v>4352</v>
      </c>
      <c r="H6" s="71"/>
    </row>
    <row r="7" spans="1:8" ht="17.25" customHeight="1">
      <c r="A7" s="72" t="s">
        <v>10</v>
      </c>
      <c r="B7" s="170">
        <v>54121</v>
      </c>
      <c r="C7" s="170">
        <v>54121</v>
      </c>
      <c r="D7" s="170">
        <v>5869</v>
      </c>
      <c r="E7" s="171">
        <v>3286</v>
      </c>
      <c r="F7" s="172">
        <v>1441</v>
      </c>
      <c r="G7" s="172"/>
      <c r="H7" s="68"/>
    </row>
    <row r="8" spans="1:8" ht="17.25" customHeight="1">
      <c r="A8" s="72" t="s">
        <v>11</v>
      </c>
      <c r="B8" s="170">
        <v>837771</v>
      </c>
      <c r="C8" s="170">
        <v>831569</v>
      </c>
      <c r="D8" s="170">
        <v>71789</v>
      </c>
      <c r="E8" s="171">
        <v>60064</v>
      </c>
      <c r="F8" s="172">
        <v>11014</v>
      </c>
      <c r="G8" s="172">
        <v>329</v>
      </c>
      <c r="H8" s="71"/>
    </row>
    <row r="9" spans="1:8" ht="17.25" customHeight="1">
      <c r="A9" s="72" t="s">
        <v>139</v>
      </c>
      <c r="B9" s="170">
        <v>1229405</v>
      </c>
      <c r="C9" s="170">
        <v>1228371</v>
      </c>
      <c r="D9" s="170">
        <v>122435</v>
      </c>
      <c r="E9" s="171">
        <v>104687</v>
      </c>
      <c r="F9" s="172">
        <v>16929</v>
      </c>
      <c r="G9" s="172"/>
      <c r="H9" s="71"/>
    </row>
    <row r="10" spans="1:8" ht="17.25" customHeight="1">
      <c r="A10" s="72" t="s">
        <v>13</v>
      </c>
      <c r="B10" s="170">
        <v>658471</v>
      </c>
      <c r="C10" s="170">
        <v>658064</v>
      </c>
      <c r="D10" s="170">
        <v>81299</v>
      </c>
      <c r="E10" s="171">
        <v>60522</v>
      </c>
      <c r="F10" s="172">
        <v>16462</v>
      </c>
      <c r="G10" s="172"/>
      <c r="H10" s="71"/>
    </row>
    <row r="11" spans="1:8" ht="17.25" customHeight="1">
      <c r="A11" s="72" t="s">
        <v>14</v>
      </c>
      <c r="B11" s="170">
        <v>750233</v>
      </c>
      <c r="C11" s="170">
        <v>750035</v>
      </c>
      <c r="D11" s="170">
        <v>46823</v>
      </c>
      <c r="E11" s="171">
        <v>32876</v>
      </c>
      <c r="F11" s="172">
        <v>9790</v>
      </c>
      <c r="G11" s="172">
        <v>306</v>
      </c>
      <c r="H11" s="71"/>
    </row>
    <row r="12" spans="1:8" ht="17.25" customHeight="1">
      <c r="A12" s="72" t="s">
        <v>15</v>
      </c>
      <c r="B12" s="170">
        <v>1773670</v>
      </c>
      <c r="C12" s="170">
        <v>1773089</v>
      </c>
      <c r="D12" s="170">
        <v>82896</v>
      </c>
      <c r="E12" s="171">
        <v>54438</v>
      </c>
      <c r="F12" s="172">
        <v>27957</v>
      </c>
      <c r="G12" s="172"/>
      <c r="H12" s="71"/>
    </row>
    <row r="13" spans="1:8" ht="17.25" customHeight="1">
      <c r="A13" s="72" t="s">
        <v>16</v>
      </c>
      <c r="B13" s="170">
        <v>954989</v>
      </c>
      <c r="C13" s="170">
        <v>954987</v>
      </c>
      <c r="D13" s="170">
        <v>136431</v>
      </c>
      <c r="E13" s="171">
        <v>116262</v>
      </c>
      <c r="F13" s="172">
        <v>19318</v>
      </c>
      <c r="G13" s="172">
        <v>86</v>
      </c>
      <c r="H13" s="71"/>
    </row>
    <row r="14" spans="1:8" ht="17.25" customHeight="1">
      <c r="A14" s="72" t="s">
        <v>138</v>
      </c>
      <c r="B14" s="170">
        <v>225929</v>
      </c>
      <c r="C14" s="170">
        <v>212411</v>
      </c>
      <c r="D14" s="170">
        <v>72059</v>
      </c>
      <c r="E14" s="171">
        <v>67099</v>
      </c>
      <c r="F14" s="172">
        <v>3347</v>
      </c>
      <c r="G14" s="172">
        <v>1578</v>
      </c>
      <c r="H14" s="71"/>
    </row>
    <row r="15" spans="1:8" ht="17.25" customHeight="1">
      <c r="A15" s="72" t="s">
        <v>137</v>
      </c>
      <c r="B15" s="170">
        <v>278227</v>
      </c>
      <c r="C15" s="170">
        <v>278019</v>
      </c>
      <c r="D15" s="170">
        <v>26430</v>
      </c>
      <c r="E15" s="171">
        <v>24489</v>
      </c>
      <c r="F15" s="172">
        <v>1843</v>
      </c>
      <c r="G15" s="172"/>
      <c r="H15" s="71"/>
    </row>
    <row r="16" spans="1:8" ht="17.25" customHeight="1">
      <c r="A16" s="72" t="s">
        <v>136</v>
      </c>
      <c r="B16" s="170">
        <v>256843</v>
      </c>
      <c r="C16" s="170">
        <v>256491</v>
      </c>
      <c r="D16" s="170">
        <v>65832</v>
      </c>
      <c r="E16" s="173">
        <v>61175</v>
      </c>
      <c r="F16" s="172">
        <v>3940</v>
      </c>
      <c r="G16" s="172">
        <v>464</v>
      </c>
      <c r="H16" s="71"/>
    </row>
    <row r="17" spans="1:8" ht="17.25" customHeight="1">
      <c r="A17" s="72" t="s">
        <v>135</v>
      </c>
      <c r="B17" s="170">
        <v>416772</v>
      </c>
      <c r="C17" s="170">
        <v>415920</v>
      </c>
      <c r="D17" s="170">
        <v>182508</v>
      </c>
      <c r="E17" s="171">
        <v>173761</v>
      </c>
      <c r="F17" s="172">
        <v>8000</v>
      </c>
      <c r="G17" s="172">
        <v>329</v>
      </c>
      <c r="H17" s="71"/>
    </row>
    <row r="18" spans="1:8" ht="17.25" customHeight="1">
      <c r="A18" s="72" t="s">
        <v>134</v>
      </c>
      <c r="B18" s="170">
        <v>215198</v>
      </c>
      <c r="C18" s="170">
        <v>193007</v>
      </c>
      <c r="D18" s="170">
        <v>105740</v>
      </c>
      <c r="E18" s="173">
        <v>102844</v>
      </c>
      <c r="F18" s="172">
        <v>2048</v>
      </c>
      <c r="G18" s="172">
        <v>832</v>
      </c>
      <c r="H18" s="71"/>
    </row>
    <row r="19" spans="1:8" ht="17.25" customHeight="1">
      <c r="A19" s="72" t="s">
        <v>22</v>
      </c>
      <c r="B19" s="174">
        <v>293477</v>
      </c>
      <c r="C19" s="174">
        <v>292542</v>
      </c>
      <c r="D19" s="174">
        <v>22901</v>
      </c>
      <c r="E19" s="175">
        <v>20915</v>
      </c>
      <c r="F19" s="176">
        <v>1555</v>
      </c>
      <c r="G19" s="177">
        <v>428</v>
      </c>
      <c r="H19" s="71"/>
    </row>
    <row r="20" spans="1:8" s="182" customFormat="1" ht="17.25" customHeight="1">
      <c r="A20" s="180"/>
      <c r="B20" s="181"/>
      <c r="C20" s="181"/>
      <c r="D20" s="181"/>
      <c r="E20" s="181"/>
      <c r="F20" s="181"/>
      <c r="G20" s="181"/>
      <c r="H20" s="180"/>
    </row>
    <row r="21" spans="1:8" ht="21.75" customHeight="1">
      <c r="A21" s="68" t="s">
        <v>157</v>
      </c>
      <c r="B21" s="68"/>
      <c r="C21" s="68"/>
      <c r="D21" s="68"/>
      <c r="E21" s="68"/>
      <c r="F21" s="68"/>
      <c r="G21" s="68"/>
      <c r="H21" s="68"/>
    </row>
    <row r="22" spans="1:8" ht="21.75" customHeight="1">
      <c r="A22" s="338"/>
      <c r="B22" s="338"/>
      <c r="C22" s="338"/>
      <c r="D22" s="339"/>
      <c r="E22" s="343" t="s">
        <v>146</v>
      </c>
      <c r="F22" s="67"/>
      <c r="G22" s="67"/>
      <c r="H22" s="66"/>
    </row>
    <row r="23" spans="1:8" ht="21.75" customHeight="1">
      <c r="A23" s="320"/>
      <c r="B23" s="321"/>
      <c r="C23" s="326" t="s">
        <v>145</v>
      </c>
      <c r="D23" s="326" t="s">
        <v>144</v>
      </c>
      <c r="E23" s="344"/>
      <c r="F23" s="326" t="s">
        <v>143</v>
      </c>
      <c r="G23" s="326" t="s">
        <v>142</v>
      </c>
      <c r="H23" s="318" t="s">
        <v>141</v>
      </c>
    </row>
    <row r="24" spans="1:8" ht="21.75" customHeight="1">
      <c r="A24" s="322"/>
      <c r="B24" s="323"/>
      <c r="C24" s="327"/>
      <c r="D24" s="327"/>
      <c r="E24" s="344"/>
      <c r="F24" s="327"/>
      <c r="G24" s="327"/>
      <c r="H24" s="319"/>
    </row>
    <row r="25" spans="1:8" ht="21.75" customHeight="1">
      <c r="A25" s="334" t="s">
        <v>140</v>
      </c>
      <c r="B25" s="335"/>
      <c r="C25" s="172">
        <f t="shared" ref="C25:H25" si="1">C26+C27+C28+C29+C30+C31+C32+C33+C34+C35+C36+C37+C38</f>
        <v>51</v>
      </c>
      <c r="D25" s="172">
        <f t="shared" si="1"/>
        <v>12547</v>
      </c>
      <c r="E25" s="171">
        <f t="shared" si="1"/>
        <v>6875614</v>
      </c>
      <c r="F25" s="178">
        <f t="shared" si="1"/>
        <v>6506875</v>
      </c>
      <c r="G25" s="178">
        <f t="shared" si="1"/>
        <v>368739</v>
      </c>
      <c r="H25" s="170">
        <f t="shared" si="1"/>
        <v>46480</v>
      </c>
    </row>
    <row r="26" spans="1:8" ht="21.75" customHeight="1">
      <c r="A26" s="334" t="s">
        <v>10</v>
      </c>
      <c r="B26" s="335"/>
      <c r="C26" s="172"/>
      <c r="D26" s="172">
        <v>1142</v>
      </c>
      <c r="E26" s="171">
        <v>48252</v>
      </c>
      <c r="F26" s="178">
        <v>39962</v>
      </c>
      <c r="G26" s="171">
        <v>8290</v>
      </c>
      <c r="H26" s="170"/>
    </row>
    <row r="27" spans="1:8" ht="21.75" customHeight="1">
      <c r="A27" s="334" t="s">
        <v>11</v>
      </c>
      <c r="B27" s="335"/>
      <c r="C27" s="172"/>
      <c r="D27" s="172">
        <v>382</v>
      </c>
      <c r="E27" s="171">
        <v>759780</v>
      </c>
      <c r="F27" s="178">
        <v>722954</v>
      </c>
      <c r="G27" s="171">
        <v>36826</v>
      </c>
      <c r="H27" s="170">
        <v>6202</v>
      </c>
    </row>
    <row r="28" spans="1:8" ht="21.75" customHeight="1">
      <c r="A28" s="334" t="s">
        <v>139</v>
      </c>
      <c r="B28" s="335"/>
      <c r="C28" s="172"/>
      <c r="D28" s="172">
        <v>819</v>
      </c>
      <c r="E28" s="171">
        <v>1105936</v>
      </c>
      <c r="F28" s="178">
        <v>1032071</v>
      </c>
      <c r="G28" s="171">
        <v>73865</v>
      </c>
      <c r="H28" s="170">
        <v>1034</v>
      </c>
    </row>
    <row r="29" spans="1:8" ht="21.75" customHeight="1">
      <c r="A29" s="334" t="s">
        <v>13</v>
      </c>
      <c r="B29" s="335"/>
      <c r="C29" s="172"/>
      <c r="D29" s="172">
        <v>4315</v>
      </c>
      <c r="E29" s="171">
        <v>576765</v>
      </c>
      <c r="F29" s="178">
        <v>520728</v>
      </c>
      <c r="G29" s="171">
        <v>56037</v>
      </c>
      <c r="H29" s="170">
        <v>407</v>
      </c>
    </row>
    <row r="30" spans="1:8" ht="21.75" customHeight="1">
      <c r="A30" s="334" t="s">
        <v>14</v>
      </c>
      <c r="B30" s="335"/>
      <c r="C30" s="172"/>
      <c r="D30" s="172">
        <v>3851</v>
      </c>
      <c r="E30" s="171">
        <v>703212</v>
      </c>
      <c r="F30" s="178">
        <v>628676</v>
      </c>
      <c r="G30" s="171">
        <v>74536</v>
      </c>
      <c r="H30" s="170">
        <v>198</v>
      </c>
    </row>
    <row r="31" spans="1:8" ht="21.75" customHeight="1">
      <c r="A31" s="334" t="s">
        <v>15</v>
      </c>
      <c r="B31" s="335"/>
      <c r="C31" s="172"/>
      <c r="D31" s="172">
        <v>501</v>
      </c>
      <c r="E31" s="171">
        <v>1690193</v>
      </c>
      <c r="F31" s="178">
        <v>1625937</v>
      </c>
      <c r="G31" s="171">
        <v>64256</v>
      </c>
      <c r="H31" s="170">
        <v>581</v>
      </c>
    </row>
    <row r="32" spans="1:8" ht="21.75" customHeight="1">
      <c r="A32" s="334" t="s">
        <v>16</v>
      </c>
      <c r="B32" s="335"/>
      <c r="C32" s="172"/>
      <c r="D32" s="172">
        <v>765</v>
      </c>
      <c r="E32" s="171">
        <v>818556</v>
      </c>
      <c r="F32" s="178">
        <v>782895</v>
      </c>
      <c r="G32" s="171">
        <v>35661</v>
      </c>
      <c r="H32" s="170">
        <v>2</v>
      </c>
    </row>
    <row r="33" spans="1:8" ht="21.75" customHeight="1">
      <c r="A33" s="334" t="s">
        <v>138</v>
      </c>
      <c r="B33" s="335"/>
      <c r="C33" s="172">
        <v>34</v>
      </c>
      <c r="D33" s="172">
        <v>1</v>
      </c>
      <c r="E33" s="171">
        <v>140352</v>
      </c>
      <c r="F33" s="178">
        <v>139312</v>
      </c>
      <c r="G33" s="171">
        <v>1040</v>
      </c>
      <c r="H33" s="170">
        <v>13518</v>
      </c>
    </row>
    <row r="34" spans="1:8" ht="21.75" customHeight="1">
      <c r="A34" s="334" t="s">
        <v>137</v>
      </c>
      <c r="B34" s="335"/>
      <c r="C34" s="172"/>
      <c r="D34" s="172">
        <v>98</v>
      </c>
      <c r="E34" s="171">
        <v>251589</v>
      </c>
      <c r="F34" s="178">
        <v>243532</v>
      </c>
      <c r="G34" s="171">
        <v>8057</v>
      </c>
      <c r="H34" s="170">
        <v>208</v>
      </c>
    </row>
    <row r="35" spans="1:8" ht="21.75" customHeight="1">
      <c r="A35" s="334" t="s">
        <v>136</v>
      </c>
      <c r="B35" s="335"/>
      <c r="C35" s="172">
        <v>1</v>
      </c>
      <c r="D35" s="172">
        <v>252</v>
      </c>
      <c r="E35" s="171">
        <v>190659</v>
      </c>
      <c r="F35" s="178">
        <v>186295</v>
      </c>
      <c r="G35" s="171">
        <v>4364</v>
      </c>
      <c r="H35" s="170">
        <v>352</v>
      </c>
    </row>
    <row r="36" spans="1:8" ht="21.75" customHeight="1">
      <c r="A36" s="334" t="s">
        <v>135</v>
      </c>
      <c r="B36" s="335"/>
      <c r="C36" s="172"/>
      <c r="D36" s="172">
        <v>418</v>
      </c>
      <c r="E36" s="171">
        <v>233412</v>
      </c>
      <c r="F36" s="178">
        <v>232852</v>
      </c>
      <c r="G36" s="171">
        <v>560</v>
      </c>
      <c r="H36" s="170">
        <v>852</v>
      </c>
    </row>
    <row r="37" spans="1:8" ht="21.75" customHeight="1">
      <c r="A37" s="334" t="s">
        <v>134</v>
      </c>
      <c r="B37" s="335"/>
      <c r="C37" s="172">
        <v>16</v>
      </c>
      <c r="D37" s="172"/>
      <c r="E37" s="171">
        <v>87267</v>
      </c>
      <c r="F37" s="178">
        <v>86101</v>
      </c>
      <c r="G37" s="171">
        <v>1166</v>
      </c>
      <c r="H37" s="170">
        <v>22191</v>
      </c>
    </row>
    <row r="38" spans="1:8" ht="21.75" customHeight="1">
      <c r="A38" s="333" t="s">
        <v>22</v>
      </c>
      <c r="B38" s="333"/>
      <c r="C38" s="176"/>
      <c r="D38" s="176">
        <v>3</v>
      </c>
      <c r="E38" s="179">
        <v>269641</v>
      </c>
      <c r="F38" s="165">
        <v>265560</v>
      </c>
      <c r="G38" s="179">
        <v>4081</v>
      </c>
      <c r="H38" s="174">
        <v>935</v>
      </c>
    </row>
    <row r="39" spans="1:8" ht="21.75" customHeight="1">
      <c r="G39" s="21"/>
    </row>
  </sheetData>
  <mergeCells count="31">
    <mergeCell ref="A1:G1"/>
    <mergeCell ref="A27:B27"/>
    <mergeCell ref="A28:B28"/>
    <mergeCell ref="A29:B29"/>
    <mergeCell ref="A30:B30"/>
    <mergeCell ref="G23:G24"/>
    <mergeCell ref="A26:B26"/>
    <mergeCell ref="F2:G2"/>
    <mergeCell ref="A22:D22"/>
    <mergeCell ref="A25:B25"/>
    <mergeCell ref="D3:D5"/>
    <mergeCell ref="D23:D24"/>
    <mergeCell ref="A38:B38"/>
    <mergeCell ref="A31:B31"/>
    <mergeCell ref="A32:B32"/>
    <mergeCell ref="A33:B33"/>
    <mergeCell ref="A34:B34"/>
    <mergeCell ref="A36:B36"/>
    <mergeCell ref="A37:B37"/>
    <mergeCell ref="A35:B35"/>
    <mergeCell ref="H23:H24"/>
    <mergeCell ref="A23:B24"/>
    <mergeCell ref="E4:E5"/>
    <mergeCell ref="E22:E24"/>
    <mergeCell ref="F4:F5"/>
    <mergeCell ref="F23:F24"/>
    <mergeCell ref="C3:C5"/>
    <mergeCell ref="C23:C24"/>
    <mergeCell ref="G4:G5"/>
    <mergeCell ref="B3:B5"/>
    <mergeCell ref="A3:A5"/>
  </mergeCells>
  <phoneticPr fontId="3" type="noConversion"/>
  <pageMargins left="0.59027777777777779" right="0.39305555555555555" top="0.51111111111111107" bottom="0.59027777777777779" header="0.51111111111111107" footer="0.51111111111111107"/>
  <pageSetup paperSize="9" orientation="portrait" horizontalDpi="4294967292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W35"/>
  <sheetViews>
    <sheetView topLeftCell="A13" workbookViewId="0">
      <selection activeCell="C32" sqref="C32"/>
    </sheetView>
  </sheetViews>
  <sheetFormatPr defaultColWidth="8.75" defaultRowHeight="14.25"/>
  <cols>
    <col min="1" max="1" width="10.75" style="78" customWidth="1"/>
    <col min="2" max="5" width="8.625" style="29" customWidth="1"/>
    <col min="6" max="6" width="6.75" style="29" customWidth="1"/>
    <col min="7" max="7" width="8.25" style="29" customWidth="1"/>
    <col min="8" max="8" width="5.5" style="29" customWidth="1"/>
    <col min="9" max="10" width="8.625" style="29" customWidth="1"/>
    <col min="11" max="11" width="7.125" style="29" customWidth="1"/>
    <col min="12" max="12" width="6.25" style="29" customWidth="1"/>
    <col min="13" max="16384" width="8.75" style="21"/>
  </cols>
  <sheetData>
    <row r="1" spans="1:13" ht="20.25" customHeight="1">
      <c r="A1" s="349" t="s">
        <v>168</v>
      </c>
      <c r="B1" s="349"/>
      <c r="C1" s="349"/>
      <c r="D1" s="349"/>
      <c r="E1" s="349"/>
      <c r="F1" s="349"/>
      <c r="G1" s="89"/>
      <c r="H1" s="89"/>
      <c r="I1" s="89"/>
      <c r="J1" s="89"/>
      <c r="K1" s="89"/>
      <c r="L1" s="89"/>
    </row>
    <row r="2" spans="1:13" s="29" customFormat="1" ht="18" customHeight="1">
      <c r="A2" s="351"/>
      <c r="B2" s="212" t="s">
        <v>167</v>
      </c>
      <c r="C2" s="212" t="s">
        <v>166</v>
      </c>
      <c r="D2" s="222" t="s">
        <v>165</v>
      </c>
      <c r="E2" s="86"/>
      <c r="F2" s="86"/>
    </row>
    <row r="3" spans="1:13" s="29" customFormat="1" ht="18" customHeight="1">
      <c r="A3" s="351"/>
      <c r="B3" s="213"/>
      <c r="C3" s="213"/>
      <c r="D3" s="223"/>
      <c r="E3" s="84" t="s">
        <v>151</v>
      </c>
      <c r="F3" s="84" t="s">
        <v>150</v>
      </c>
    </row>
    <row r="4" spans="1:13" ht="18" customHeight="1">
      <c r="A4" s="58" t="s">
        <v>113</v>
      </c>
      <c r="B4" s="137">
        <f>C4+G21</f>
        <v>779614</v>
      </c>
      <c r="C4" s="137">
        <v>722002</v>
      </c>
      <c r="D4" s="137">
        <v>249999</v>
      </c>
      <c r="E4" s="137">
        <v>241022</v>
      </c>
      <c r="F4" s="137">
        <v>6248</v>
      </c>
      <c r="G4" s="137">
        <v>2657</v>
      </c>
      <c r="M4" s="80"/>
    </row>
    <row r="5" spans="1:13" ht="18" customHeight="1">
      <c r="A5" s="57" t="s">
        <v>10</v>
      </c>
      <c r="B5" s="137"/>
      <c r="C5" s="137"/>
      <c r="D5" s="137"/>
      <c r="E5" s="137"/>
      <c r="F5" s="137"/>
      <c r="G5" s="137"/>
      <c r="M5" s="80"/>
    </row>
    <row r="6" spans="1:13" ht="18" customHeight="1">
      <c r="A6" s="57" t="s">
        <v>11</v>
      </c>
      <c r="B6" s="137"/>
      <c r="C6" s="137"/>
      <c r="D6" s="137"/>
      <c r="E6" s="137"/>
      <c r="F6" s="137"/>
      <c r="G6" s="137"/>
      <c r="M6" s="80"/>
    </row>
    <row r="7" spans="1:13" ht="18" customHeight="1">
      <c r="A7" s="57" t="s">
        <v>32</v>
      </c>
      <c r="B7" s="137"/>
      <c r="C7" s="137"/>
      <c r="D7" s="137"/>
      <c r="E7" s="137"/>
      <c r="F7" s="137"/>
      <c r="G7" s="137"/>
      <c r="M7" s="80"/>
    </row>
    <row r="8" spans="1:13" ht="18" customHeight="1">
      <c r="A8" s="57" t="s">
        <v>13</v>
      </c>
      <c r="B8" s="137"/>
      <c r="C8" s="137"/>
      <c r="D8" s="137"/>
      <c r="E8" s="137"/>
      <c r="F8" s="137"/>
      <c r="G8" s="137"/>
    </row>
    <row r="9" spans="1:13" ht="18" customHeight="1">
      <c r="A9" s="57" t="s">
        <v>14</v>
      </c>
      <c r="B9" s="137">
        <f t="shared" ref="B9:B16" si="0">C9+G26</f>
        <v>59419</v>
      </c>
      <c r="C9" s="137">
        <v>59419</v>
      </c>
      <c r="D9" s="137">
        <v>866</v>
      </c>
      <c r="E9" s="137">
        <v>844</v>
      </c>
      <c r="F9" s="137">
        <v>22</v>
      </c>
      <c r="G9" s="137"/>
    </row>
    <row r="10" spans="1:13" ht="18" customHeight="1">
      <c r="A10" s="57" t="s">
        <v>15</v>
      </c>
      <c r="B10" s="137"/>
      <c r="C10" s="137"/>
      <c r="D10" s="137"/>
      <c r="E10" s="137"/>
      <c r="F10" s="137"/>
      <c r="G10" s="137"/>
      <c r="M10" s="80"/>
    </row>
    <row r="11" spans="1:13" ht="18" customHeight="1">
      <c r="A11" s="57" t="s">
        <v>16</v>
      </c>
      <c r="B11" s="137"/>
      <c r="C11" s="137"/>
      <c r="D11" s="137"/>
      <c r="E11" s="137"/>
      <c r="F11" s="137"/>
      <c r="G11" s="137"/>
      <c r="M11" s="80"/>
    </row>
    <row r="12" spans="1:13" ht="18" customHeight="1">
      <c r="A12" s="57" t="s">
        <v>31</v>
      </c>
      <c r="B12" s="137">
        <f t="shared" si="0"/>
        <v>257475</v>
      </c>
      <c r="C12" s="137">
        <v>236715</v>
      </c>
      <c r="D12" s="137">
        <v>79522</v>
      </c>
      <c r="E12" s="137">
        <v>76224</v>
      </c>
      <c r="F12" s="137">
        <v>1738</v>
      </c>
      <c r="G12" s="137">
        <v>1510</v>
      </c>
      <c r="M12" s="80"/>
    </row>
    <row r="13" spans="1:13" ht="18" customHeight="1">
      <c r="A13" s="57" t="s">
        <v>30</v>
      </c>
      <c r="B13" s="137"/>
      <c r="C13" s="137"/>
      <c r="D13" s="137"/>
      <c r="E13" s="137"/>
      <c r="F13" s="137"/>
      <c r="G13" s="137"/>
      <c r="M13" s="80"/>
    </row>
    <row r="14" spans="1:13" ht="18" customHeight="1">
      <c r="A14" s="57" t="s">
        <v>29</v>
      </c>
      <c r="B14" s="137">
        <f t="shared" si="0"/>
        <v>48441</v>
      </c>
      <c r="C14" s="137">
        <v>48224</v>
      </c>
      <c r="D14" s="137">
        <v>5094</v>
      </c>
      <c r="E14" s="137">
        <v>4122</v>
      </c>
      <c r="F14" s="137">
        <v>418</v>
      </c>
      <c r="G14" s="137">
        <v>550</v>
      </c>
      <c r="M14" s="80"/>
    </row>
    <row r="15" spans="1:13" ht="18" customHeight="1">
      <c r="A15" s="57" t="s">
        <v>28</v>
      </c>
      <c r="B15" s="137">
        <f t="shared" si="0"/>
        <v>64009</v>
      </c>
      <c r="C15" s="137">
        <v>62846</v>
      </c>
      <c r="D15" s="137">
        <v>15419</v>
      </c>
      <c r="E15" s="137">
        <v>13533</v>
      </c>
      <c r="F15" s="137">
        <v>1603</v>
      </c>
      <c r="G15" s="137">
        <v>278</v>
      </c>
      <c r="M15" s="80"/>
    </row>
    <row r="16" spans="1:13" ht="18" customHeight="1">
      <c r="A16" s="57" t="s">
        <v>27</v>
      </c>
      <c r="B16" s="137">
        <f t="shared" si="0"/>
        <v>350270</v>
      </c>
      <c r="C16" s="137">
        <v>314798</v>
      </c>
      <c r="D16" s="137">
        <v>149098</v>
      </c>
      <c r="E16" s="137">
        <v>146299</v>
      </c>
      <c r="F16" s="137">
        <v>2467</v>
      </c>
      <c r="G16" s="137">
        <v>319</v>
      </c>
    </row>
    <row r="17" spans="1:23" ht="18" customHeight="1">
      <c r="A17" s="22" t="s">
        <v>22</v>
      </c>
      <c r="B17" s="137"/>
      <c r="C17" s="137"/>
      <c r="D17" s="137"/>
      <c r="E17" s="137"/>
      <c r="F17" s="137"/>
      <c r="G17" s="137"/>
    </row>
    <row r="18" spans="1:23" ht="47.25" customHeight="1">
      <c r="A18" s="22" t="s">
        <v>164</v>
      </c>
      <c r="B18" s="81"/>
      <c r="C18" s="81"/>
      <c r="D18" s="81"/>
      <c r="E18" s="81"/>
      <c r="F18" s="81"/>
      <c r="G18" s="81"/>
      <c r="H18" s="82"/>
      <c r="I18" s="88"/>
      <c r="J18" s="88"/>
      <c r="K18" s="88"/>
      <c r="L18" s="88"/>
    </row>
    <row r="19" spans="1:23" ht="27.75" customHeight="1">
      <c r="B19" s="87"/>
      <c r="C19" s="86"/>
      <c r="D19" s="222" t="s">
        <v>163</v>
      </c>
      <c r="E19" s="350"/>
      <c r="F19" s="211"/>
      <c r="G19" s="222" t="s">
        <v>162</v>
      </c>
      <c r="M19" s="29"/>
      <c r="N19" s="29"/>
      <c r="O19" s="29"/>
      <c r="P19" s="29"/>
      <c r="Q19" s="29"/>
      <c r="R19" s="29"/>
    </row>
    <row r="20" spans="1:23" ht="20.25" customHeight="1">
      <c r="A20" s="85"/>
      <c r="B20" s="84" t="s">
        <v>149</v>
      </c>
      <c r="C20" s="83" t="s">
        <v>145</v>
      </c>
      <c r="D20" s="223"/>
      <c r="E20" s="84" t="s">
        <v>161</v>
      </c>
      <c r="F20" s="83" t="s">
        <v>160</v>
      </c>
      <c r="G20" s="223"/>
      <c r="M20" s="29"/>
      <c r="N20" s="29"/>
      <c r="O20" s="29"/>
      <c r="P20" s="29"/>
      <c r="Q20" s="29"/>
      <c r="R20" s="29"/>
    </row>
    <row r="21" spans="1:23" ht="20.25" customHeight="1">
      <c r="A21" s="58" t="s">
        <v>113</v>
      </c>
      <c r="B21" s="137">
        <v>2657</v>
      </c>
      <c r="C21" s="137">
        <v>67</v>
      </c>
      <c r="D21" s="137">
        <v>472003</v>
      </c>
      <c r="E21" s="137">
        <v>464690</v>
      </c>
      <c r="F21" s="137">
        <v>7313</v>
      </c>
      <c r="G21" s="137">
        <v>57612</v>
      </c>
      <c r="M21" s="29"/>
      <c r="N21" s="29"/>
      <c r="O21" s="29"/>
      <c r="P21" s="29"/>
      <c r="Q21" s="29"/>
      <c r="R21" s="29"/>
      <c r="S21" s="80"/>
      <c r="T21" s="80"/>
      <c r="U21" s="80"/>
      <c r="V21" s="80"/>
      <c r="W21" s="80"/>
    </row>
    <row r="22" spans="1:23" ht="20.25" customHeight="1">
      <c r="A22" s="57" t="s">
        <v>10</v>
      </c>
      <c r="B22" s="137"/>
      <c r="C22" s="137"/>
      <c r="D22" s="137"/>
      <c r="E22" s="137"/>
      <c r="F22" s="137"/>
      <c r="G22" s="137"/>
      <c r="M22" s="29"/>
      <c r="N22" s="29"/>
      <c r="O22" s="29"/>
      <c r="P22" s="29"/>
      <c r="Q22" s="29"/>
      <c r="R22" s="29"/>
      <c r="S22" s="80"/>
      <c r="T22" s="80"/>
      <c r="U22" s="80"/>
      <c r="V22" s="80"/>
      <c r="W22" s="80"/>
    </row>
    <row r="23" spans="1:23" ht="20.25" customHeight="1">
      <c r="A23" s="57" t="s">
        <v>11</v>
      </c>
      <c r="B23" s="137"/>
      <c r="C23" s="137"/>
      <c r="D23" s="137"/>
      <c r="E23" s="137"/>
      <c r="F23" s="137"/>
      <c r="G23" s="137"/>
      <c r="M23" s="29"/>
      <c r="N23" s="29"/>
      <c r="O23" s="29"/>
      <c r="P23" s="29"/>
      <c r="Q23" s="29"/>
      <c r="R23" s="29"/>
      <c r="S23" s="80"/>
      <c r="T23" s="80"/>
      <c r="U23" s="80"/>
      <c r="V23" s="80"/>
      <c r="W23" s="80"/>
    </row>
    <row r="24" spans="1:23" ht="20.25" customHeight="1">
      <c r="A24" s="57" t="s">
        <v>32</v>
      </c>
      <c r="B24" s="137"/>
      <c r="C24" s="137"/>
      <c r="D24" s="137"/>
      <c r="E24" s="137"/>
      <c r="F24" s="137"/>
      <c r="G24" s="137"/>
      <c r="M24" s="29"/>
      <c r="N24" s="29"/>
      <c r="O24" s="29"/>
      <c r="P24" s="29"/>
      <c r="Q24" s="29"/>
      <c r="R24" s="29"/>
      <c r="S24" s="80"/>
      <c r="T24" s="80"/>
      <c r="U24" s="80"/>
      <c r="V24" s="80"/>
      <c r="W24" s="80"/>
    </row>
    <row r="25" spans="1:23" ht="20.25" customHeight="1">
      <c r="A25" s="57" t="s">
        <v>13</v>
      </c>
      <c r="B25" s="137"/>
      <c r="C25" s="137"/>
      <c r="D25" s="137"/>
      <c r="E25" s="137"/>
      <c r="F25" s="137"/>
      <c r="G25" s="137"/>
      <c r="M25" s="29"/>
      <c r="N25" s="29"/>
      <c r="O25" s="29"/>
      <c r="P25" s="29"/>
      <c r="Q25" s="29"/>
      <c r="R25" s="29"/>
      <c r="S25" s="80"/>
      <c r="T25" s="80"/>
      <c r="U25" s="80"/>
      <c r="V25" s="80"/>
      <c r="W25" s="80"/>
    </row>
    <row r="26" spans="1:23" ht="20.25" customHeight="1">
      <c r="A26" s="57" t="s">
        <v>14</v>
      </c>
      <c r="B26" s="137"/>
      <c r="C26" s="137"/>
      <c r="D26" s="137">
        <v>58553</v>
      </c>
      <c r="E26" s="137">
        <v>55045</v>
      </c>
      <c r="F26" s="137">
        <v>3508</v>
      </c>
      <c r="G26" s="137"/>
      <c r="M26" s="29"/>
      <c r="N26" s="29"/>
      <c r="O26" s="29"/>
      <c r="P26" s="29"/>
      <c r="Q26" s="29"/>
      <c r="R26" s="29"/>
      <c r="S26" s="80"/>
      <c r="T26" s="80"/>
      <c r="U26" s="80"/>
      <c r="V26" s="80"/>
      <c r="W26" s="80"/>
    </row>
    <row r="27" spans="1:23" ht="20.25" customHeight="1">
      <c r="A27" s="57" t="s">
        <v>15</v>
      </c>
      <c r="B27" s="137"/>
      <c r="C27" s="137"/>
      <c r="D27" s="137"/>
      <c r="E27" s="137"/>
      <c r="F27" s="137"/>
      <c r="G27" s="137"/>
      <c r="M27" s="29"/>
      <c r="N27" s="29"/>
      <c r="O27" s="29"/>
      <c r="P27" s="29"/>
      <c r="Q27" s="29"/>
      <c r="R27" s="29"/>
      <c r="S27" s="80"/>
      <c r="T27" s="80"/>
      <c r="U27" s="80"/>
      <c r="V27" s="80"/>
    </row>
    <row r="28" spans="1:23" ht="20.25" customHeight="1">
      <c r="A28" s="57" t="s">
        <v>16</v>
      </c>
      <c r="B28" s="137"/>
      <c r="C28" s="137"/>
      <c r="D28" s="137"/>
      <c r="E28" s="137"/>
      <c r="F28" s="137"/>
      <c r="G28" s="137"/>
      <c r="M28" s="29"/>
      <c r="N28" s="29"/>
      <c r="O28" s="29"/>
      <c r="P28" s="29"/>
      <c r="Q28" s="29"/>
      <c r="R28" s="29"/>
      <c r="S28" s="80"/>
      <c r="T28" s="80"/>
      <c r="U28" s="80"/>
      <c r="V28" s="80"/>
    </row>
    <row r="29" spans="1:23" ht="20.25" customHeight="1">
      <c r="A29" s="57" t="s">
        <v>31</v>
      </c>
      <c r="B29" s="137">
        <v>1510</v>
      </c>
      <c r="C29" s="137">
        <v>50</v>
      </c>
      <c r="D29" s="137">
        <v>157193</v>
      </c>
      <c r="E29" s="137">
        <v>156867</v>
      </c>
      <c r="F29" s="137">
        <v>326</v>
      </c>
      <c r="G29" s="137">
        <v>20760</v>
      </c>
      <c r="M29" s="29"/>
      <c r="N29" s="29"/>
      <c r="O29" s="29"/>
      <c r="P29" s="29"/>
      <c r="Q29" s="29"/>
      <c r="R29" s="29"/>
      <c r="S29" s="80"/>
      <c r="T29" s="80"/>
      <c r="U29" s="80"/>
      <c r="V29" s="80"/>
      <c r="W29" s="80"/>
    </row>
    <row r="30" spans="1:23" ht="20.25" customHeight="1">
      <c r="A30" s="57" t="s">
        <v>30</v>
      </c>
      <c r="B30" s="137"/>
      <c r="C30" s="137"/>
      <c r="D30" s="137"/>
      <c r="E30" s="137"/>
      <c r="F30" s="137"/>
      <c r="G30" s="137"/>
      <c r="M30" s="29"/>
      <c r="N30" s="29"/>
      <c r="O30" s="29"/>
      <c r="P30" s="29"/>
      <c r="Q30" s="29"/>
      <c r="R30" s="29"/>
      <c r="S30" s="80"/>
      <c r="T30" s="80"/>
      <c r="U30" s="80"/>
      <c r="V30" s="80"/>
      <c r="W30" s="80"/>
    </row>
    <row r="31" spans="1:23" ht="20.25" customHeight="1">
      <c r="A31" s="57" t="s">
        <v>29</v>
      </c>
      <c r="B31" s="137">
        <v>550</v>
      </c>
      <c r="C31" s="137">
        <v>4</v>
      </c>
      <c r="D31" s="137">
        <v>43130</v>
      </c>
      <c r="E31" s="137">
        <v>40786</v>
      </c>
      <c r="F31" s="137">
        <v>2344</v>
      </c>
      <c r="G31" s="137">
        <v>217</v>
      </c>
      <c r="M31" s="29"/>
      <c r="N31" s="29"/>
      <c r="O31" s="29"/>
      <c r="P31" s="29"/>
      <c r="Q31" s="29"/>
      <c r="R31" s="29"/>
      <c r="S31" s="80"/>
      <c r="T31" s="80"/>
      <c r="U31" s="80"/>
      <c r="V31" s="80"/>
      <c r="W31" s="80"/>
    </row>
    <row r="32" spans="1:23" ht="20.25" customHeight="1">
      <c r="A32" s="57" t="s">
        <v>28</v>
      </c>
      <c r="B32" s="137">
        <v>278</v>
      </c>
      <c r="C32" s="137"/>
      <c r="D32" s="137">
        <v>47427</v>
      </c>
      <c r="E32" s="137">
        <v>47382</v>
      </c>
      <c r="F32" s="137">
        <v>45</v>
      </c>
      <c r="G32" s="137">
        <v>1163</v>
      </c>
      <c r="M32" s="29"/>
      <c r="N32" s="29"/>
      <c r="O32" s="29"/>
      <c r="P32" s="29"/>
      <c r="Q32" s="29"/>
      <c r="R32" s="29"/>
      <c r="S32" s="80"/>
      <c r="T32" s="80"/>
      <c r="U32" s="80"/>
      <c r="V32" s="80"/>
      <c r="W32" s="80"/>
    </row>
    <row r="33" spans="1:23" ht="20.25" customHeight="1">
      <c r="A33" s="57" t="s">
        <v>27</v>
      </c>
      <c r="B33" s="137">
        <v>319</v>
      </c>
      <c r="C33" s="137">
        <v>13</v>
      </c>
      <c r="D33" s="137">
        <v>165700</v>
      </c>
      <c r="E33" s="137">
        <v>164610</v>
      </c>
      <c r="F33" s="137">
        <v>1090</v>
      </c>
      <c r="G33" s="137">
        <v>35472</v>
      </c>
      <c r="M33" s="29"/>
      <c r="N33" s="29"/>
      <c r="O33" s="29"/>
      <c r="P33" s="29"/>
      <c r="Q33" s="29"/>
      <c r="R33" s="29"/>
      <c r="S33" s="80"/>
      <c r="T33" s="80"/>
      <c r="U33" s="80"/>
      <c r="V33" s="80"/>
      <c r="W33" s="80"/>
    </row>
    <row r="34" spans="1:23" ht="20.25" customHeight="1">
      <c r="A34" s="22" t="s">
        <v>22</v>
      </c>
      <c r="B34" s="165"/>
      <c r="C34" s="137"/>
      <c r="D34" s="137"/>
      <c r="E34" s="137"/>
      <c r="F34" s="137"/>
      <c r="G34" s="137"/>
      <c r="M34" s="29"/>
      <c r="N34" s="29"/>
      <c r="O34" s="29"/>
      <c r="P34" s="29"/>
      <c r="Q34" s="29"/>
      <c r="R34" s="29"/>
      <c r="S34" s="80"/>
      <c r="T34" s="80"/>
      <c r="U34" s="80"/>
      <c r="V34" s="80"/>
      <c r="W34" s="80"/>
    </row>
    <row r="35" spans="1:23">
      <c r="M35" s="79"/>
      <c r="N35" s="79"/>
    </row>
  </sheetData>
  <mergeCells count="8">
    <mergeCell ref="A1:F1"/>
    <mergeCell ref="C2:C3"/>
    <mergeCell ref="E19:F19"/>
    <mergeCell ref="D2:D3"/>
    <mergeCell ref="G19:G20"/>
    <mergeCell ref="D19:D20"/>
    <mergeCell ref="B2:B3"/>
    <mergeCell ref="A2:A3"/>
  </mergeCells>
  <phoneticPr fontId="3" type="noConversion"/>
  <pageMargins left="0.74803149606299213" right="0.74803149606299213" top="0.51181102362204722" bottom="0.98425196850393704" header="0.51181102362204722" footer="0.51181102362204722"/>
  <pageSetup paperSize="9" orientation="portrait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>
      <selection activeCell="G24" sqref="G24"/>
    </sheetView>
  </sheetViews>
  <sheetFormatPr defaultRowHeight="14.25"/>
  <cols>
    <col min="1" max="1" width="16.625" style="21" customWidth="1"/>
    <col min="2" max="5" width="9.5" style="21" bestFit="1" customWidth="1"/>
    <col min="6" max="16384" width="9" style="21"/>
  </cols>
  <sheetData>
    <row r="1" spans="1:12">
      <c r="A1" s="352" t="s">
        <v>174</v>
      </c>
      <c r="B1" s="353"/>
      <c r="C1" s="353"/>
      <c r="D1" s="353"/>
      <c r="E1" s="353"/>
      <c r="F1" s="353"/>
    </row>
    <row r="2" spans="1:12" ht="21" customHeight="1">
      <c r="A2" s="95"/>
      <c r="B2" s="81"/>
      <c r="C2" s="81"/>
      <c r="D2" s="81"/>
      <c r="E2" s="81"/>
      <c r="F2" s="81"/>
      <c r="G2" s="82"/>
      <c r="H2" s="82"/>
      <c r="I2" s="88"/>
      <c r="J2" s="88"/>
      <c r="K2" s="88"/>
      <c r="L2" s="88"/>
    </row>
    <row r="3" spans="1:12">
      <c r="A3" s="351"/>
      <c r="B3" s="204" t="s">
        <v>167</v>
      </c>
      <c r="C3" s="204" t="s">
        <v>173</v>
      </c>
      <c r="D3" s="221" t="s">
        <v>172</v>
      </c>
      <c r="E3" s="36"/>
      <c r="F3" s="36"/>
    </row>
    <row r="4" spans="1:12">
      <c r="A4" s="351"/>
      <c r="B4" s="213"/>
      <c r="C4" s="213"/>
      <c r="D4" s="223"/>
      <c r="E4" s="84" t="s">
        <v>151</v>
      </c>
      <c r="F4" s="84" t="s">
        <v>150</v>
      </c>
    </row>
    <row r="5" spans="1:12" ht="15">
      <c r="A5" s="24" t="s">
        <v>113</v>
      </c>
      <c r="B5" s="166">
        <f>B6+B7+B8+B9+B10+B11+B12+B13+B14+B15+B16+B17+B18</f>
        <v>15522069</v>
      </c>
      <c r="C5" s="166">
        <f t="shared" ref="C5:F5" si="0">C6+C7+C8+C9+C10+C11+C12+C13+C14+C15+C16+C17+C18</f>
        <v>15513958</v>
      </c>
      <c r="D5" s="166">
        <f t="shared" si="0"/>
        <v>1528358</v>
      </c>
      <c r="E5" s="166">
        <f t="shared" si="0"/>
        <v>1297990</v>
      </c>
      <c r="F5" s="166">
        <f t="shared" si="0"/>
        <v>212446</v>
      </c>
    </row>
    <row r="6" spans="1:12">
      <c r="A6" s="57" t="s">
        <v>10</v>
      </c>
      <c r="B6" s="166">
        <f t="shared" ref="B6:B18" si="1">C6+G24</f>
        <v>93775</v>
      </c>
      <c r="C6" s="137">
        <v>93775</v>
      </c>
      <c r="D6" s="137">
        <v>9699</v>
      </c>
      <c r="E6" s="167">
        <v>5285</v>
      </c>
      <c r="F6" s="137">
        <v>2398</v>
      </c>
    </row>
    <row r="7" spans="1:12">
      <c r="A7" s="57" t="s">
        <v>11</v>
      </c>
      <c r="B7" s="166">
        <f t="shared" si="1"/>
        <v>1691013</v>
      </c>
      <c r="C7" s="137">
        <v>1687356</v>
      </c>
      <c r="D7" s="137">
        <v>104912</v>
      </c>
      <c r="E7" s="167">
        <v>85570</v>
      </c>
      <c r="F7" s="137">
        <v>18295</v>
      </c>
    </row>
    <row r="8" spans="1:12" ht="15">
      <c r="A8" s="57" t="s">
        <v>32</v>
      </c>
      <c r="B8" s="166">
        <f t="shared" si="1"/>
        <v>2495901</v>
      </c>
      <c r="C8" s="137">
        <v>2494798</v>
      </c>
      <c r="D8" s="137">
        <v>247234</v>
      </c>
      <c r="E8" s="167">
        <v>217130</v>
      </c>
      <c r="F8" s="137">
        <v>29173</v>
      </c>
    </row>
    <row r="9" spans="1:12">
      <c r="A9" s="57" t="s">
        <v>13</v>
      </c>
      <c r="B9" s="166">
        <f t="shared" si="1"/>
        <v>1615177</v>
      </c>
      <c r="C9" s="137">
        <v>1614655</v>
      </c>
      <c r="D9" s="137">
        <v>154716</v>
      </c>
      <c r="E9" s="167">
        <v>120749</v>
      </c>
      <c r="F9" s="137">
        <v>28415</v>
      </c>
    </row>
    <row r="10" spans="1:12">
      <c r="A10" s="23" t="s">
        <v>14</v>
      </c>
      <c r="B10" s="166">
        <f t="shared" si="1"/>
        <v>1718238</v>
      </c>
      <c r="C10" s="137">
        <v>1718030</v>
      </c>
      <c r="D10" s="137">
        <v>67540</v>
      </c>
      <c r="E10" s="167">
        <v>47550</v>
      </c>
      <c r="F10" s="137">
        <v>15758</v>
      </c>
    </row>
    <row r="11" spans="1:12">
      <c r="A11" s="57" t="s">
        <v>15</v>
      </c>
      <c r="B11" s="166">
        <f t="shared" si="1"/>
        <v>2987141</v>
      </c>
      <c r="C11" s="137">
        <v>2986281</v>
      </c>
      <c r="D11" s="137">
        <v>234831</v>
      </c>
      <c r="E11" s="167">
        <v>171080</v>
      </c>
      <c r="F11" s="137">
        <v>63000</v>
      </c>
    </row>
    <row r="12" spans="1:12">
      <c r="A12" s="57" t="s">
        <v>16</v>
      </c>
      <c r="B12" s="166">
        <f t="shared" si="1"/>
        <v>2278813</v>
      </c>
      <c r="C12" s="137">
        <v>2278810</v>
      </c>
      <c r="D12" s="137">
        <v>262033</v>
      </c>
      <c r="E12" s="167">
        <v>230577</v>
      </c>
      <c r="F12" s="137">
        <v>30116</v>
      </c>
    </row>
    <row r="13" spans="1:12" ht="15">
      <c r="A13" s="57" t="s">
        <v>31</v>
      </c>
      <c r="B13" s="166">
        <f t="shared" si="1"/>
        <v>115101</v>
      </c>
      <c r="C13" s="137">
        <v>115101</v>
      </c>
      <c r="D13" s="137">
        <v>13505</v>
      </c>
      <c r="E13" s="167">
        <v>11495</v>
      </c>
      <c r="F13" s="137">
        <v>2005</v>
      </c>
    </row>
    <row r="14" spans="1:12" ht="15">
      <c r="A14" s="57" t="s">
        <v>30</v>
      </c>
      <c r="B14" s="166">
        <f t="shared" si="1"/>
        <v>636676</v>
      </c>
      <c r="C14" s="137">
        <v>636483</v>
      </c>
      <c r="D14" s="137">
        <v>40786</v>
      </c>
      <c r="E14" s="167">
        <v>36426</v>
      </c>
      <c r="F14" s="137">
        <v>4181</v>
      </c>
    </row>
    <row r="15" spans="1:12" ht="15">
      <c r="A15" s="57" t="s">
        <v>29</v>
      </c>
      <c r="B15" s="166">
        <f t="shared" si="1"/>
        <v>508720</v>
      </c>
      <c r="C15" s="137">
        <v>508599</v>
      </c>
      <c r="D15" s="137">
        <v>110811</v>
      </c>
      <c r="E15" s="167">
        <v>105986</v>
      </c>
      <c r="F15" s="137">
        <v>4588</v>
      </c>
    </row>
    <row r="16" spans="1:12" ht="15">
      <c r="A16" s="57" t="s">
        <v>28</v>
      </c>
      <c r="B16" s="166">
        <f>C16+G34</f>
        <v>731714</v>
      </c>
      <c r="C16" s="137">
        <v>731324</v>
      </c>
      <c r="D16" s="137">
        <v>253382</v>
      </c>
      <c r="E16" s="167">
        <v>240562</v>
      </c>
      <c r="F16" s="137">
        <v>11819</v>
      </c>
    </row>
    <row r="17" spans="1:12" ht="15">
      <c r="A17" s="57" t="s">
        <v>27</v>
      </c>
      <c r="B17" s="166"/>
      <c r="C17" s="137"/>
      <c r="D17" s="137"/>
      <c r="E17" s="167"/>
      <c r="F17" s="137"/>
    </row>
    <row r="18" spans="1:12">
      <c r="A18" s="94" t="s">
        <v>22</v>
      </c>
      <c r="B18" s="168">
        <f t="shared" si="1"/>
        <v>649800</v>
      </c>
      <c r="C18" s="137">
        <v>648746</v>
      </c>
      <c r="D18" s="137">
        <v>28909</v>
      </c>
      <c r="E18" s="167">
        <v>25580</v>
      </c>
      <c r="F18" s="137">
        <v>2698</v>
      </c>
    </row>
    <row r="19" spans="1:12">
      <c r="A19" s="7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</row>
    <row r="20" spans="1:12">
      <c r="A20" s="23" t="s">
        <v>171</v>
      </c>
    </row>
    <row r="21" spans="1:12">
      <c r="A21" s="92"/>
      <c r="B21" s="93"/>
      <c r="C21" s="93"/>
      <c r="D21" s="354" t="s">
        <v>170</v>
      </c>
      <c r="E21" s="355"/>
      <c r="F21" s="355"/>
      <c r="G21" s="354" t="s">
        <v>169</v>
      </c>
    </row>
    <row r="22" spans="1:12">
      <c r="A22" s="92"/>
      <c r="B22" s="84" t="s">
        <v>149</v>
      </c>
      <c r="C22" s="84" t="s">
        <v>145</v>
      </c>
      <c r="D22" s="354"/>
      <c r="E22" s="84" t="s">
        <v>161</v>
      </c>
      <c r="F22" s="84" t="s">
        <v>160</v>
      </c>
      <c r="G22" s="354"/>
    </row>
    <row r="23" spans="1:12">
      <c r="A23" s="91" t="s">
        <v>140</v>
      </c>
      <c r="B23" s="137">
        <f>B24+B25+B26+B27+B28+B29+B30+B31+B32+B33+B34+B35+B36</f>
        <v>1738</v>
      </c>
      <c r="C23" s="137">
        <f t="shared" ref="C23:G23" si="2">C24+C25+C26+C27+C28+C29+C30+C31+C32+C33+C34+C35+C36</f>
        <v>2</v>
      </c>
      <c r="D23" s="137">
        <f t="shared" si="2"/>
        <v>13985600</v>
      </c>
      <c r="E23" s="137">
        <f t="shared" si="2"/>
        <v>13155375</v>
      </c>
      <c r="F23" s="137">
        <f t="shared" si="2"/>
        <v>830225</v>
      </c>
      <c r="G23" s="137">
        <f t="shared" si="2"/>
        <v>8111</v>
      </c>
    </row>
    <row r="24" spans="1:12">
      <c r="A24" s="90" t="s">
        <v>10</v>
      </c>
      <c r="B24" s="137"/>
      <c r="C24" s="137"/>
      <c r="D24" s="137">
        <v>84076</v>
      </c>
      <c r="E24" s="137">
        <v>68338</v>
      </c>
      <c r="F24" s="137">
        <v>15738</v>
      </c>
      <c r="G24" s="167"/>
    </row>
    <row r="25" spans="1:12">
      <c r="A25" s="90" t="s">
        <v>11</v>
      </c>
      <c r="B25" s="137">
        <v>483</v>
      </c>
      <c r="C25" s="137"/>
      <c r="D25" s="137">
        <v>1582444</v>
      </c>
      <c r="E25" s="137">
        <v>1520194</v>
      </c>
      <c r="F25" s="137">
        <v>62250</v>
      </c>
      <c r="G25" s="167">
        <v>3657</v>
      </c>
    </row>
    <row r="26" spans="1:12">
      <c r="A26" s="90" t="s">
        <v>139</v>
      </c>
      <c r="B26" s="137"/>
      <c r="C26" s="137"/>
      <c r="D26" s="137">
        <v>2247564</v>
      </c>
      <c r="E26" s="137">
        <v>2074139</v>
      </c>
      <c r="F26" s="137">
        <v>173425</v>
      </c>
      <c r="G26" s="167">
        <v>1103</v>
      </c>
    </row>
    <row r="27" spans="1:12">
      <c r="A27" s="90" t="s">
        <v>13</v>
      </c>
      <c r="B27" s="137"/>
      <c r="C27" s="137"/>
      <c r="D27" s="137">
        <v>1459939</v>
      </c>
      <c r="E27" s="137">
        <v>1334549</v>
      </c>
      <c r="F27" s="137">
        <v>125390</v>
      </c>
      <c r="G27" s="167">
        <v>522</v>
      </c>
    </row>
    <row r="28" spans="1:12">
      <c r="A28" s="90" t="s">
        <v>14</v>
      </c>
      <c r="B28" s="137">
        <v>104</v>
      </c>
      <c r="C28" s="137"/>
      <c r="D28" s="137">
        <v>1650490</v>
      </c>
      <c r="E28" s="137">
        <v>1499822</v>
      </c>
      <c r="F28" s="137">
        <v>150668</v>
      </c>
      <c r="G28" s="167">
        <v>208</v>
      </c>
    </row>
    <row r="29" spans="1:12">
      <c r="A29" s="90" t="s">
        <v>15</v>
      </c>
      <c r="B29" s="137"/>
      <c r="C29" s="137"/>
      <c r="D29" s="137">
        <v>2751450</v>
      </c>
      <c r="E29" s="137">
        <v>2573749</v>
      </c>
      <c r="F29" s="137">
        <v>177701</v>
      </c>
      <c r="G29" s="167">
        <v>860</v>
      </c>
    </row>
    <row r="30" spans="1:12">
      <c r="A30" s="90" t="s">
        <v>16</v>
      </c>
      <c r="B30" s="137">
        <v>210</v>
      </c>
      <c r="C30" s="137">
        <v>1</v>
      </c>
      <c r="D30" s="137">
        <v>2016777</v>
      </c>
      <c r="E30" s="137">
        <v>1939996</v>
      </c>
      <c r="F30" s="137">
        <v>76781</v>
      </c>
      <c r="G30" s="167">
        <v>3</v>
      </c>
    </row>
    <row r="31" spans="1:12">
      <c r="A31" s="90" t="s">
        <v>138</v>
      </c>
      <c r="B31" s="137">
        <v>5</v>
      </c>
      <c r="C31" s="137"/>
      <c r="D31" s="137">
        <v>101596</v>
      </c>
      <c r="E31" s="137">
        <v>100015</v>
      </c>
      <c r="F31" s="137">
        <v>1581</v>
      </c>
      <c r="G31" s="167"/>
    </row>
    <row r="32" spans="1:12">
      <c r="A32" s="90" t="s">
        <v>137</v>
      </c>
      <c r="B32" s="137">
        <v>10</v>
      </c>
      <c r="C32" s="137"/>
      <c r="D32" s="137">
        <v>595697</v>
      </c>
      <c r="E32" s="137">
        <v>573202</v>
      </c>
      <c r="F32" s="137">
        <v>22495</v>
      </c>
      <c r="G32" s="167">
        <v>193</v>
      </c>
    </row>
    <row r="33" spans="1:7">
      <c r="A33" s="90" t="s">
        <v>136</v>
      </c>
      <c r="B33" s="137">
        <v>54</v>
      </c>
      <c r="C33" s="137">
        <v>1</v>
      </c>
      <c r="D33" s="137">
        <v>397788</v>
      </c>
      <c r="E33" s="137">
        <v>389764</v>
      </c>
      <c r="F33" s="137">
        <v>8024</v>
      </c>
      <c r="G33" s="167">
        <v>121</v>
      </c>
    </row>
    <row r="34" spans="1:7">
      <c r="A34" s="90" t="s">
        <v>135</v>
      </c>
      <c r="B34" s="137">
        <v>241</v>
      </c>
      <c r="C34" s="137"/>
      <c r="D34" s="137">
        <v>477942</v>
      </c>
      <c r="E34" s="137">
        <v>476834</v>
      </c>
      <c r="F34" s="137">
        <v>1108</v>
      </c>
      <c r="G34" s="167">
        <v>390</v>
      </c>
    </row>
    <row r="35" spans="1:7">
      <c r="A35" s="90" t="s">
        <v>134</v>
      </c>
      <c r="B35" s="137"/>
      <c r="C35" s="137"/>
      <c r="D35" s="137"/>
      <c r="E35" s="137"/>
      <c r="F35" s="137"/>
      <c r="G35" s="167"/>
    </row>
    <row r="36" spans="1:7">
      <c r="A36" s="90" t="s">
        <v>22</v>
      </c>
      <c r="B36" s="137">
        <v>631</v>
      </c>
      <c r="C36" s="137"/>
      <c r="D36" s="137">
        <v>619837</v>
      </c>
      <c r="E36" s="137">
        <v>604773</v>
      </c>
      <c r="F36" s="137">
        <v>15064</v>
      </c>
      <c r="G36" s="167">
        <v>1054</v>
      </c>
    </row>
  </sheetData>
  <mergeCells count="8">
    <mergeCell ref="A1:F1"/>
    <mergeCell ref="G21:G22"/>
    <mergeCell ref="E21:F21"/>
    <mergeCell ref="D3:D4"/>
    <mergeCell ref="A3:A4"/>
    <mergeCell ref="B3:B4"/>
    <mergeCell ref="C3:C4"/>
    <mergeCell ref="D21:D22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12和13</vt:lpstr>
      <vt:lpstr>14</vt:lpstr>
      <vt:lpstr>16和15</vt:lpstr>
      <vt:lpstr>17</vt:lpstr>
      <vt:lpstr>18及续</vt:lpstr>
      <vt:lpstr>19及续1</vt:lpstr>
      <vt:lpstr>19续2续3</vt:lpstr>
      <vt:lpstr>20</vt:lpstr>
      <vt:lpstr>21</vt:lpstr>
      <vt:lpstr>23和22</vt:lpstr>
      <vt:lpstr>24及续</vt:lpstr>
      <vt:lpstr>25及续</vt:lpstr>
      <vt:lpstr>26</vt:lpstr>
      <vt:lpstr>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</dc:creator>
  <cp:lastModifiedBy>admin</cp:lastModifiedBy>
  <cp:lastPrinted>2017-06-22T03:33:03Z</cp:lastPrinted>
  <dcterms:created xsi:type="dcterms:W3CDTF">2016-09-08T06:29:55Z</dcterms:created>
  <dcterms:modified xsi:type="dcterms:W3CDTF">2017-07-18T07:36:24Z</dcterms:modified>
</cp:coreProperties>
</file>