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2、综合核算\"/>
    </mc:Choice>
  </mc:AlternateContent>
  <xr:revisionPtr revIDLastSave="0" documentId="8_{54871094-3EB5-4194-B78B-866CFFABF8B6}" xr6:coauthVersionLast="36" xr6:coauthVersionMax="36" xr10:uidLastSave="{00000000-0000-0000-0000-000000000000}"/>
  <bookViews>
    <workbookView xWindow="32769" yWindow="32769" windowWidth="23897" windowHeight="10354" activeTab="1"/>
  </bookViews>
  <sheets>
    <sheet name="2-1" sheetId="1" r:id="rId1"/>
    <sheet name="续1" sheetId="2" r:id="rId2"/>
    <sheet name="续2" sheetId="3" r:id="rId3"/>
    <sheet name="续3" sheetId="4" r:id="rId4"/>
    <sheet name="续4" sheetId="5" r:id="rId5"/>
  </sheets>
  <calcPr calcId="191029"/>
</workbook>
</file>

<file path=xl/calcChain.xml><?xml version="1.0" encoding="utf-8"?>
<calcChain xmlns="http://schemas.openxmlformats.org/spreadsheetml/2006/main">
  <c r="E7" i="1" l="1"/>
  <c r="C22" i="1"/>
  <c r="D23" i="1"/>
</calcChain>
</file>

<file path=xl/sharedStrings.xml><?xml version="1.0" encoding="utf-8"?>
<sst xmlns="http://schemas.openxmlformats.org/spreadsheetml/2006/main" count="257" uniqueCount="154">
  <si>
    <r>
      <t xml:space="preserve">2-1    </t>
    </r>
    <r>
      <rPr>
        <sz val="16"/>
        <rFont val="宋体"/>
        <charset val="134"/>
      </rPr>
      <t>主要年份国民经济和社会发展指标</t>
    </r>
  </si>
  <si>
    <r>
      <t>单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位</t>
    </r>
  </si>
  <si>
    <r>
      <t>2000</t>
    </r>
    <r>
      <rPr>
        <sz val="9"/>
        <rFont val="宋体"/>
        <charset val="134"/>
      </rPr>
      <t>年</t>
    </r>
  </si>
  <si>
    <r>
      <t>2005</t>
    </r>
    <r>
      <rPr>
        <sz val="9"/>
        <rFont val="宋体"/>
        <charset val="134"/>
      </rPr>
      <t>年</t>
    </r>
  </si>
  <si>
    <r>
      <t>2010</t>
    </r>
    <r>
      <rPr>
        <sz val="9"/>
        <rFont val="宋体"/>
        <charset val="134"/>
      </rPr>
      <t>年</t>
    </r>
  </si>
  <si>
    <r>
      <t>2013</t>
    </r>
    <r>
      <rPr>
        <sz val="9"/>
        <rFont val="宋体"/>
        <charset val="134"/>
      </rPr>
      <t>年</t>
    </r>
  </si>
  <si>
    <r>
      <t>2014</t>
    </r>
    <r>
      <rPr>
        <sz val="9"/>
        <rFont val="宋体"/>
        <charset val="134"/>
      </rPr>
      <t>年</t>
    </r>
  </si>
  <si>
    <r>
      <t>2015</t>
    </r>
    <r>
      <rPr>
        <sz val="9"/>
        <rFont val="宋体"/>
        <charset val="134"/>
      </rPr>
      <t>年</t>
    </r>
  </si>
  <si>
    <t>2016年</t>
  </si>
  <si>
    <r>
      <t>一、人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口</t>
    </r>
  </si>
  <si>
    <r>
      <t xml:space="preserve">    </t>
    </r>
    <r>
      <rPr>
        <sz val="9"/>
        <color indexed="12"/>
        <rFont val="宋体"/>
        <charset val="134"/>
      </rPr>
      <t>户籍人口（公安）</t>
    </r>
  </si>
  <si>
    <t>万人</t>
  </si>
  <si>
    <r>
      <t xml:space="preserve">    </t>
    </r>
    <r>
      <rPr>
        <sz val="9"/>
        <rFont val="宋体"/>
        <charset val="134"/>
      </rPr>
      <t>常住人口（统计抽样调查）</t>
    </r>
  </si>
  <si>
    <r>
      <t xml:space="preserve">        # </t>
    </r>
    <r>
      <rPr>
        <sz val="9"/>
        <rFont val="宋体"/>
        <charset val="134"/>
      </rPr>
      <t>城镇人口</t>
    </r>
  </si>
  <si>
    <r>
      <t xml:space="preserve">    </t>
    </r>
    <r>
      <rPr>
        <sz val="9"/>
        <rFont val="宋体"/>
        <charset val="134"/>
      </rPr>
      <t>城镇化率（按常住人口计算）</t>
    </r>
  </si>
  <si>
    <t>%</t>
  </si>
  <si>
    <t>二、劳动力</t>
  </si>
  <si>
    <r>
      <t xml:space="preserve">   </t>
    </r>
    <r>
      <rPr>
        <sz val="9"/>
        <rFont val="宋体"/>
        <charset val="134"/>
      </rPr>
      <t>全社会从业人员</t>
    </r>
  </si>
  <si>
    <r>
      <t xml:space="preserve">      #</t>
    </r>
    <r>
      <rPr>
        <sz val="9"/>
        <rFont val="宋体"/>
        <charset val="134"/>
      </rPr>
      <t>在岗职工人数</t>
    </r>
  </si>
  <si>
    <r>
      <t>三、综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合</t>
    </r>
  </si>
  <si>
    <r>
      <t xml:space="preserve">    </t>
    </r>
    <r>
      <rPr>
        <sz val="9"/>
        <rFont val="宋体"/>
        <charset val="134"/>
      </rPr>
      <t>1.地区生产总值（按当年价计算）</t>
    </r>
  </si>
  <si>
    <t>亿元</t>
  </si>
  <si>
    <r>
      <t xml:space="preserve">            </t>
    </r>
    <r>
      <rPr>
        <sz val="9"/>
        <rFont val="宋体"/>
        <charset val="134"/>
      </rPr>
      <t>第一产业</t>
    </r>
  </si>
  <si>
    <r>
      <t xml:space="preserve">            </t>
    </r>
    <r>
      <rPr>
        <sz val="9"/>
        <rFont val="宋体"/>
        <charset val="134"/>
      </rPr>
      <t>第二产业</t>
    </r>
  </si>
  <si>
    <r>
      <t xml:space="preserve">               </t>
    </r>
    <r>
      <rPr>
        <sz val="9"/>
        <rFont val="宋体"/>
        <charset val="134"/>
      </rPr>
      <t>#工  业</t>
    </r>
  </si>
  <si>
    <r>
      <t xml:space="preserve">                 </t>
    </r>
    <r>
      <rPr>
        <sz val="9"/>
        <rFont val="宋体"/>
        <charset val="134"/>
      </rPr>
      <t>建筑业</t>
    </r>
  </si>
  <si>
    <r>
      <t xml:space="preserve">            </t>
    </r>
    <r>
      <rPr>
        <sz val="9"/>
        <rFont val="宋体"/>
        <charset val="134"/>
      </rPr>
      <t>第三产业</t>
    </r>
  </si>
  <si>
    <r>
      <t xml:space="preserve">    </t>
    </r>
    <r>
      <rPr>
        <sz val="9"/>
        <rFont val="宋体"/>
        <charset val="134"/>
      </rPr>
      <t>2.人均地区生产总值</t>
    </r>
  </si>
  <si>
    <t>元</t>
  </si>
  <si>
    <t>四、固定资产投资</t>
  </si>
  <si>
    <r>
      <t xml:space="preserve">     </t>
    </r>
    <r>
      <rPr>
        <sz val="9"/>
        <rFont val="宋体"/>
        <charset val="134"/>
      </rPr>
      <t>全社会固定资产投资额</t>
    </r>
  </si>
  <si>
    <r>
      <t xml:space="preserve">     1</t>
    </r>
    <r>
      <rPr>
        <sz val="9"/>
        <rFont val="宋体"/>
        <charset val="134"/>
      </rPr>
      <t>、按所有制分</t>
    </r>
  </si>
  <si>
    <r>
      <t xml:space="preserve">       </t>
    </r>
    <r>
      <rPr>
        <sz val="9"/>
        <rFont val="宋体"/>
        <charset val="134"/>
      </rPr>
      <t>国有经济</t>
    </r>
  </si>
  <si>
    <r>
      <t xml:space="preserve">       </t>
    </r>
    <r>
      <rPr>
        <sz val="9"/>
        <rFont val="宋体"/>
        <charset val="134"/>
      </rPr>
      <t>非国有经济</t>
    </r>
  </si>
  <si>
    <r>
      <t xml:space="preserve">      2</t>
    </r>
    <r>
      <rPr>
        <sz val="9"/>
        <rFont val="宋体"/>
        <charset val="134"/>
      </rPr>
      <t>、按产业分</t>
    </r>
  </si>
  <si>
    <r>
      <t xml:space="preserve">        </t>
    </r>
    <r>
      <rPr>
        <sz val="9"/>
        <rFont val="宋体"/>
        <charset val="134"/>
      </rPr>
      <t>第一产业</t>
    </r>
  </si>
  <si>
    <r>
      <t xml:space="preserve">        </t>
    </r>
    <r>
      <rPr>
        <sz val="9"/>
        <rFont val="宋体"/>
        <charset val="134"/>
      </rPr>
      <t>第二产业</t>
    </r>
  </si>
  <si>
    <r>
      <t xml:space="preserve">           </t>
    </r>
    <r>
      <rPr>
        <sz val="9"/>
        <rFont val="宋体"/>
        <charset val="134"/>
      </rPr>
      <t>工业</t>
    </r>
  </si>
  <si>
    <r>
      <t xml:space="preserve">       </t>
    </r>
    <r>
      <rPr>
        <sz val="9"/>
        <rFont val="宋体"/>
        <charset val="134"/>
      </rPr>
      <t>第三产业</t>
    </r>
  </si>
  <si>
    <r>
      <t>五、财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政</t>
    </r>
  </si>
  <si>
    <t xml:space="preserve">  公共财政预算收入</t>
  </si>
  <si>
    <r>
      <t xml:space="preserve">    </t>
    </r>
    <r>
      <rPr>
        <sz val="9"/>
        <rFont val="宋体"/>
        <charset val="134"/>
      </rPr>
      <t>公共财政预算支出</t>
    </r>
  </si>
  <si>
    <t>注：按照国家统计局新的产业划分标准，从2013年生产总值年报起原第一产业中的农牧渔服务业划入第三产业，第二产业（工业）中 采矿辅助活动、机械设备修理业等行业也划入第三产业</t>
  </si>
  <si>
    <r>
      <t>2-1</t>
    </r>
    <r>
      <rPr>
        <sz val="16"/>
        <rFont val="宋体"/>
        <charset val="134"/>
      </rPr>
      <t>续表</t>
    </r>
    <r>
      <rPr>
        <sz val="16"/>
        <rFont val="Times New Roman"/>
        <family val="1"/>
      </rPr>
      <t>1</t>
    </r>
  </si>
  <si>
    <t>六、在岗职工工资</t>
  </si>
  <si>
    <r>
      <t xml:space="preserve">       </t>
    </r>
    <r>
      <rPr>
        <sz val="9"/>
        <rFont val="宋体"/>
        <charset val="134"/>
      </rPr>
      <t>在岗职工工资总额</t>
    </r>
  </si>
  <si>
    <t>万元</t>
  </si>
  <si>
    <r>
      <t xml:space="preserve">       </t>
    </r>
    <r>
      <rPr>
        <sz val="9"/>
        <rFont val="宋体"/>
        <charset val="134"/>
      </rPr>
      <t>在岗职工平均工资</t>
    </r>
  </si>
  <si>
    <t>七、居民生活</t>
  </si>
  <si>
    <t xml:space="preserve">  老口径</t>
  </si>
  <si>
    <r>
      <t xml:space="preserve">    </t>
    </r>
    <r>
      <rPr>
        <sz val="9"/>
        <rFont val="宋体"/>
        <charset val="134"/>
      </rPr>
      <t>城镇常住居民人均可支配收入</t>
    </r>
  </si>
  <si>
    <t xml:space="preserve">  农村牧区常住居民人均可支配收入</t>
  </si>
  <si>
    <r>
      <t xml:space="preserve">           </t>
    </r>
    <r>
      <rPr>
        <sz val="9"/>
        <rFont val="宋体"/>
        <charset val="134"/>
      </rPr>
      <t>农</t>
    </r>
    <r>
      <rPr>
        <sz val="9"/>
        <rFont val="Times New Roman"/>
        <family val="1"/>
      </rPr>
      <t xml:space="preserve">     </t>
    </r>
    <r>
      <rPr>
        <sz val="9"/>
        <rFont val="宋体"/>
        <charset val="134"/>
      </rPr>
      <t>民</t>
    </r>
  </si>
  <si>
    <r>
      <t xml:space="preserve">           </t>
    </r>
    <r>
      <rPr>
        <sz val="9"/>
        <rFont val="宋体"/>
        <charset val="134"/>
      </rPr>
      <t>牧</t>
    </r>
    <r>
      <rPr>
        <sz val="9"/>
        <rFont val="Times New Roman"/>
        <family val="1"/>
      </rPr>
      <t xml:space="preserve">     </t>
    </r>
    <r>
      <rPr>
        <sz val="9"/>
        <rFont val="宋体"/>
        <charset val="134"/>
      </rPr>
      <t>民</t>
    </r>
  </si>
  <si>
    <r>
      <t xml:space="preserve">   </t>
    </r>
    <r>
      <rPr>
        <sz val="9"/>
        <rFont val="宋体"/>
        <charset val="134"/>
      </rPr>
      <t>新口径</t>
    </r>
  </si>
  <si>
    <r>
      <t xml:space="preserve">   </t>
    </r>
    <r>
      <rPr>
        <sz val="9"/>
        <rFont val="宋体"/>
        <charset val="134"/>
      </rPr>
      <t>全体居民人均可支配收入</t>
    </r>
  </si>
  <si>
    <r>
      <t xml:space="preserve">   </t>
    </r>
    <r>
      <rPr>
        <sz val="9"/>
        <rFont val="宋体"/>
        <charset val="134"/>
      </rPr>
      <t>城镇常住居民人均可支配收入</t>
    </r>
  </si>
  <si>
    <r>
      <t xml:space="preserve">   </t>
    </r>
    <r>
      <rPr>
        <sz val="9"/>
        <rFont val="宋体"/>
        <charset val="134"/>
      </rPr>
      <t>农村牧区常住居民人均可支配收入</t>
    </r>
  </si>
  <si>
    <r>
      <t xml:space="preserve">   </t>
    </r>
    <r>
      <rPr>
        <sz val="9"/>
        <rFont val="宋体"/>
        <charset val="134"/>
      </rPr>
      <t>城镇居民人均住房建筑面积</t>
    </r>
  </si>
  <si>
    <t>平方米</t>
  </si>
  <si>
    <r>
      <t xml:space="preserve">   </t>
    </r>
    <r>
      <rPr>
        <sz val="9"/>
        <rFont val="宋体"/>
        <charset val="134"/>
      </rPr>
      <t>农村牧区人均住房面积</t>
    </r>
  </si>
  <si>
    <t>八、能源生产与消费</t>
  </si>
  <si>
    <r>
      <t xml:space="preserve">    </t>
    </r>
    <r>
      <rPr>
        <sz val="9"/>
        <rFont val="宋体"/>
        <charset val="134"/>
      </rPr>
      <t>能源消费总量</t>
    </r>
  </si>
  <si>
    <t>万吨标准煤</t>
  </si>
  <si>
    <r>
      <t xml:space="preserve">    </t>
    </r>
    <r>
      <rPr>
        <sz val="9"/>
        <rFont val="宋体"/>
        <charset val="134"/>
      </rPr>
      <t>单位</t>
    </r>
    <r>
      <rPr>
        <sz val="9"/>
        <rFont val="Times New Roman"/>
        <family val="1"/>
      </rPr>
      <t>GDP</t>
    </r>
    <r>
      <rPr>
        <sz val="9"/>
        <rFont val="宋体"/>
        <charset val="134"/>
      </rPr>
      <t>能耗</t>
    </r>
  </si>
  <si>
    <t>吨标煤/万元</t>
  </si>
  <si>
    <r>
      <t>2-1</t>
    </r>
    <r>
      <rPr>
        <sz val="9"/>
        <rFont val="宋体"/>
        <charset val="134"/>
      </rPr>
      <t>续表</t>
    </r>
    <r>
      <rPr>
        <sz val="9"/>
        <rFont val="Times New Roman"/>
        <family val="1"/>
      </rPr>
      <t>2</t>
    </r>
  </si>
  <si>
    <r>
      <t>九、农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业</t>
    </r>
  </si>
  <si>
    <r>
      <t xml:space="preserve">    </t>
    </r>
    <r>
      <rPr>
        <sz val="9"/>
        <rFont val="宋体"/>
        <charset val="134"/>
      </rPr>
      <t>农业总产值（按当年价格计算）</t>
    </r>
  </si>
  <si>
    <r>
      <t xml:space="preserve">            </t>
    </r>
    <r>
      <rPr>
        <sz val="9"/>
        <rFont val="宋体"/>
        <charset val="134"/>
      </rPr>
      <t>农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业</t>
    </r>
  </si>
  <si>
    <r>
      <t xml:space="preserve">            </t>
    </r>
    <r>
      <rPr>
        <sz val="9"/>
        <rFont val="宋体"/>
        <charset val="134"/>
      </rPr>
      <t>林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业</t>
    </r>
  </si>
  <si>
    <r>
      <t xml:space="preserve">            </t>
    </r>
    <r>
      <rPr>
        <sz val="9"/>
        <rFont val="宋体"/>
        <charset val="134"/>
      </rPr>
      <t>牧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业</t>
    </r>
  </si>
  <si>
    <r>
      <t xml:space="preserve">            </t>
    </r>
    <r>
      <rPr>
        <sz val="9"/>
        <rFont val="宋体"/>
        <charset val="134"/>
      </rPr>
      <t>渔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业</t>
    </r>
  </si>
  <si>
    <r>
      <t xml:space="preserve">           </t>
    </r>
    <r>
      <rPr>
        <sz val="9"/>
        <rFont val="宋体"/>
        <charset val="134"/>
      </rPr>
      <t>农林牧渔服务业</t>
    </r>
  </si>
  <si>
    <r>
      <t xml:space="preserve">    </t>
    </r>
    <r>
      <rPr>
        <sz val="9"/>
        <rFont val="宋体"/>
        <charset val="134"/>
      </rPr>
      <t>主要农产品产量</t>
    </r>
  </si>
  <si>
    <r>
      <t xml:space="preserve">         </t>
    </r>
    <r>
      <rPr>
        <sz val="9"/>
        <rFont val="宋体"/>
        <charset val="134"/>
      </rPr>
      <t>粮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食</t>
    </r>
  </si>
  <si>
    <t>万吨</t>
  </si>
  <si>
    <r>
      <t xml:space="preserve">         </t>
    </r>
    <r>
      <rPr>
        <sz val="9"/>
        <rFont val="宋体"/>
        <charset val="134"/>
      </rPr>
      <t>油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料</t>
    </r>
  </si>
  <si>
    <r>
      <t xml:space="preserve">         </t>
    </r>
    <r>
      <rPr>
        <sz val="9"/>
        <rFont val="宋体"/>
        <charset val="134"/>
      </rPr>
      <t>蔬菜瓜类</t>
    </r>
  </si>
  <si>
    <r>
      <t xml:space="preserve">        </t>
    </r>
    <r>
      <rPr>
        <sz val="9"/>
        <rFont val="宋体"/>
        <charset val="134"/>
      </rPr>
      <t>肉类总产量</t>
    </r>
  </si>
  <si>
    <r>
      <t xml:space="preserve">          #</t>
    </r>
    <r>
      <rPr>
        <sz val="9"/>
        <rFont val="宋体"/>
        <charset val="134"/>
      </rPr>
      <t>牛</t>
    </r>
    <r>
      <rPr>
        <sz val="9"/>
        <rFont val="Times New Roman"/>
        <family val="1"/>
      </rPr>
      <t xml:space="preserve">     </t>
    </r>
    <r>
      <rPr>
        <sz val="9"/>
        <rFont val="宋体"/>
        <charset val="134"/>
      </rPr>
      <t>肉</t>
    </r>
  </si>
  <si>
    <r>
      <t xml:space="preserve">            </t>
    </r>
    <r>
      <rPr>
        <sz val="9"/>
        <rFont val="宋体"/>
        <charset val="134"/>
      </rPr>
      <t>羊</t>
    </r>
    <r>
      <rPr>
        <sz val="9"/>
        <rFont val="Times New Roman"/>
        <family val="1"/>
      </rPr>
      <t xml:space="preserve">     </t>
    </r>
    <r>
      <rPr>
        <sz val="9"/>
        <rFont val="宋体"/>
        <charset val="134"/>
      </rPr>
      <t>肉</t>
    </r>
  </si>
  <si>
    <r>
      <t xml:space="preserve">   </t>
    </r>
    <r>
      <rPr>
        <sz val="9"/>
        <rFont val="宋体"/>
        <charset val="134"/>
      </rPr>
      <t>六月末牲畜头数</t>
    </r>
  </si>
  <si>
    <t>万头只</t>
  </si>
  <si>
    <r>
      <t xml:space="preserve">       </t>
    </r>
    <r>
      <rPr>
        <sz val="9"/>
        <rFont val="宋体"/>
        <charset val="134"/>
      </rPr>
      <t>大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畜</t>
    </r>
  </si>
  <si>
    <t>万头</t>
  </si>
  <si>
    <r>
      <t xml:space="preserve">          </t>
    </r>
    <r>
      <rPr>
        <sz val="9"/>
        <rFont val="宋体"/>
        <charset val="134"/>
      </rPr>
      <t>羊</t>
    </r>
  </si>
  <si>
    <t>万只</t>
  </si>
  <si>
    <r>
      <t xml:space="preserve">       </t>
    </r>
    <r>
      <rPr>
        <sz val="9"/>
        <rFont val="宋体"/>
        <charset val="134"/>
      </rPr>
      <t>生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猪</t>
    </r>
  </si>
  <si>
    <t>万口</t>
  </si>
  <si>
    <t xml:space="preserve"> 十二月末牲畜头数</t>
  </si>
  <si>
    <r>
      <t xml:space="preserve">        </t>
    </r>
    <r>
      <rPr>
        <sz val="9"/>
        <rFont val="宋体"/>
        <charset val="134"/>
      </rPr>
      <t>大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畜</t>
    </r>
  </si>
  <si>
    <r>
      <t xml:space="preserve">           </t>
    </r>
    <r>
      <rPr>
        <sz val="9"/>
        <rFont val="宋体"/>
        <charset val="134"/>
      </rPr>
      <t>羊</t>
    </r>
  </si>
  <si>
    <r>
      <t xml:space="preserve">        </t>
    </r>
    <r>
      <rPr>
        <sz val="9"/>
        <rFont val="宋体"/>
        <charset val="134"/>
      </rPr>
      <t>生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猪</t>
    </r>
  </si>
  <si>
    <r>
      <t>2-1</t>
    </r>
    <r>
      <rPr>
        <sz val="9"/>
        <rFont val="宋体"/>
        <charset val="134"/>
      </rPr>
      <t>续表</t>
    </r>
    <r>
      <rPr>
        <sz val="9"/>
        <rFont val="Times New Roman"/>
        <family val="1"/>
      </rPr>
      <t>3</t>
    </r>
  </si>
  <si>
    <r>
      <t>2</t>
    </r>
    <r>
      <rPr>
        <sz val="12"/>
        <rFont val="宋体"/>
        <charset val="134"/>
      </rPr>
      <t>016年</t>
    </r>
  </si>
  <si>
    <r>
      <t>十、工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业</t>
    </r>
  </si>
  <si>
    <r>
      <t xml:space="preserve">      </t>
    </r>
    <r>
      <rPr>
        <sz val="9"/>
        <rFont val="宋体"/>
        <charset val="134"/>
      </rPr>
      <t>工业总产值（按当年价格计算）</t>
    </r>
  </si>
  <si>
    <r>
      <t xml:space="preserve">                 </t>
    </r>
    <r>
      <rPr>
        <sz val="9"/>
        <rFont val="宋体"/>
        <charset val="134"/>
      </rPr>
      <t>规模以上工业</t>
    </r>
  </si>
  <si>
    <r>
      <t xml:space="preserve">                 </t>
    </r>
    <r>
      <rPr>
        <sz val="9"/>
        <rFont val="宋体"/>
        <charset val="134"/>
      </rPr>
      <t>规模以下工业</t>
    </r>
  </si>
  <si>
    <r>
      <t xml:space="preserve">     </t>
    </r>
    <r>
      <rPr>
        <sz val="9"/>
        <rFont val="宋体"/>
        <charset val="134"/>
      </rPr>
      <t>主要产品产量</t>
    </r>
  </si>
  <si>
    <r>
      <t xml:space="preserve">       </t>
    </r>
    <r>
      <rPr>
        <sz val="9"/>
        <rFont val="宋体"/>
        <charset val="134"/>
      </rPr>
      <t>原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煤</t>
    </r>
  </si>
  <si>
    <r>
      <t xml:space="preserve">       </t>
    </r>
    <r>
      <rPr>
        <sz val="9"/>
        <rFont val="宋体"/>
        <charset val="134"/>
      </rPr>
      <t>原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油</t>
    </r>
  </si>
  <si>
    <r>
      <t xml:space="preserve">       </t>
    </r>
    <r>
      <rPr>
        <sz val="9"/>
        <rFont val="宋体"/>
        <charset val="134"/>
      </rPr>
      <t>发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电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量</t>
    </r>
  </si>
  <si>
    <t>亿千瓦小时</t>
  </si>
  <si>
    <r>
      <t xml:space="preserve">       </t>
    </r>
    <r>
      <rPr>
        <sz val="9"/>
        <rFont val="宋体"/>
        <charset val="134"/>
      </rPr>
      <t>水</t>
    </r>
    <r>
      <rPr>
        <sz val="9"/>
        <rFont val="Times New Roman"/>
        <family val="1"/>
      </rPr>
      <t xml:space="preserve">       </t>
    </r>
    <r>
      <rPr>
        <sz val="9"/>
        <rFont val="宋体"/>
        <charset val="134"/>
      </rPr>
      <t>泥</t>
    </r>
  </si>
  <si>
    <r>
      <t xml:space="preserve">       </t>
    </r>
    <r>
      <rPr>
        <sz val="9"/>
        <rFont val="宋体"/>
        <charset val="134"/>
      </rPr>
      <t>花岗岩板材</t>
    </r>
  </si>
  <si>
    <t>万平方米</t>
  </si>
  <si>
    <r>
      <t xml:space="preserve">       </t>
    </r>
    <r>
      <rPr>
        <sz val="9"/>
        <rFont val="宋体"/>
        <charset val="134"/>
      </rPr>
      <t>鲜、冷藏肉</t>
    </r>
  </si>
  <si>
    <t>十一、交通运输</t>
  </si>
  <si>
    <t xml:space="preserve">  1、公路</t>
  </si>
  <si>
    <r>
      <t xml:space="preserve">                </t>
    </r>
    <r>
      <rPr>
        <sz val="9"/>
        <rFont val="宋体"/>
        <charset val="134"/>
      </rPr>
      <t>货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运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量</t>
    </r>
  </si>
  <si>
    <r>
      <t xml:space="preserve">                </t>
    </r>
    <r>
      <rPr>
        <sz val="9"/>
        <rFont val="宋体"/>
        <charset val="134"/>
      </rPr>
      <t>货物周转量</t>
    </r>
  </si>
  <si>
    <t>万吨公里</t>
  </si>
  <si>
    <r>
      <t xml:space="preserve">                </t>
    </r>
    <r>
      <rPr>
        <sz val="9"/>
        <rFont val="宋体"/>
        <charset val="134"/>
      </rPr>
      <t>营业性客运量</t>
    </r>
  </si>
  <si>
    <r>
      <t xml:space="preserve">                </t>
    </r>
    <r>
      <rPr>
        <sz val="9"/>
        <rFont val="宋体"/>
        <charset val="134"/>
      </rPr>
      <t>营业</t>
    </r>
    <r>
      <rPr>
        <sz val="9"/>
        <rFont val="宋体"/>
        <charset val="134"/>
      </rPr>
      <t>性旅客周转量</t>
    </r>
  </si>
  <si>
    <t>万人公里</t>
  </si>
  <si>
    <r>
      <t xml:space="preserve">    2</t>
    </r>
    <r>
      <rPr>
        <sz val="9"/>
        <rFont val="宋体"/>
        <charset val="134"/>
      </rPr>
      <t>、铁路</t>
    </r>
  </si>
  <si>
    <r>
      <t xml:space="preserve">                </t>
    </r>
    <r>
      <rPr>
        <sz val="9"/>
        <rFont val="宋体"/>
        <charset val="134"/>
      </rPr>
      <t>货运量</t>
    </r>
  </si>
  <si>
    <r>
      <t xml:space="preserve">                   #</t>
    </r>
    <r>
      <rPr>
        <sz val="9"/>
        <rFont val="宋体"/>
        <charset val="134"/>
      </rPr>
      <t>地方铁路</t>
    </r>
  </si>
  <si>
    <t xml:space="preserve">        客运量</t>
  </si>
  <si>
    <t>十二、邮政电信</t>
  </si>
  <si>
    <r>
      <t xml:space="preserve">                </t>
    </r>
    <r>
      <rPr>
        <sz val="9"/>
        <rFont val="宋体"/>
        <charset val="134"/>
      </rPr>
      <t>邮电业务总量（按</t>
    </r>
    <r>
      <rPr>
        <sz val="9"/>
        <rFont val="宋体"/>
        <charset val="134"/>
      </rPr>
      <t>不变价格计算）</t>
    </r>
  </si>
  <si>
    <t>注：1、2000年和2005年为原口径客运量、旅客周转量，2010年起口径调整。2、邮电业务总量2001-2010年为2000年不变价，2011年起为2010年不变价。</t>
  </si>
  <si>
    <r>
      <t>2-1</t>
    </r>
    <r>
      <rPr>
        <sz val="9"/>
        <rFont val="宋体"/>
        <charset val="134"/>
      </rPr>
      <t>续表</t>
    </r>
    <r>
      <rPr>
        <sz val="9"/>
        <rFont val="Times New Roman"/>
        <family val="1"/>
      </rPr>
      <t>4</t>
    </r>
  </si>
  <si>
    <t>十三、内外贸易</t>
  </si>
  <si>
    <r>
      <t xml:space="preserve">            1.</t>
    </r>
    <r>
      <rPr>
        <sz val="9"/>
        <rFont val="宋体"/>
        <charset val="134"/>
      </rPr>
      <t>社会消费品零售总额</t>
    </r>
  </si>
  <si>
    <r>
      <t xml:space="preserve">                   </t>
    </r>
    <r>
      <rPr>
        <sz val="9"/>
        <rFont val="宋体"/>
        <charset val="134"/>
      </rPr>
      <t>城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镇</t>
    </r>
  </si>
  <si>
    <r>
      <t xml:space="preserve">                   </t>
    </r>
    <r>
      <rPr>
        <sz val="9"/>
        <rFont val="宋体"/>
        <charset val="134"/>
      </rPr>
      <t>农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牧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区</t>
    </r>
  </si>
  <si>
    <r>
      <t xml:space="preserve">            2.</t>
    </r>
    <r>
      <rPr>
        <sz val="9"/>
        <rFont val="宋体"/>
        <charset val="134"/>
      </rPr>
      <t>外贸进出口总额</t>
    </r>
  </si>
  <si>
    <t>亿美元</t>
  </si>
  <si>
    <r>
      <t xml:space="preserve">                   </t>
    </r>
    <r>
      <rPr>
        <sz val="9"/>
        <rFont val="宋体"/>
        <charset val="134"/>
      </rPr>
      <t>出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口</t>
    </r>
  </si>
  <si>
    <r>
      <t xml:space="preserve">                   </t>
    </r>
    <r>
      <rPr>
        <sz val="9"/>
        <rFont val="宋体"/>
        <charset val="134"/>
      </rPr>
      <t>进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口</t>
    </r>
  </si>
  <si>
    <t>十四、金融、保险</t>
  </si>
  <si>
    <r>
      <t xml:space="preserve">            </t>
    </r>
    <r>
      <rPr>
        <sz val="9"/>
        <rFont val="宋体"/>
        <charset val="134"/>
      </rPr>
      <t>金融机构各项存款余额</t>
    </r>
  </si>
  <si>
    <r>
      <t xml:space="preserve">                 # </t>
    </r>
    <r>
      <rPr>
        <sz val="9"/>
        <rFont val="宋体"/>
        <charset val="134"/>
      </rPr>
      <t>居民储蓄存款余额</t>
    </r>
  </si>
  <si>
    <r>
      <t xml:space="preserve">            </t>
    </r>
    <r>
      <rPr>
        <sz val="9"/>
        <rFont val="宋体"/>
        <charset val="134"/>
      </rPr>
      <t>金融机构各项贷款余额</t>
    </r>
  </si>
  <si>
    <r>
      <t xml:space="preserve">            </t>
    </r>
    <r>
      <rPr>
        <sz val="9"/>
        <rFont val="宋体"/>
        <charset val="134"/>
      </rPr>
      <t>保险费收入</t>
    </r>
  </si>
  <si>
    <r>
      <t xml:space="preserve">             </t>
    </r>
    <r>
      <rPr>
        <sz val="9"/>
        <color indexed="8"/>
        <rFont val="宋体"/>
        <charset val="134"/>
      </rPr>
      <t>赔款及给付</t>
    </r>
  </si>
  <si>
    <t>十五、教育</t>
  </si>
  <si>
    <r>
      <t xml:space="preserve">            </t>
    </r>
    <r>
      <rPr>
        <sz val="9"/>
        <rFont val="宋体"/>
        <charset val="134"/>
      </rPr>
      <t>小学在校生数</t>
    </r>
  </si>
  <si>
    <t>人</t>
  </si>
  <si>
    <r>
      <t xml:space="preserve">            </t>
    </r>
    <r>
      <rPr>
        <sz val="9"/>
        <rFont val="宋体"/>
        <charset val="134"/>
      </rPr>
      <t>普通中学在校生数</t>
    </r>
  </si>
  <si>
    <r>
      <t xml:space="preserve">            </t>
    </r>
    <r>
      <rPr>
        <sz val="9"/>
        <color indexed="10"/>
        <rFont val="宋体"/>
        <charset val="134"/>
      </rPr>
      <t>年末普通高校在校生</t>
    </r>
  </si>
  <si>
    <t>十六、卫生</t>
  </si>
  <si>
    <r>
      <t xml:space="preserve">            </t>
    </r>
    <r>
      <rPr>
        <sz val="9"/>
        <rFont val="宋体"/>
        <charset val="134"/>
      </rPr>
      <t>卫生机构数</t>
    </r>
  </si>
  <si>
    <t>个</t>
  </si>
  <si>
    <r>
      <t xml:space="preserve">                 #</t>
    </r>
    <r>
      <rPr>
        <sz val="9"/>
        <rFont val="宋体"/>
        <charset val="134"/>
      </rPr>
      <t>医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院</t>
    </r>
  </si>
  <si>
    <r>
      <t xml:space="preserve">             </t>
    </r>
    <r>
      <rPr>
        <sz val="9"/>
        <rFont val="宋体"/>
        <charset val="134"/>
      </rPr>
      <t>床位数</t>
    </r>
  </si>
  <si>
    <t>张</t>
  </si>
  <si>
    <r>
      <t xml:space="preserve">            </t>
    </r>
    <r>
      <rPr>
        <sz val="9"/>
        <rFont val="宋体"/>
        <charset val="134"/>
      </rPr>
      <t>卫生技术人员数</t>
    </r>
  </si>
  <si>
    <r>
      <t xml:space="preserve">                   #</t>
    </r>
    <r>
      <rPr>
        <sz val="9"/>
        <rFont val="宋体"/>
        <charset val="134"/>
      </rPr>
      <t>执业</t>
    </r>
    <r>
      <rPr>
        <sz val="9"/>
        <rFont val="Times New Roman"/>
        <family val="1"/>
      </rPr>
      <t>(</t>
    </r>
    <r>
      <rPr>
        <sz val="9"/>
        <rFont val="宋体"/>
        <charset val="134"/>
      </rPr>
      <t>助理</t>
    </r>
    <r>
      <rPr>
        <sz val="9"/>
        <rFont val="Times New Roman"/>
        <family val="1"/>
      </rPr>
      <t>)</t>
    </r>
    <r>
      <rPr>
        <sz val="9"/>
        <rFont val="宋体"/>
        <charset val="134"/>
      </rPr>
      <t>医师</t>
    </r>
    <r>
      <rPr>
        <sz val="9"/>
        <rFont val="Times New Roman"/>
        <family val="1"/>
      </rPr>
      <t xml:space="preserve">       </t>
    </r>
  </si>
  <si>
    <r>
      <t xml:space="preserve">                     </t>
    </r>
    <r>
      <rPr>
        <sz val="9"/>
        <rFont val="宋体"/>
        <charset val="134"/>
      </rPr>
      <t>注册护士</t>
    </r>
  </si>
  <si>
    <t>注:卫生数据中，2010年起含社区卫生服务中心（站）、诊所、卫生所、医务室，2012年起含村卫生室。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</si>
</sst>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8" formatCode="0.00_ "/>
    <numFmt numFmtId="179" formatCode="0_ "/>
    <numFmt numFmtId="180" formatCode="0.0_ "/>
    <numFmt numFmtId="181" formatCode="0_);[Red]\(0\)"/>
    <numFmt numFmtId="182" formatCode="0.0000_ "/>
    <numFmt numFmtId="183" formatCode="0.00_);[Red]\(0.00\)"/>
  </numFmts>
  <fonts count="16" x14ac:knownFonts="1">
    <font>
      <sz val="12"/>
      <name val="宋体"/>
      <charset val="134"/>
    </font>
    <font>
      <sz val="16"/>
      <name val="宋体"/>
      <charset val="134"/>
    </font>
    <font>
      <sz val="9"/>
      <name val="Times New Roman"/>
      <family val="1"/>
    </font>
    <font>
      <sz val="16"/>
      <name val="Times New Roman"/>
      <family val="1"/>
    </font>
    <font>
      <sz val="9"/>
      <name val="宋体"/>
      <charset val="134"/>
    </font>
    <font>
      <sz val="9"/>
      <color indexed="0"/>
      <name val="Times New Roman"/>
      <family val="1"/>
    </font>
    <font>
      <sz val="9"/>
      <color indexed="0"/>
      <name val="宋体"/>
      <charset val="134"/>
    </font>
    <font>
      <sz val="9"/>
      <color indexed="12"/>
      <name val="Times New Roman"/>
      <family val="1"/>
    </font>
    <font>
      <sz val="9"/>
      <color indexed="8"/>
      <name val="宋体"/>
      <charset val="134"/>
    </font>
    <font>
      <sz val="9"/>
      <color indexed="10"/>
      <name val="宋体"/>
      <charset val="134"/>
    </font>
    <font>
      <sz val="9"/>
      <color indexed="12"/>
      <name val="宋体"/>
      <charset val="134"/>
    </font>
    <font>
      <sz val="12"/>
      <color theme="1"/>
      <name val="宋体"/>
      <charset val="134"/>
    </font>
    <font>
      <sz val="9"/>
      <color theme="1"/>
      <name val="Times New Roman"/>
      <family val="1"/>
    </font>
    <font>
      <sz val="9"/>
      <color theme="1"/>
      <name val="宋体"/>
      <charset val="134"/>
    </font>
    <font>
      <sz val="9"/>
      <color rgb="FFFF0000"/>
      <name val="Times New Roman"/>
      <family val="1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6">
    <xf numFmtId="0" fontId="0" fillId="0" borderId="0" xfId="0"/>
    <xf numFmtId="0" fontId="1" fillId="0" borderId="0" xfId="0" applyFont="1" applyFill="1"/>
    <xf numFmtId="0" fontId="11" fillId="0" borderId="0" xfId="0" applyFont="1" applyFill="1"/>
    <xf numFmtId="0" fontId="0" fillId="0" borderId="0" xfId="0" applyFill="1"/>
    <xf numFmtId="0" fontId="2" fillId="0" borderId="0" xfId="0" applyFont="1" applyFill="1" applyAlignment="1">
      <alignment horizontal="center" vertical="center"/>
    </xf>
    <xf numFmtId="58" fontId="2" fillId="0" borderId="1" xfId="0" applyNumberFormat="1" applyFont="1" applyFill="1" applyBorder="1" applyAlignment="1">
      <alignment horizontal="left"/>
    </xf>
    <xf numFmtId="58" fontId="3" fillId="0" borderId="1" xfId="0" applyNumberFormat="1" applyFont="1" applyFill="1" applyBorder="1" applyAlignment="1">
      <alignment horizontal="left"/>
    </xf>
    <xf numFmtId="0" fontId="1" fillId="0" borderId="2" xfId="0" applyFont="1" applyFill="1" applyBorder="1"/>
    <xf numFmtId="0" fontId="4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 vertical="center"/>
    </xf>
    <xf numFmtId="0" fontId="4" fillId="0" borderId="5" xfId="0" applyFont="1" applyFill="1" applyBorder="1"/>
    <xf numFmtId="0" fontId="4" fillId="0" borderId="6" xfId="0" applyFont="1" applyFill="1" applyBorder="1" applyAlignment="1">
      <alignment horizontal="center" vertical="center"/>
    </xf>
    <xf numFmtId="0" fontId="2" fillId="0" borderId="7" xfId="0" applyFont="1" applyFill="1" applyBorder="1"/>
    <xf numFmtId="0" fontId="4" fillId="0" borderId="8" xfId="0" applyFont="1" applyFill="1" applyBorder="1" applyAlignment="1">
      <alignment horizontal="center" vertical="center"/>
    </xf>
    <xf numFmtId="178" fontId="2" fillId="0" borderId="0" xfId="0" applyNumberFormat="1" applyFont="1" applyFill="1" applyAlignment="1">
      <alignment horizontal="center" vertical="center"/>
    </xf>
    <xf numFmtId="178" fontId="2" fillId="0" borderId="0" xfId="0" applyNumberFormat="1" applyFont="1" applyFill="1" applyBorder="1" applyAlignment="1">
      <alignment horizontal="center" vertical="center"/>
    </xf>
    <xf numFmtId="0" fontId="4" fillId="0" borderId="7" xfId="0" applyFont="1" applyFill="1" applyBorder="1"/>
    <xf numFmtId="0" fontId="12" fillId="0" borderId="7" xfId="0" applyFont="1" applyFill="1" applyBorder="1"/>
    <xf numFmtId="0" fontId="13" fillId="0" borderId="8" xfId="0" applyFont="1" applyFill="1" applyBorder="1" applyAlignment="1">
      <alignment horizontal="center" vertical="center"/>
    </xf>
    <xf numFmtId="178" fontId="12" fillId="0" borderId="0" xfId="0" applyNumberFormat="1" applyFont="1" applyFill="1" applyAlignment="1">
      <alignment horizontal="center" vertical="center"/>
    </xf>
    <xf numFmtId="178" fontId="12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179" fontId="2" fillId="0" borderId="0" xfId="0" applyNumberFormat="1" applyFont="1" applyFill="1" applyAlignment="1">
      <alignment horizontal="center" vertical="center"/>
    </xf>
    <xf numFmtId="0" fontId="14" fillId="0" borderId="7" xfId="0" applyFont="1" applyFill="1" applyBorder="1"/>
    <xf numFmtId="0" fontId="2" fillId="0" borderId="9" xfId="0" applyFont="1" applyFill="1" applyBorder="1"/>
    <xf numFmtId="0" fontId="4" fillId="0" borderId="10" xfId="0" applyFont="1" applyFill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0" xfId="0" applyFont="1" applyFill="1"/>
    <xf numFmtId="0" fontId="4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8" fontId="4" fillId="0" borderId="0" xfId="0" applyNumberFormat="1" applyFont="1" applyFill="1" applyAlignment="1">
      <alignment horizontal="center" vertical="center"/>
    </xf>
    <xf numFmtId="178" fontId="13" fillId="0" borderId="0" xfId="0" applyNumberFormat="1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3" fillId="0" borderId="0" xfId="0" applyFont="1" applyFill="1"/>
    <xf numFmtId="0" fontId="1" fillId="0" borderId="0" xfId="0" applyFont="1"/>
    <xf numFmtId="180" fontId="0" fillId="0" borderId="0" xfId="0" applyNumberFormat="1"/>
    <xf numFmtId="0" fontId="2" fillId="0" borderId="0" xfId="0" applyFont="1" applyAlignment="1">
      <alignment horizontal="center" vertical="center"/>
    </xf>
    <xf numFmtId="0" fontId="0" fillId="0" borderId="0" xfId="0" applyBorder="1"/>
    <xf numFmtId="58" fontId="3" fillId="0" borderId="0" xfId="0" applyNumberFormat="1" applyFont="1" applyBorder="1" applyAlignment="1">
      <alignment horizontal="left"/>
    </xf>
    <xf numFmtId="0" fontId="2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181" fontId="2" fillId="0" borderId="3" xfId="0" applyNumberFormat="1" applyFont="1" applyFill="1" applyBorder="1" applyAlignment="1">
      <alignment horizontal="center" vertical="center"/>
    </xf>
    <xf numFmtId="178" fontId="2" fillId="0" borderId="3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80" fontId="2" fillId="0" borderId="3" xfId="0" applyNumberFormat="1" applyFont="1" applyBorder="1" applyAlignment="1">
      <alignment horizontal="center" vertical="center"/>
    </xf>
    <xf numFmtId="179" fontId="2" fillId="0" borderId="3" xfId="0" applyNumberFormat="1" applyFont="1" applyBorder="1" applyAlignment="1">
      <alignment horizontal="center" vertical="center"/>
    </xf>
    <xf numFmtId="180" fontId="2" fillId="0" borderId="7" xfId="0" applyNumberFormat="1" applyFont="1" applyFill="1" applyBorder="1"/>
    <xf numFmtId="180" fontId="4" fillId="0" borderId="3" xfId="0" applyNumberFormat="1" applyFont="1" applyFill="1" applyBorder="1" applyAlignment="1">
      <alignment horizontal="center" vertical="center"/>
    </xf>
    <xf numFmtId="178" fontId="2" fillId="0" borderId="3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Border="1"/>
    <xf numFmtId="0" fontId="0" fillId="0" borderId="4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4" xfId="0" applyFill="1" applyBorder="1" applyAlignment="1">
      <alignment horizontal="center" vertical="center"/>
    </xf>
    <xf numFmtId="178" fontId="4" fillId="0" borderId="4" xfId="0" applyNumberFormat="1" applyFont="1" applyFill="1" applyBorder="1" applyAlignment="1">
      <alignment horizontal="center" vertical="center"/>
    </xf>
    <xf numFmtId="0" fontId="4" fillId="0" borderId="0" xfId="0" applyFont="1" applyFill="1" applyBorder="1"/>
    <xf numFmtId="178" fontId="4" fillId="0" borderId="4" xfId="0" applyNumberFormat="1" applyFont="1" applyBorder="1" applyAlignment="1">
      <alignment horizontal="center" vertical="center"/>
    </xf>
    <xf numFmtId="0" fontId="4" fillId="0" borderId="0" xfId="0" applyFont="1" applyBorder="1"/>
    <xf numFmtId="0" fontId="4" fillId="0" borderId="0" xfId="0" applyFont="1"/>
    <xf numFmtId="180" fontId="4" fillId="0" borderId="0" xfId="0" applyNumberFormat="1" applyFont="1" applyBorder="1"/>
    <xf numFmtId="180" fontId="4" fillId="0" borderId="0" xfId="0" applyNumberFormat="1" applyFont="1"/>
    <xf numFmtId="0" fontId="4" fillId="0" borderId="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78" fontId="0" fillId="0" borderId="0" xfId="0" applyNumberFormat="1"/>
    <xf numFmtId="58" fontId="2" fillId="0" borderId="1" xfId="0" applyNumberFormat="1" applyFont="1" applyBorder="1" applyAlignment="1">
      <alignment horizontal="left"/>
    </xf>
    <xf numFmtId="58" fontId="3" fillId="0" borderId="1" xfId="0" applyNumberFormat="1" applyFont="1" applyBorder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1" fillId="3" borderId="2" xfId="0" applyFont="1" applyFill="1" applyBorder="1"/>
    <xf numFmtId="0" fontId="4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4" fillId="3" borderId="7" xfId="0" applyFont="1" applyFill="1" applyBorder="1"/>
    <xf numFmtId="0" fontId="4" fillId="3" borderId="0" xfId="0" applyFont="1" applyFill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0" fontId="2" fillId="3" borderId="7" xfId="0" applyFont="1" applyFill="1" applyBorder="1"/>
    <xf numFmtId="179" fontId="5" fillId="0" borderId="0" xfId="0" applyNumberFormat="1" applyFont="1" applyFill="1" applyBorder="1" applyAlignment="1" applyProtection="1">
      <alignment horizontal="center" vertical="center"/>
      <protection locked="0"/>
    </xf>
    <xf numFmtId="0" fontId="2" fillId="3" borderId="9" xfId="0" applyFont="1" applyFill="1" applyBorder="1"/>
    <xf numFmtId="0" fontId="4" fillId="3" borderId="10" xfId="0" applyFont="1" applyFill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178" fontId="2" fillId="3" borderId="7" xfId="0" applyNumberFormat="1" applyFont="1" applyFill="1" applyBorder="1"/>
    <xf numFmtId="178" fontId="4" fillId="3" borderId="8" xfId="0" applyNumberFormat="1" applyFont="1" applyFill="1" applyBorder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8" fontId="2" fillId="0" borderId="0" xfId="0" applyNumberFormat="1" applyFont="1" applyBorder="1" applyAlignment="1">
      <alignment horizontal="center" vertical="center"/>
    </xf>
    <xf numFmtId="178" fontId="4" fillId="3" borderId="7" xfId="0" applyNumberFormat="1" applyFont="1" applyFill="1" applyBorder="1"/>
    <xf numFmtId="0" fontId="0" fillId="0" borderId="0" xfId="0" applyFont="1" applyFill="1" applyAlignment="1">
      <alignment horizontal="center" vertical="center"/>
    </xf>
    <xf numFmtId="179" fontId="4" fillId="0" borderId="0" xfId="0" applyNumberFormat="1" applyFont="1" applyBorder="1" applyAlignment="1">
      <alignment horizontal="right" vertical="center"/>
    </xf>
    <xf numFmtId="179" fontId="4" fillId="0" borderId="0" xfId="0" applyNumberFormat="1" applyFont="1" applyBorder="1"/>
    <xf numFmtId="179" fontId="4" fillId="0" borderId="0" xfId="0" applyNumberFormat="1" applyFont="1" applyFill="1" applyBorder="1"/>
    <xf numFmtId="178" fontId="4" fillId="0" borderId="0" xfId="0" applyNumberFormat="1" applyFont="1" applyBorder="1"/>
    <xf numFmtId="178" fontId="4" fillId="0" borderId="0" xfId="0" applyNumberFormat="1" applyFont="1" applyBorder="1" applyAlignment="1">
      <alignment horizontal="right" vertical="center"/>
    </xf>
    <xf numFmtId="178" fontId="4" fillId="0" borderId="0" xfId="0" applyNumberFormat="1" applyFont="1" applyFill="1" applyBorder="1"/>
    <xf numFmtId="178" fontId="4" fillId="0" borderId="0" xfId="0" applyNumberFormat="1" applyFont="1"/>
    <xf numFmtId="178" fontId="4" fillId="0" borderId="0" xfId="0" applyNumberFormat="1" applyFont="1" applyFill="1" applyBorder="1" applyAlignment="1">
      <alignment horizontal="right" vertical="center"/>
    </xf>
    <xf numFmtId="178" fontId="0" fillId="0" borderId="0" xfId="0" applyNumberFormat="1" applyBorder="1"/>
    <xf numFmtId="178" fontId="4" fillId="0" borderId="0" xfId="0" applyNumberFormat="1" applyFont="1" applyAlignment="1">
      <alignment horizontal="right" vertical="center"/>
    </xf>
    <xf numFmtId="182" fontId="0" fillId="0" borderId="0" xfId="0" applyNumberFormat="1"/>
    <xf numFmtId="58" fontId="3" fillId="0" borderId="0" xfId="0" applyNumberFormat="1" applyFont="1"/>
    <xf numFmtId="180" fontId="2" fillId="0" borderId="0" xfId="0" applyNumberFormat="1" applyFont="1" applyAlignment="1">
      <alignment horizontal="center" vertical="center"/>
    </xf>
    <xf numFmtId="179" fontId="2" fillId="0" borderId="0" xfId="0" applyNumberFormat="1" applyFont="1" applyFill="1" applyBorder="1" applyAlignment="1">
      <alignment horizontal="center" vertical="center"/>
    </xf>
    <xf numFmtId="180" fontId="2" fillId="0" borderId="0" xfId="0" applyNumberFormat="1" applyFont="1" applyFill="1" applyBorder="1" applyAlignment="1">
      <alignment horizontal="center" vertical="center"/>
    </xf>
    <xf numFmtId="178" fontId="4" fillId="3" borderId="0" xfId="0" applyNumberFormat="1" applyFont="1" applyFill="1" applyAlignment="1">
      <alignment horizontal="center" vertical="center"/>
    </xf>
    <xf numFmtId="182" fontId="2" fillId="3" borderId="7" xfId="0" applyNumberFormat="1" applyFont="1" applyFill="1" applyBorder="1"/>
    <xf numFmtId="182" fontId="4" fillId="3" borderId="0" xfId="0" applyNumberFormat="1" applyFont="1" applyFill="1" applyAlignment="1">
      <alignment horizontal="center" vertical="center"/>
    </xf>
    <xf numFmtId="182" fontId="2" fillId="0" borderId="0" xfId="0" applyNumberFormat="1" applyFont="1" applyFill="1" applyBorder="1" applyAlignment="1">
      <alignment horizontal="center" vertical="center"/>
    </xf>
    <xf numFmtId="182" fontId="2" fillId="0" borderId="0" xfId="0" applyNumberFormat="1" applyFont="1" applyAlignment="1">
      <alignment horizontal="center" vertical="center"/>
    </xf>
    <xf numFmtId="182" fontId="2" fillId="0" borderId="0" xfId="0" applyNumberFormat="1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2" fillId="0" borderId="0" xfId="0" applyFont="1" applyFill="1" applyBorder="1"/>
    <xf numFmtId="182" fontId="4" fillId="0" borderId="0" xfId="0" applyNumberFormat="1" applyFont="1"/>
    <xf numFmtId="2" fontId="6" fillId="0" borderId="0" xfId="0" applyNumberFormat="1" applyFont="1" applyFill="1" applyBorder="1" applyProtection="1">
      <protection locked="0"/>
    </xf>
    <xf numFmtId="178" fontId="0" fillId="0" borderId="0" xfId="0" applyNumberFormat="1" applyAlignment="1">
      <alignment horizontal="right"/>
    </xf>
    <xf numFmtId="0" fontId="2" fillId="0" borderId="0" xfId="0" applyFont="1" applyAlignment="1">
      <alignment horizontal="center"/>
    </xf>
    <xf numFmtId="178" fontId="2" fillId="0" borderId="0" xfId="0" applyNumberFormat="1" applyFont="1" applyFill="1" applyAlignment="1">
      <alignment horizontal="center"/>
    </xf>
    <xf numFmtId="183" fontId="0" fillId="0" borderId="0" xfId="0" applyNumberFormat="1" applyAlignment="1">
      <alignment horizontal="center" vertical="center"/>
    </xf>
    <xf numFmtId="0" fontId="4" fillId="3" borderId="3" xfId="0" applyFont="1" applyFill="1" applyBorder="1"/>
    <xf numFmtId="0" fontId="4" fillId="3" borderId="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7" fillId="3" borderId="7" xfId="0" applyFont="1" applyFill="1" applyBorder="1"/>
    <xf numFmtId="178" fontId="4" fillId="3" borderId="12" xfId="0" applyNumberFormat="1" applyFont="1" applyFill="1" applyBorder="1" applyAlignment="1">
      <alignment horizontal="center" vertical="center"/>
    </xf>
    <xf numFmtId="178" fontId="2" fillId="3" borderId="7" xfId="0" applyNumberFormat="1" applyFont="1" applyFill="1" applyBorder="1" applyAlignment="1">
      <alignment horizontal="center"/>
    </xf>
    <xf numFmtId="179" fontId="2" fillId="0" borderId="0" xfId="0" applyNumberFormat="1" applyFont="1" applyFill="1" applyAlignment="1">
      <alignment horizontal="center"/>
    </xf>
    <xf numFmtId="178" fontId="2" fillId="0" borderId="1" xfId="0" applyNumberFormat="1" applyFont="1" applyFill="1" applyBorder="1" applyAlignment="1">
      <alignment horizontal="center" vertical="center"/>
    </xf>
    <xf numFmtId="183" fontId="1" fillId="0" borderId="0" xfId="0" applyNumberFormat="1" applyFont="1" applyAlignment="1">
      <alignment horizontal="center" vertical="center"/>
    </xf>
    <xf numFmtId="183" fontId="0" fillId="0" borderId="0" xfId="0" applyNumberFormat="1" applyFill="1" applyAlignment="1">
      <alignment horizontal="center" vertical="center"/>
    </xf>
    <xf numFmtId="183" fontId="4" fillId="0" borderId="0" xfId="0" applyNumberFormat="1" applyFont="1" applyAlignment="1">
      <alignment horizontal="center" vertical="center"/>
    </xf>
    <xf numFmtId="183" fontId="4" fillId="0" borderId="0" xfId="0" applyNumberFormat="1" applyFont="1" applyBorder="1" applyAlignment="1">
      <alignment horizontal="center" vertical="center"/>
    </xf>
    <xf numFmtId="181" fontId="4" fillId="0" borderId="0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4" fillId="2" borderId="0" xfId="0" applyFont="1" applyFill="1" applyBorder="1" applyAlignment="1">
      <alignment horizontal="left" wrapText="1"/>
    </xf>
    <xf numFmtId="58" fontId="3" fillId="0" borderId="0" xfId="0" applyNumberFormat="1" applyFont="1" applyBorder="1" applyAlignment="1">
      <alignment horizontal="left"/>
    </xf>
    <xf numFmtId="0" fontId="4" fillId="0" borderId="11" xfId="0" applyFont="1" applyBorder="1" applyAlignment="1">
      <alignment horizontal="left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58" fontId="3" fillId="0" borderId="0" xfId="0" applyNumberFormat="1" applyFont="1" applyFill="1" applyBorder="1" applyAlignment="1">
      <alignment horizontal="left"/>
    </xf>
    <xf numFmtId="0" fontId="4" fillId="0" borderId="0" xfId="0" applyFont="1" applyFill="1" applyAlignment="1">
      <alignment horizontal="left"/>
    </xf>
    <xf numFmtId="0" fontId="2" fillId="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opLeftCell="A13" workbookViewId="0">
      <selection activeCell="E27" sqref="E27"/>
    </sheetView>
  </sheetViews>
  <sheetFormatPr defaultColWidth="9" defaultRowHeight="15" x14ac:dyDescent="0.3"/>
  <cols>
    <col min="1" max="1" width="24.5" customWidth="1"/>
    <col min="2" max="2" width="6.7109375" customWidth="1"/>
    <col min="3" max="5" width="7.2109375" style="114" customWidth="1"/>
    <col min="6" max="6" width="9.640625" style="115" bestFit="1" customWidth="1"/>
    <col min="7" max="8" width="9" style="114"/>
    <col min="9" max="9" width="9" style="116"/>
    <col min="11" max="12" width="10.140625" bestFit="1" customWidth="1"/>
  </cols>
  <sheetData>
    <row r="1" spans="1:12" s="35" customFormat="1" ht="35.15" customHeight="1" x14ac:dyDescent="0.5">
      <c r="A1" s="130" t="s">
        <v>0</v>
      </c>
      <c r="B1" s="131"/>
      <c r="C1" s="132"/>
      <c r="D1" s="132"/>
      <c r="E1" s="132"/>
      <c r="F1" s="115"/>
      <c r="G1" s="114"/>
      <c r="H1" s="114"/>
      <c r="I1" s="125"/>
    </row>
    <row r="2" spans="1:12" x14ac:dyDescent="0.3">
      <c r="A2" s="117"/>
      <c r="B2" s="118" t="s">
        <v>1</v>
      </c>
      <c r="C2" s="71" t="s">
        <v>2</v>
      </c>
      <c r="D2" s="71" t="s">
        <v>3</v>
      </c>
      <c r="E2" s="71" t="s">
        <v>4</v>
      </c>
      <c r="F2" s="14" t="s">
        <v>5</v>
      </c>
      <c r="G2" s="37" t="s">
        <v>6</v>
      </c>
      <c r="H2" s="37" t="s">
        <v>7</v>
      </c>
      <c r="I2" s="126" t="s">
        <v>8</v>
      </c>
    </row>
    <row r="3" spans="1:12" x14ac:dyDescent="0.3">
      <c r="A3" s="73" t="s">
        <v>9</v>
      </c>
      <c r="B3" s="119"/>
      <c r="C3" s="37"/>
      <c r="D3" s="37"/>
      <c r="F3" s="14"/>
      <c r="G3" s="37"/>
      <c r="H3" s="37"/>
      <c r="I3" s="127"/>
      <c r="J3" s="60"/>
      <c r="K3" s="60"/>
      <c r="L3" s="60"/>
    </row>
    <row r="4" spans="1:12" x14ac:dyDescent="0.3">
      <c r="A4" s="120" t="s">
        <v>10</v>
      </c>
      <c r="B4" s="119" t="s">
        <v>11</v>
      </c>
      <c r="C4" s="15">
        <v>90.95</v>
      </c>
      <c r="D4" s="15">
        <v>94.32</v>
      </c>
      <c r="E4" s="15">
        <v>100.26</v>
      </c>
      <c r="F4" s="14">
        <v>102.74</v>
      </c>
      <c r="G4" s="37">
        <v>103.29</v>
      </c>
      <c r="H4" s="37">
        <v>103.04</v>
      </c>
      <c r="I4" s="127">
        <v>103.63</v>
      </c>
      <c r="J4" s="60"/>
      <c r="K4" s="60"/>
      <c r="L4" s="60"/>
    </row>
    <row r="5" spans="1:12" x14ac:dyDescent="0.3">
      <c r="A5" s="76" t="s">
        <v>12</v>
      </c>
      <c r="B5" s="119" t="s">
        <v>11</v>
      </c>
      <c r="C5" s="15">
        <v>97.52</v>
      </c>
      <c r="D5" s="15">
        <v>100.21</v>
      </c>
      <c r="E5" s="15">
        <v>102.86</v>
      </c>
      <c r="F5" s="14">
        <v>103.89</v>
      </c>
      <c r="G5" s="37">
        <v>104.04</v>
      </c>
      <c r="H5" s="37">
        <v>104.26</v>
      </c>
      <c r="I5" s="127">
        <v>104.69</v>
      </c>
      <c r="J5" s="60"/>
      <c r="K5" s="60"/>
      <c r="L5" s="60"/>
    </row>
    <row r="6" spans="1:12" x14ac:dyDescent="0.3">
      <c r="A6" s="76" t="s">
        <v>13</v>
      </c>
      <c r="B6" s="119" t="s">
        <v>11</v>
      </c>
      <c r="C6" s="15">
        <v>39.11</v>
      </c>
      <c r="D6" s="15">
        <v>51.15</v>
      </c>
      <c r="E6" s="15">
        <v>62.85</v>
      </c>
      <c r="F6" s="14">
        <v>65.11</v>
      </c>
      <c r="G6" s="37">
        <v>65.819999999999993</v>
      </c>
      <c r="H6" s="37">
        <v>66.59</v>
      </c>
      <c r="I6" s="127">
        <v>67.569999999999993</v>
      </c>
      <c r="J6" s="60"/>
      <c r="K6" s="60"/>
      <c r="L6" s="60"/>
    </row>
    <row r="7" spans="1:12" s="65" customFormat="1" x14ac:dyDescent="0.3">
      <c r="A7" s="82" t="s">
        <v>14</v>
      </c>
      <c r="B7" s="121" t="s">
        <v>15</v>
      </c>
      <c r="C7" s="84">
        <v>40.1</v>
      </c>
      <c r="D7" s="84">
        <v>51.04</v>
      </c>
      <c r="E7" s="84">
        <f>E6*100/E5</f>
        <v>61.102469375850674</v>
      </c>
      <c r="F7" s="14">
        <v>62.67</v>
      </c>
      <c r="G7" s="84">
        <v>63.3</v>
      </c>
      <c r="H7" s="84">
        <v>63.87</v>
      </c>
      <c r="I7" s="127">
        <v>64.540000000000006</v>
      </c>
      <c r="J7" s="94"/>
      <c r="K7" s="94"/>
      <c r="L7" s="94"/>
    </row>
    <row r="8" spans="1:12" x14ac:dyDescent="0.3">
      <c r="A8" s="73" t="s">
        <v>16</v>
      </c>
      <c r="B8" s="119"/>
      <c r="F8" s="14"/>
      <c r="G8" s="37"/>
      <c r="H8" s="37"/>
      <c r="I8" s="127"/>
      <c r="J8" s="60"/>
      <c r="K8" s="60"/>
      <c r="L8" s="60"/>
    </row>
    <row r="9" spans="1:12" x14ac:dyDescent="0.3">
      <c r="A9" s="76" t="s">
        <v>17</v>
      </c>
      <c r="B9" s="119" t="s">
        <v>11</v>
      </c>
      <c r="C9" s="15">
        <v>42.91</v>
      </c>
      <c r="D9" s="15">
        <v>45.53</v>
      </c>
      <c r="E9" s="15">
        <v>50.55</v>
      </c>
      <c r="F9" s="14">
        <v>56.95</v>
      </c>
      <c r="G9" s="37">
        <v>58.93</v>
      </c>
      <c r="H9" s="4">
        <v>60.02</v>
      </c>
      <c r="I9" s="127">
        <v>61.73</v>
      </c>
      <c r="J9" s="60"/>
      <c r="K9" s="60"/>
      <c r="L9" s="60"/>
    </row>
    <row r="10" spans="1:12" x14ac:dyDescent="0.3">
      <c r="A10" s="76" t="s">
        <v>18</v>
      </c>
      <c r="B10" s="119" t="s">
        <v>11</v>
      </c>
      <c r="C10" s="15">
        <v>10.210000000000001</v>
      </c>
      <c r="D10" s="84">
        <v>9.66</v>
      </c>
      <c r="E10" s="84">
        <v>11.56</v>
      </c>
      <c r="F10" s="14">
        <v>12.71</v>
      </c>
      <c r="G10" s="37">
        <v>13.39</v>
      </c>
      <c r="H10" s="4">
        <v>13.47</v>
      </c>
      <c r="I10" s="127">
        <v>13.6</v>
      </c>
      <c r="J10" s="60"/>
      <c r="K10" s="60"/>
      <c r="L10" s="60"/>
    </row>
    <row r="11" spans="1:12" x14ac:dyDescent="0.3">
      <c r="A11" s="73" t="s">
        <v>19</v>
      </c>
      <c r="B11" s="119"/>
      <c r="C11" s="68"/>
      <c r="D11" s="75"/>
      <c r="E11" s="75"/>
      <c r="F11" s="15"/>
      <c r="G11" s="68"/>
      <c r="H11" s="68"/>
      <c r="I11" s="128"/>
      <c r="J11" s="59"/>
      <c r="K11" s="59"/>
      <c r="L11" s="60"/>
    </row>
    <row r="12" spans="1:12" s="113" customFormat="1" x14ac:dyDescent="0.3">
      <c r="A12" s="122" t="s">
        <v>20</v>
      </c>
      <c r="B12" s="121" t="s">
        <v>21</v>
      </c>
      <c r="C12" s="15">
        <v>68.680000000000007</v>
      </c>
      <c r="D12" s="14">
        <v>166.13</v>
      </c>
      <c r="E12" s="14">
        <v>591.25</v>
      </c>
      <c r="F12" s="15">
        <v>902.4</v>
      </c>
      <c r="G12" s="85">
        <v>940.58</v>
      </c>
      <c r="H12" s="85">
        <v>1002.6</v>
      </c>
      <c r="I12" s="128">
        <v>1045.51</v>
      </c>
      <c r="J12" s="92"/>
      <c r="K12" s="92"/>
      <c r="L12" s="92"/>
    </row>
    <row r="13" spans="1:12" s="113" customFormat="1" x14ac:dyDescent="0.3">
      <c r="A13" s="122" t="s">
        <v>22</v>
      </c>
      <c r="B13" s="121" t="s">
        <v>21</v>
      </c>
      <c r="C13" s="15">
        <v>23.97</v>
      </c>
      <c r="D13" s="14">
        <v>30.33</v>
      </c>
      <c r="E13" s="14">
        <v>59.600272463768583</v>
      </c>
      <c r="F13" s="14">
        <v>91.5</v>
      </c>
      <c r="G13" s="84">
        <v>98.49</v>
      </c>
      <c r="H13" s="84">
        <v>105.5</v>
      </c>
      <c r="I13" s="128">
        <v>115.3</v>
      </c>
      <c r="J13" s="92"/>
      <c r="K13" s="92"/>
      <c r="L13" s="92"/>
    </row>
    <row r="14" spans="1:12" s="113" customFormat="1" x14ac:dyDescent="0.3">
      <c r="A14" s="122" t="s">
        <v>23</v>
      </c>
      <c r="B14" s="121" t="s">
        <v>21</v>
      </c>
      <c r="C14" s="15">
        <v>23.72</v>
      </c>
      <c r="D14" s="14">
        <v>82.01</v>
      </c>
      <c r="E14" s="14">
        <v>398.86520000143668</v>
      </c>
      <c r="F14" s="14">
        <v>575.05999999999995</v>
      </c>
      <c r="G14" s="84">
        <v>589.52</v>
      </c>
      <c r="H14" s="84">
        <v>613.72</v>
      </c>
      <c r="I14" s="128">
        <v>613.71</v>
      </c>
      <c r="J14" s="92"/>
      <c r="K14" s="92"/>
      <c r="L14" s="92"/>
    </row>
    <row r="15" spans="1:12" s="113" customFormat="1" x14ac:dyDescent="0.3">
      <c r="A15" s="122" t="s">
        <v>24</v>
      </c>
      <c r="B15" s="121" t="s">
        <v>21</v>
      </c>
      <c r="C15" s="15">
        <v>19.329999999999998</v>
      </c>
      <c r="D15" s="14">
        <v>62.88</v>
      </c>
      <c r="E15" s="14">
        <v>343.21030000000002</v>
      </c>
      <c r="F15" s="14">
        <v>511.01</v>
      </c>
      <c r="G15" s="84">
        <v>522.39</v>
      </c>
      <c r="H15" s="84">
        <v>544.04999999999995</v>
      </c>
      <c r="I15" s="128">
        <v>540.77</v>
      </c>
      <c r="J15" s="92"/>
      <c r="K15" s="92"/>
      <c r="L15" s="92"/>
    </row>
    <row r="16" spans="1:12" s="113" customFormat="1" x14ac:dyDescent="0.3">
      <c r="A16" s="122" t="s">
        <v>25</v>
      </c>
      <c r="B16" s="121" t="s">
        <v>21</v>
      </c>
      <c r="C16" s="15">
        <v>4.3899999999999997</v>
      </c>
      <c r="D16" s="14">
        <v>19.12</v>
      </c>
      <c r="E16" s="14">
        <v>55.65490000143668</v>
      </c>
      <c r="F16" s="14">
        <v>64.05</v>
      </c>
      <c r="G16" s="84">
        <v>67.12</v>
      </c>
      <c r="H16" s="84">
        <v>69.67</v>
      </c>
      <c r="I16" s="128">
        <v>72.94</v>
      </c>
      <c r="J16" s="92"/>
      <c r="K16" s="92"/>
      <c r="L16" s="92"/>
    </row>
    <row r="17" spans="1:12" s="113" customFormat="1" x14ac:dyDescent="0.3">
      <c r="A17" s="122" t="s">
        <v>26</v>
      </c>
      <c r="B17" s="121" t="s">
        <v>21</v>
      </c>
      <c r="C17" s="15">
        <v>20.99</v>
      </c>
      <c r="D17" s="14">
        <v>23.79</v>
      </c>
      <c r="E17" s="14">
        <v>132.78450039048568</v>
      </c>
      <c r="F17" s="115">
        <v>235.85</v>
      </c>
      <c r="G17" s="84">
        <v>252.58</v>
      </c>
      <c r="H17" s="84">
        <v>283.38</v>
      </c>
      <c r="I17" s="128">
        <v>316.5</v>
      </c>
      <c r="J17" s="92"/>
      <c r="K17" s="92"/>
      <c r="L17" s="92"/>
    </row>
    <row r="18" spans="1:12" x14ac:dyDescent="0.3">
      <c r="A18" s="76" t="s">
        <v>27</v>
      </c>
      <c r="B18" s="119" t="s">
        <v>28</v>
      </c>
      <c r="C18" s="68">
        <v>7433</v>
      </c>
      <c r="D18" s="75">
        <v>17093</v>
      </c>
      <c r="E18" s="123">
        <v>57070</v>
      </c>
      <c r="F18" s="123">
        <v>86781</v>
      </c>
      <c r="G18" s="37">
        <v>90471</v>
      </c>
      <c r="H18" s="37">
        <v>96265</v>
      </c>
      <c r="I18" s="129">
        <v>100073</v>
      </c>
      <c r="J18" s="63"/>
      <c r="K18" s="63"/>
      <c r="L18" s="63"/>
    </row>
    <row r="19" spans="1:12" x14ac:dyDescent="0.3">
      <c r="A19" s="73" t="s">
        <v>29</v>
      </c>
      <c r="B19" s="119"/>
      <c r="G19" s="37"/>
      <c r="H19" s="37"/>
      <c r="I19" s="127"/>
      <c r="J19" s="60"/>
      <c r="K19" s="60"/>
      <c r="L19" s="60"/>
    </row>
    <row r="20" spans="1:12" x14ac:dyDescent="0.3">
      <c r="A20" s="76" t="s">
        <v>30</v>
      </c>
      <c r="B20" s="119" t="s">
        <v>21</v>
      </c>
      <c r="C20" s="115">
        <v>18.420000000000002</v>
      </c>
      <c r="D20" s="115">
        <v>166.48</v>
      </c>
      <c r="E20" s="15">
        <v>647.52200000000005</v>
      </c>
      <c r="F20" s="14">
        <v>728.49</v>
      </c>
      <c r="G20" s="37">
        <v>842.98</v>
      </c>
      <c r="H20" s="37">
        <v>625.71</v>
      </c>
      <c r="I20" s="127">
        <v>718.41</v>
      </c>
      <c r="J20" s="50"/>
      <c r="K20" s="60"/>
      <c r="L20" s="60"/>
    </row>
    <row r="21" spans="1:12" x14ac:dyDescent="0.3">
      <c r="A21" s="76" t="s">
        <v>31</v>
      </c>
      <c r="B21" s="119"/>
      <c r="C21" s="115"/>
      <c r="D21" s="115"/>
      <c r="E21" s="15"/>
      <c r="F21" s="14"/>
      <c r="G21" s="37"/>
      <c r="H21" s="37"/>
      <c r="I21" s="127"/>
      <c r="J21" s="50"/>
      <c r="K21" s="60"/>
      <c r="L21" s="60"/>
    </row>
    <row r="22" spans="1:12" x14ac:dyDescent="0.3">
      <c r="A22" s="76" t="s">
        <v>32</v>
      </c>
      <c r="B22" s="119" t="s">
        <v>21</v>
      </c>
      <c r="C22" s="115">
        <f>C20-C23</f>
        <v>14.010000000000002</v>
      </c>
      <c r="D22" s="115">
        <v>94.77</v>
      </c>
      <c r="E22" s="15">
        <v>340.05029999999999</v>
      </c>
      <c r="F22" s="14">
        <v>440.29</v>
      </c>
      <c r="G22" s="37">
        <v>471.03</v>
      </c>
      <c r="H22" s="37">
        <v>406.83</v>
      </c>
      <c r="I22" s="127">
        <v>489.05</v>
      </c>
      <c r="J22" s="50"/>
      <c r="K22" s="60"/>
      <c r="L22" s="60"/>
    </row>
    <row r="23" spans="1:12" x14ac:dyDescent="0.3">
      <c r="A23" s="76" t="s">
        <v>33</v>
      </c>
      <c r="B23" s="119" t="s">
        <v>21</v>
      </c>
      <c r="C23" s="115">
        <v>4.41</v>
      </c>
      <c r="D23" s="115">
        <f>D20-D22</f>
        <v>71.709999999999994</v>
      </c>
      <c r="E23" s="14">
        <v>307.4717</v>
      </c>
      <c r="F23" s="14">
        <v>288.2</v>
      </c>
      <c r="G23" s="37">
        <v>371.95</v>
      </c>
      <c r="H23" s="37">
        <v>218.88</v>
      </c>
      <c r="I23" s="127">
        <v>229.35</v>
      </c>
      <c r="J23" s="50"/>
      <c r="K23" s="60"/>
      <c r="L23" s="60"/>
    </row>
    <row r="24" spans="1:12" x14ac:dyDescent="0.3">
      <c r="A24" s="76" t="s">
        <v>34</v>
      </c>
      <c r="B24" s="119"/>
      <c r="C24" s="115"/>
      <c r="D24" s="115"/>
      <c r="E24" s="14"/>
      <c r="F24" s="14"/>
      <c r="G24" s="37"/>
      <c r="H24" s="37"/>
      <c r="I24" s="127"/>
      <c r="J24" s="50"/>
      <c r="K24" s="60"/>
      <c r="L24" s="60"/>
    </row>
    <row r="25" spans="1:12" x14ac:dyDescent="0.3">
      <c r="A25" s="76" t="s">
        <v>35</v>
      </c>
      <c r="B25" s="119" t="s">
        <v>21</v>
      </c>
      <c r="C25" s="115">
        <v>2.33</v>
      </c>
      <c r="D25" s="115">
        <v>12.2</v>
      </c>
      <c r="E25" s="14">
        <v>13.3687</v>
      </c>
      <c r="F25" s="14">
        <v>37.4</v>
      </c>
      <c r="G25" s="37">
        <v>63.39</v>
      </c>
      <c r="H25" s="37">
        <v>45.29</v>
      </c>
      <c r="I25" s="127">
        <v>47.16</v>
      </c>
      <c r="J25" s="50"/>
      <c r="K25" s="60"/>
      <c r="L25" s="60"/>
    </row>
    <row r="26" spans="1:12" x14ac:dyDescent="0.3">
      <c r="A26" s="76" t="s">
        <v>36</v>
      </c>
      <c r="B26" s="119" t="s">
        <v>21</v>
      </c>
      <c r="C26" s="115">
        <v>2.42</v>
      </c>
      <c r="D26" s="115">
        <v>95.77</v>
      </c>
      <c r="E26" s="14">
        <v>331.44909999999999</v>
      </c>
      <c r="F26" s="14">
        <v>387.66</v>
      </c>
      <c r="G26" s="37">
        <v>460.77</v>
      </c>
      <c r="H26" s="37">
        <v>303.20999999999998</v>
      </c>
      <c r="I26" s="127">
        <v>423.15</v>
      </c>
      <c r="J26" s="50"/>
      <c r="K26" s="60"/>
      <c r="L26" s="60"/>
    </row>
    <row r="27" spans="1:12" x14ac:dyDescent="0.3">
      <c r="A27" s="76" t="s">
        <v>37</v>
      </c>
      <c r="B27" s="119" t="s">
        <v>21</v>
      </c>
      <c r="C27" s="115"/>
      <c r="D27" s="115"/>
      <c r="E27" s="14">
        <v>331.27910000000003</v>
      </c>
      <c r="F27" s="14">
        <v>387.66</v>
      </c>
      <c r="G27" s="37">
        <v>460.77</v>
      </c>
      <c r="H27" s="37">
        <v>303.20999999999998</v>
      </c>
      <c r="I27" s="127">
        <v>423.15</v>
      </c>
      <c r="J27" s="50"/>
      <c r="K27" s="60"/>
      <c r="L27" s="60"/>
    </row>
    <row r="28" spans="1:12" x14ac:dyDescent="0.3">
      <c r="A28" s="76" t="s">
        <v>38</v>
      </c>
      <c r="B28" s="119" t="s">
        <v>21</v>
      </c>
      <c r="C28" s="115">
        <v>11.43</v>
      </c>
      <c r="D28" s="115">
        <v>58.51</v>
      </c>
      <c r="E28" s="14">
        <v>302.70420000000001</v>
      </c>
      <c r="F28" s="14">
        <v>303.43</v>
      </c>
      <c r="G28" s="37">
        <v>318.82</v>
      </c>
      <c r="H28" s="37">
        <v>277.22000000000003</v>
      </c>
      <c r="I28" s="127">
        <v>248.1</v>
      </c>
      <c r="J28" s="50"/>
      <c r="K28" s="60"/>
      <c r="L28" s="60"/>
    </row>
    <row r="29" spans="1:12" x14ac:dyDescent="0.3">
      <c r="A29" s="73" t="s">
        <v>39</v>
      </c>
      <c r="B29" s="119"/>
      <c r="C29" s="115"/>
      <c r="D29" s="115"/>
      <c r="E29" s="14"/>
      <c r="F29" s="14"/>
      <c r="G29" s="37"/>
      <c r="H29" s="37"/>
      <c r="I29" s="127"/>
      <c r="J29" s="50"/>
      <c r="K29" s="60"/>
      <c r="L29" s="60"/>
    </row>
    <row r="30" spans="1:12" x14ac:dyDescent="0.3">
      <c r="A30" s="73" t="s">
        <v>40</v>
      </c>
      <c r="B30" s="119" t="s">
        <v>21</v>
      </c>
      <c r="C30" s="115">
        <v>3.93</v>
      </c>
      <c r="D30" s="115">
        <v>10.76</v>
      </c>
      <c r="E30" s="14">
        <v>41.576900000000002</v>
      </c>
      <c r="F30" s="14">
        <v>75.63</v>
      </c>
      <c r="G30" s="37">
        <v>82.49</v>
      </c>
      <c r="H30" s="37">
        <v>93.84</v>
      </c>
      <c r="I30" s="127">
        <v>105.05</v>
      </c>
      <c r="J30" s="50"/>
      <c r="K30" s="60"/>
      <c r="L30" s="60"/>
    </row>
    <row r="31" spans="1:12" x14ac:dyDescent="0.3">
      <c r="A31" s="78" t="s">
        <v>41</v>
      </c>
      <c r="B31" s="119" t="s">
        <v>21</v>
      </c>
      <c r="C31" s="124">
        <v>10.61</v>
      </c>
      <c r="D31" s="124">
        <v>37.520000000000003</v>
      </c>
      <c r="E31" s="124">
        <v>122.2041</v>
      </c>
      <c r="F31" s="14">
        <v>185.59</v>
      </c>
      <c r="G31" s="37">
        <v>208.01</v>
      </c>
      <c r="H31" s="37">
        <v>232.19</v>
      </c>
      <c r="I31" s="127">
        <v>243.86</v>
      </c>
      <c r="J31" s="50"/>
      <c r="K31" s="60"/>
      <c r="L31" s="60"/>
    </row>
    <row r="32" spans="1:12" ht="37.200000000000003" customHeight="1" x14ac:dyDescent="0.3">
      <c r="A32" s="133" t="s">
        <v>42</v>
      </c>
      <c r="B32" s="133"/>
      <c r="C32" s="133"/>
      <c r="D32" s="133"/>
      <c r="E32" s="133"/>
      <c r="F32" s="133"/>
      <c r="G32" s="133"/>
      <c r="H32" s="133"/>
      <c r="I32" s="127"/>
      <c r="J32" s="60"/>
      <c r="K32" s="60"/>
      <c r="L32" s="60"/>
    </row>
    <row r="33" spans="1:12" x14ac:dyDescent="0.3">
      <c r="F33" s="14"/>
      <c r="G33" s="37"/>
      <c r="H33" s="37"/>
      <c r="I33" s="127"/>
      <c r="J33" s="60"/>
      <c r="K33" s="60"/>
      <c r="L33" s="60"/>
    </row>
    <row r="34" spans="1:12" x14ac:dyDescent="0.3">
      <c r="F34" s="14"/>
      <c r="G34" s="37"/>
      <c r="H34" s="37"/>
      <c r="I34" s="127"/>
      <c r="J34" s="60"/>
      <c r="K34" s="60"/>
      <c r="L34" s="60"/>
    </row>
    <row r="35" spans="1:12" ht="12" customHeight="1" x14ac:dyDescent="0.3">
      <c r="C35" s="37"/>
      <c r="D35" s="37"/>
      <c r="E35" s="37"/>
      <c r="F35" s="14"/>
      <c r="G35" s="37"/>
      <c r="H35" s="37"/>
      <c r="I35" s="127"/>
      <c r="J35" s="60"/>
      <c r="K35" s="60"/>
      <c r="L35" s="60"/>
    </row>
    <row r="36" spans="1:12" x14ac:dyDescent="0.3">
      <c r="A36" s="60"/>
      <c r="B36" s="50"/>
      <c r="C36" s="37"/>
      <c r="D36" s="37"/>
      <c r="E36" s="37"/>
      <c r="F36" s="14"/>
      <c r="G36" s="37"/>
      <c r="H36" s="37"/>
      <c r="I36" s="127"/>
      <c r="J36" s="60"/>
    </row>
    <row r="37" spans="1:12" x14ac:dyDescent="0.3">
      <c r="A37" s="60"/>
      <c r="B37" s="50"/>
      <c r="C37" s="37"/>
      <c r="D37" s="37"/>
      <c r="E37" s="37"/>
      <c r="F37" s="14"/>
      <c r="G37" s="37"/>
      <c r="H37" s="37"/>
      <c r="I37" s="127"/>
      <c r="J37" s="60"/>
    </row>
    <row r="38" spans="1:12" x14ac:dyDescent="0.3">
      <c r="A38" s="60"/>
      <c r="B38" s="50"/>
      <c r="C38" s="37"/>
      <c r="D38" s="37"/>
      <c r="E38" s="37"/>
      <c r="F38" s="14"/>
      <c r="G38" s="37"/>
      <c r="H38" s="37"/>
      <c r="I38" s="127"/>
      <c r="J38" s="60"/>
    </row>
    <row r="39" spans="1:12" x14ac:dyDescent="0.3">
      <c r="A39" s="60"/>
      <c r="B39" s="50"/>
      <c r="C39" s="37"/>
      <c r="D39" s="37"/>
      <c r="E39" s="37"/>
      <c r="F39" s="14"/>
      <c r="G39" s="37"/>
      <c r="H39" s="37"/>
      <c r="I39" s="127"/>
      <c r="J39" s="60"/>
    </row>
    <row r="40" spans="1:12" x14ac:dyDescent="0.3">
      <c r="A40" s="60"/>
      <c r="B40" s="50"/>
      <c r="C40" s="37"/>
      <c r="D40" s="37"/>
      <c r="E40" s="37"/>
      <c r="F40" s="14"/>
      <c r="G40" s="37"/>
      <c r="H40" s="37"/>
      <c r="I40" s="127"/>
      <c r="J40" s="60"/>
    </row>
    <row r="41" spans="1:12" x14ac:dyDescent="0.3">
      <c r="A41" s="60"/>
      <c r="B41" s="50"/>
      <c r="C41" s="37"/>
      <c r="D41" s="37"/>
      <c r="E41" s="37"/>
      <c r="F41" s="14"/>
      <c r="G41" s="37"/>
      <c r="H41" s="37"/>
      <c r="I41" s="127"/>
      <c r="J41" s="60"/>
    </row>
    <row r="42" spans="1:12" x14ac:dyDescent="0.3">
      <c r="A42" s="60"/>
      <c r="B42" s="50"/>
      <c r="C42" s="37"/>
      <c r="D42" s="37"/>
      <c r="E42" s="37"/>
      <c r="F42" s="14"/>
      <c r="G42" s="37"/>
      <c r="H42" s="37"/>
      <c r="I42" s="127"/>
      <c r="J42" s="60"/>
    </row>
    <row r="43" spans="1:12" x14ac:dyDescent="0.3">
      <c r="A43" s="60"/>
      <c r="B43" s="50"/>
      <c r="C43" s="37"/>
      <c r="D43" s="37"/>
      <c r="E43" s="37"/>
      <c r="F43" s="14"/>
      <c r="G43" s="37"/>
      <c r="H43" s="37"/>
      <c r="I43" s="127"/>
      <c r="J43" s="60"/>
    </row>
    <row r="44" spans="1:12" x14ac:dyDescent="0.3">
      <c r="A44" s="60"/>
      <c r="B44" s="50"/>
      <c r="C44" s="37"/>
      <c r="D44" s="37"/>
      <c r="E44" s="37"/>
      <c r="F44" s="14"/>
      <c r="G44" s="37"/>
      <c r="H44" s="37"/>
      <c r="I44" s="127"/>
      <c r="J44" s="60"/>
    </row>
    <row r="45" spans="1:12" x14ac:dyDescent="0.3">
      <c r="A45" s="60"/>
      <c r="B45" s="50"/>
      <c r="C45" s="37"/>
      <c r="D45" s="37"/>
      <c r="E45" s="37"/>
      <c r="F45" s="14"/>
      <c r="G45" s="37"/>
      <c r="H45" s="37"/>
      <c r="I45" s="127"/>
      <c r="J45" s="60"/>
    </row>
    <row r="46" spans="1:12" x14ac:dyDescent="0.3">
      <c r="A46" s="60"/>
      <c r="B46" s="50"/>
      <c r="C46" s="37"/>
      <c r="D46" s="37"/>
      <c r="E46" s="37"/>
      <c r="F46" s="14"/>
      <c r="G46" s="37"/>
      <c r="H46" s="37"/>
      <c r="I46" s="127"/>
      <c r="J46" s="60"/>
    </row>
    <row r="47" spans="1:12" x14ac:dyDescent="0.3">
      <c r="A47" s="60"/>
      <c r="B47" s="50"/>
      <c r="C47" s="37"/>
      <c r="D47" s="37"/>
      <c r="E47" s="37"/>
      <c r="F47" s="14"/>
      <c r="G47" s="37"/>
      <c r="H47" s="37"/>
      <c r="I47" s="127"/>
      <c r="J47" s="60"/>
    </row>
    <row r="48" spans="1:12" x14ac:dyDescent="0.3">
      <c r="B48" s="51"/>
      <c r="C48" s="37"/>
      <c r="D48" s="37"/>
      <c r="E48" s="37"/>
      <c r="F48" s="14"/>
      <c r="G48" s="37"/>
      <c r="H48" s="37"/>
    </row>
    <row r="49" spans="2:8" x14ac:dyDescent="0.3">
      <c r="B49" s="51"/>
      <c r="C49" s="37"/>
      <c r="D49" s="37"/>
      <c r="E49" s="37"/>
      <c r="F49" s="14"/>
      <c r="G49" s="37"/>
      <c r="H49" s="37"/>
    </row>
    <row r="50" spans="2:8" x14ac:dyDescent="0.3">
      <c r="B50" s="51"/>
      <c r="C50" s="37"/>
      <c r="D50" s="37"/>
      <c r="E50" s="37"/>
      <c r="F50" s="14"/>
      <c r="G50" s="37"/>
      <c r="H50" s="37"/>
    </row>
    <row r="51" spans="2:8" x14ac:dyDescent="0.3">
      <c r="B51" s="51"/>
      <c r="C51" s="37"/>
      <c r="D51" s="37"/>
      <c r="E51" s="37"/>
      <c r="F51" s="14"/>
      <c r="G51" s="37"/>
      <c r="H51" s="37"/>
    </row>
    <row r="52" spans="2:8" x14ac:dyDescent="0.3">
      <c r="B52" s="51"/>
      <c r="C52" s="37"/>
      <c r="D52" s="37"/>
      <c r="E52" s="37"/>
      <c r="F52" s="14"/>
      <c r="G52" s="37"/>
      <c r="H52" s="37"/>
    </row>
    <row r="53" spans="2:8" x14ac:dyDescent="0.3">
      <c r="B53" s="51"/>
      <c r="C53" s="37"/>
      <c r="D53" s="37"/>
      <c r="E53" s="37"/>
      <c r="F53" s="14"/>
      <c r="G53" s="37"/>
      <c r="H53" s="37"/>
    </row>
    <row r="54" spans="2:8" x14ac:dyDescent="0.3">
      <c r="B54" s="51"/>
      <c r="C54" s="37"/>
      <c r="D54" s="37"/>
      <c r="E54" s="37"/>
      <c r="F54" s="14"/>
      <c r="G54" s="37"/>
      <c r="H54" s="37"/>
    </row>
    <row r="55" spans="2:8" x14ac:dyDescent="0.3">
      <c r="B55" s="51"/>
      <c r="C55" s="37"/>
      <c r="D55" s="37"/>
      <c r="E55" s="37"/>
      <c r="F55" s="14"/>
      <c r="G55" s="37"/>
      <c r="H55" s="37"/>
    </row>
  </sheetData>
  <mergeCells count="2">
    <mergeCell ref="A1:E1"/>
    <mergeCell ref="A32:H32"/>
  </mergeCells>
  <phoneticPr fontId="15" type="noConversion"/>
  <pageMargins left="0.67" right="0.63" top="0.83" bottom="0.67" header="0.51" footer="0.51"/>
  <pageSetup paperSize="256" orientation="portrait" horizontalDpi="300" verticalDpi="300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tabSelected="1" workbookViewId="0">
      <selection activeCell="A12" sqref="A12"/>
    </sheetView>
  </sheetViews>
  <sheetFormatPr defaultColWidth="9" defaultRowHeight="15" x14ac:dyDescent="0.3"/>
  <cols>
    <col min="1" max="1" width="25.140625" customWidth="1"/>
    <col min="2" max="2" width="8.85546875" customWidth="1"/>
    <col min="3" max="5" width="7.85546875" style="37" customWidth="1"/>
    <col min="6" max="6" width="9.2109375" style="75" bestFit="1" customWidth="1"/>
    <col min="7" max="8" width="9" style="37"/>
    <col min="10" max="10" width="9.2109375" bestFit="1" customWidth="1"/>
  </cols>
  <sheetData>
    <row r="1" spans="1:12" s="35" customFormat="1" ht="35.15" customHeight="1" x14ac:dyDescent="0.5">
      <c r="A1" s="99" t="s">
        <v>43</v>
      </c>
      <c r="C1" s="37"/>
      <c r="D1" s="37"/>
      <c r="E1" s="37"/>
      <c r="F1" s="75"/>
      <c r="G1" s="37"/>
      <c r="H1" s="37"/>
    </row>
    <row r="2" spans="1:12" s="35" customFormat="1" ht="15" customHeight="1" x14ac:dyDescent="0.5">
      <c r="A2" s="99"/>
      <c r="C2" s="37"/>
      <c r="D2" s="37"/>
      <c r="E2" s="37"/>
      <c r="F2" s="75"/>
      <c r="G2" s="37"/>
      <c r="H2" s="37"/>
    </row>
    <row r="3" spans="1:12" s="35" customFormat="1" ht="20.149999999999999" x14ac:dyDescent="0.4">
      <c r="A3" s="69"/>
      <c r="B3" s="70" t="s">
        <v>1</v>
      </c>
      <c r="C3" s="71" t="s">
        <v>2</v>
      </c>
      <c r="D3" s="71" t="s">
        <v>3</v>
      </c>
      <c r="E3" s="71" t="s">
        <v>4</v>
      </c>
      <c r="F3" s="75" t="s">
        <v>5</v>
      </c>
      <c r="G3" s="37" t="s">
        <v>6</v>
      </c>
      <c r="H3" s="37" t="s">
        <v>7</v>
      </c>
      <c r="I3" s="30" t="s">
        <v>8</v>
      </c>
    </row>
    <row r="4" spans="1:12" ht="21.75" customHeight="1" x14ac:dyDescent="0.3">
      <c r="A4" s="73" t="s">
        <v>44</v>
      </c>
      <c r="B4" s="74"/>
      <c r="C4" s="68"/>
      <c r="D4" s="68"/>
      <c r="E4" s="100"/>
      <c r="I4" s="60"/>
      <c r="J4" s="60"/>
      <c r="K4" s="60"/>
      <c r="L4" s="60"/>
    </row>
    <row r="5" spans="1:12" ht="21.75" customHeight="1" x14ac:dyDescent="0.3">
      <c r="A5" s="76" t="s">
        <v>45</v>
      </c>
      <c r="B5" s="74" t="s">
        <v>46</v>
      </c>
      <c r="C5" s="72">
        <v>73543</v>
      </c>
      <c r="D5" s="72">
        <v>155280</v>
      </c>
      <c r="E5" s="75">
        <v>417649</v>
      </c>
      <c r="F5" s="75">
        <v>727733</v>
      </c>
      <c r="G5" s="37">
        <v>781812</v>
      </c>
      <c r="H5" s="37">
        <v>845558</v>
      </c>
      <c r="I5" s="37">
        <v>905448</v>
      </c>
      <c r="J5" s="60"/>
      <c r="K5" s="60"/>
      <c r="L5" s="60"/>
    </row>
    <row r="6" spans="1:12" ht="21.75" customHeight="1" x14ac:dyDescent="0.3">
      <c r="A6" s="76" t="s">
        <v>47</v>
      </c>
      <c r="B6" s="74" t="s">
        <v>28</v>
      </c>
      <c r="C6" s="72">
        <v>7109</v>
      </c>
      <c r="D6" s="72">
        <v>15608</v>
      </c>
      <c r="E6" s="75">
        <v>35288</v>
      </c>
      <c r="F6" s="75">
        <v>56972</v>
      </c>
      <c r="G6" s="37">
        <v>58073</v>
      </c>
      <c r="H6" s="37">
        <v>62199</v>
      </c>
      <c r="I6" s="37">
        <v>66949</v>
      </c>
      <c r="J6" s="60"/>
      <c r="K6" s="60"/>
      <c r="L6" s="60"/>
    </row>
    <row r="7" spans="1:12" ht="21.75" customHeight="1" x14ac:dyDescent="0.3">
      <c r="A7" s="73" t="s">
        <v>48</v>
      </c>
      <c r="B7" s="74"/>
      <c r="I7" s="37"/>
      <c r="J7" s="60"/>
      <c r="K7" s="60"/>
      <c r="L7" s="60"/>
    </row>
    <row r="8" spans="1:12" ht="21" customHeight="1" x14ac:dyDescent="0.3">
      <c r="A8" s="73" t="s">
        <v>49</v>
      </c>
      <c r="B8" s="74"/>
      <c r="I8" s="37"/>
      <c r="J8" s="60"/>
      <c r="K8" s="60"/>
      <c r="L8" s="60"/>
    </row>
    <row r="9" spans="1:12" ht="21.75" customHeight="1" x14ac:dyDescent="0.3">
      <c r="A9" s="76" t="s">
        <v>50</v>
      </c>
      <c r="B9" s="74" t="s">
        <v>28</v>
      </c>
      <c r="C9" s="101">
        <v>4608</v>
      </c>
      <c r="D9" s="101">
        <v>7902</v>
      </c>
      <c r="E9" s="22">
        <v>15464</v>
      </c>
      <c r="F9" s="22">
        <v>22708</v>
      </c>
      <c r="I9" s="37"/>
      <c r="J9" s="60"/>
      <c r="K9" s="60"/>
      <c r="L9" s="60"/>
    </row>
    <row r="10" spans="1:12" ht="21.75" customHeight="1" x14ac:dyDescent="0.3">
      <c r="A10" s="73" t="s">
        <v>51</v>
      </c>
      <c r="B10" s="74" t="s">
        <v>28</v>
      </c>
      <c r="C10" s="101">
        <v>2438</v>
      </c>
      <c r="D10" s="101">
        <v>2890</v>
      </c>
      <c r="E10" s="22">
        <v>6153</v>
      </c>
      <c r="F10" s="22">
        <v>10109</v>
      </c>
      <c r="I10" s="37"/>
      <c r="J10" s="60"/>
      <c r="K10" s="60"/>
      <c r="L10" s="60"/>
    </row>
    <row r="11" spans="1:12" ht="21.75" customHeight="1" x14ac:dyDescent="0.3">
      <c r="A11" s="76" t="s">
        <v>52</v>
      </c>
      <c r="B11" s="74" t="s">
        <v>28</v>
      </c>
      <c r="C11" s="101">
        <v>1708</v>
      </c>
      <c r="D11" s="101">
        <v>2112</v>
      </c>
      <c r="E11" s="22">
        <v>5140</v>
      </c>
      <c r="F11" s="22">
        <v>7831</v>
      </c>
      <c r="I11" s="37"/>
      <c r="J11" s="60"/>
      <c r="K11" s="60"/>
      <c r="L11" s="60"/>
    </row>
    <row r="12" spans="1:12" ht="21.75" customHeight="1" x14ac:dyDescent="0.3">
      <c r="A12" s="76" t="s">
        <v>53</v>
      </c>
      <c r="B12" s="74" t="s">
        <v>28</v>
      </c>
      <c r="C12" s="101">
        <v>3503</v>
      </c>
      <c r="D12" s="101">
        <v>3890</v>
      </c>
      <c r="E12" s="22">
        <v>7471</v>
      </c>
      <c r="F12" s="22">
        <v>13192</v>
      </c>
      <c r="I12" s="37"/>
      <c r="J12" s="60"/>
      <c r="K12" s="60"/>
      <c r="L12" s="60"/>
    </row>
    <row r="13" spans="1:12" ht="21.75" customHeight="1" x14ac:dyDescent="0.3">
      <c r="A13" s="76" t="s">
        <v>54</v>
      </c>
      <c r="B13" s="74"/>
      <c r="C13" s="102"/>
      <c r="D13" s="102"/>
      <c r="E13" s="100"/>
      <c r="I13" s="37"/>
      <c r="J13" s="60"/>
      <c r="K13" s="60"/>
      <c r="L13" s="60"/>
    </row>
    <row r="14" spans="1:12" ht="21.75" customHeight="1" x14ac:dyDescent="0.3">
      <c r="A14" s="76" t="s">
        <v>55</v>
      </c>
      <c r="B14" s="74" t="s">
        <v>28</v>
      </c>
      <c r="C14" s="102"/>
      <c r="D14" s="102"/>
      <c r="E14" s="100"/>
      <c r="F14" s="75">
        <v>19612</v>
      </c>
      <c r="G14" s="37">
        <v>21652</v>
      </c>
      <c r="H14" s="37">
        <v>23574</v>
      </c>
      <c r="I14" s="37">
        <v>25554</v>
      </c>
      <c r="J14" s="60"/>
      <c r="K14" s="60"/>
      <c r="L14" s="60"/>
    </row>
    <row r="15" spans="1:12" ht="21.75" customHeight="1" x14ac:dyDescent="0.3">
      <c r="A15" s="76" t="s">
        <v>56</v>
      </c>
      <c r="B15" s="74" t="s">
        <v>28</v>
      </c>
      <c r="C15" s="101"/>
      <c r="D15" s="101"/>
      <c r="E15" s="22">
        <v>17484</v>
      </c>
      <c r="F15" s="22">
        <v>25666</v>
      </c>
      <c r="G15" s="37">
        <v>28053</v>
      </c>
      <c r="H15" s="37">
        <v>30409</v>
      </c>
      <c r="I15" s="37">
        <v>32903</v>
      </c>
      <c r="J15" s="60"/>
      <c r="K15" s="60"/>
      <c r="L15" s="60"/>
    </row>
    <row r="16" spans="1:12" ht="21.75" customHeight="1" x14ac:dyDescent="0.3">
      <c r="A16" s="76" t="s">
        <v>57</v>
      </c>
      <c r="B16" s="74"/>
      <c r="C16" s="101"/>
      <c r="D16" s="101"/>
      <c r="E16" s="22">
        <v>6117</v>
      </c>
      <c r="F16" s="22">
        <v>10050</v>
      </c>
      <c r="G16" s="37">
        <v>11306</v>
      </c>
      <c r="H16" s="37">
        <v>12222</v>
      </c>
      <c r="I16" s="37">
        <v>13188</v>
      </c>
      <c r="J16" s="60"/>
      <c r="K16" s="60"/>
      <c r="L16" s="60"/>
    </row>
    <row r="17" spans="1:12" s="65" customFormat="1" ht="21.75" customHeight="1" x14ac:dyDescent="0.3">
      <c r="A17" s="82" t="s">
        <v>58</v>
      </c>
      <c r="B17" s="103" t="s">
        <v>59</v>
      </c>
      <c r="C17" s="15">
        <v>24.18</v>
      </c>
      <c r="D17" s="15">
        <v>25.5</v>
      </c>
      <c r="E17" s="84">
        <v>31.72</v>
      </c>
      <c r="F17" s="84">
        <v>32.56</v>
      </c>
      <c r="G17" s="84">
        <v>33.6</v>
      </c>
      <c r="H17" s="84">
        <v>33.94</v>
      </c>
      <c r="I17" s="37">
        <v>35.11</v>
      </c>
      <c r="J17" s="94"/>
      <c r="K17" s="94"/>
      <c r="L17" s="94"/>
    </row>
    <row r="18" spans="1:12" ht="21.75" customHeight="1" x14ac:dyDescent="0.3">
      <c r="A18" s="76" t="s">
        <v>60</v>
      </c>
      <c r="B18" s="74" t="s">
        <v>59</v>
      </c>
      <c r="C18" s="15">
        <v>16.3</v>
      </c>
      <c r="D18" s="15">
        <v>17.5</v>
      </c>
      <c r="E18" s="84">
        <v>18.600000000000001</v>
      </c>
      <c r="F18" s="84">
        <v>21</v>
      </c>
      <c r="G18" s="84">
        <v>22</v>
      </c>
      <c r="H18" s="4">
        <v>22</v>
      </c>
      <c r="I18" s="37">
        <v>22</v>
      </c>
      <c r="J18" s="60"/>
      <c r="K18" s="60"/>
      <c r="L18" s="60"/>
    </row>
    <row r="19" spans="1:12" ht="21.75" customHeight="1" x14ac:dyDescent="0.3">
      <c r="A19" s="73" t="s">
        <v>61</v>
      </c>
      <c r="B19" s="74"/>
      <c r="C19" s="72"/>
      <c r="D19" s="72"/>
      <c r="E19" s="75"/>
      <c r="H19" s="4"/>
      <c r="I19" s="37"/>
      <c r="J19" s="60"/>
      <c r="K19" s="60"/>
      <c r="L19" s="60"/>
    </row>
    <row r="20" spans="1:12" ht="21.75" customHeight="1" x14ac:dyDescent="0.3">
      <c r="A20" s="76" t="s">
        <v>62</v>
      </c>
      <c r="B20" s="74" t="s">
        <v>63</v>
      </c>
      <c r="C20" s="72"/>
      <c r="D20" s="72"/>
      <c r="E20" s="84">
        <v>791.56</v>
      </c>
      <c r="F20" s="14">
        <v>1025.49</v>
      </c>
      <c r="G20" s="37">
        <v>859.88</v>
      </c>
      <c r="H20" s="72">
        <v>859.58</v>
      </c>
      <c r="I20" s="37">
        <v>832.45</v>
      </c>
      <c r="J20" s="60"/>
      <c r="K20" s="60"/>
      <c r="L20" s="60"/>
    </row>
    <row r="21" spans="1:12" ht="21.75" customHeight="1" x14ac:dyDescent="0.3">
      <c r="A21" s="104" t="s">
        <v>64</v>
      </c>
      <c r="B21" s="105" t="s">
        <v>65</v>
      </c>
      <c r="C21" s="106"/>
      <c r="D21" s="106"/>
      <c r="E21" s="107">
        <v>1.3345</v>
      </c>
      <c r="F21" s="108">
        <v>1.2565</v>
      </c>
      <c r="G21" s="107">
        <v>0.96479999999999999</v>
      </c>
      <c r="H21" s="106">
        <v>0.85929999999999995</v>
      </c>
      <c r="I21" s="37">
        <v>0.79620000000000002</v>
      </c>
      <c r="J21" s="111"/>
      <c r="K21" s="60"/>
      <c r="L21" s="60"/>
    </row>
    <row r="22" spans="1:12" s="98" customFormat="1" ht="21.75" customHeight="1" x14ac:dyDescent="0.3">
      <c r="A22"/>
      <c r="B22"/>
      <c r="C22" s="37"/>
      <c r="D22" s="37"/>
      <c r="E22" s="37"/>
      <c r="F22" s="75"/>
      <c r="G22" s="37"/>
      <c r="H22" s="37"/>
      <c r="I22" s="60"/>
      <c r="J22" s="112"/>
      <c r="K22" s="111"/>
      <c r="L22" s="111"/>
    </row>
    <row r="23" spans="1:12" x14ac:dyDescent="0.3">
      <c r="F23" s="107"/>
      <c r="I23" s="60"/>
      <c r="J23" s="112"/>
      <c r="K23" s="60"/>
      <c r="L23" s="60"/>
    </row>
    <row r="24" spans="1:12" x14ac:dyDescent="0.3">
      <c r="I24" s="60"/>
      <c r="J24" s="112"/>
      <c r="K24" s="60"/>
      <c r="L24" s="60"/>
    </row>
    <row r="25" spans="1:12" x14ac:dyDescent="0.3">
      <c r="I25" s="60"/>
      <c r="J25" s="112"/>
      <c r="K25" s="60"/>
      <c r="L25" s="60"/>
    </row>
    <row r="26" spans="1:12" x14ac:dyDescent="0.3">
      <c r="I26" s="60"/>
      <c r="J26" s="112"/>
      <c r="K26" s="60"/>
      <c r="L26" s="60"/>
    </row>
    <row r="27" spans="1:12" x14ac:dyDescent="0.3">
      <c r="I27" s="60"/>
      <c r="J27" s="112"/>
      <c r="K27" s="60"/>
      <c r="L27" s="60"/>
    </row>
    <row r="28" spans="1:12" x14ac:dyDescent="0.3">
      <c r="I28" s="60"/>
      <c r="J28" s="60"/>
      <c r="K28" s="60"/>
      <c r="L28" s="60"/>
    </row>
    <row r="29" spans="1:12" x14ac:dyDescent="0.3">
      <c r="A29" s="57"/>
      <c r="B29" s="109"/>
      <c r="C29" s="72"/>
      <c r="D29" s="72"/>
      <c r="E29" s="4"/>
      <c r="F29" s="22"/>
      <c r="G29" s="4"/>
      <c r="H29" s="4"/>
      <c r="I29" s="28"/>
      <c r="J29" s="28"/>
      <c r="K29" s="60"/>
      <c r="L29" s="60"/>
    </row>
    <row r="30" spans="1:12" s="3" customFormat="1" x14ac:dyDescent="0.3">
      <c r="A30" s="110"/>
      <c r="B30" s="109"/>
      <c r="C30" s="72"/>
      <c r="D30" s="72"/>
      <c r="E30" s="4"/>
      <c r="F30" s="22"/>
      <c r="G30" s="4"/>
      <c r="H30" s="4"/>
      <c r="I30" s="28"/>
      <c r="J30" s="28"/>
      <c r="K30" s="28"/>
      <c r="L30" s="28"/>
    </row>
    <row r="31" spans="1:12" s="3" customFormat="1" x14ac:dyDescent="0.3">
      <c r="A31" s="110"/>
      <c r="B31" s="109"/>
      <c r="C31" s="72"/>
      <c r="D31" s="72"/>
      <c r="E31" s="4"/>
      <c r="F31" s="22"/>
      <c r="G31" s="4"/>
      <c r="H31" s="4"/>
      <c r="I31" s="28"/>
      <c r="J31" s="28"/>
      <c r="K31" s="28"/>
      <c r="L31" s="28"/>
    </row>
    <row r="32" spans="1:12" s="3" customFormat="1" x14ac:dyDescent="0.3">
      <c r="A32" s="110"/>
      <c r="B32" s="109"/>
      <c r="C32" s="72"/>
      <c r="D32" s="72"/>
      <c r="E32" s="4"/>
      <c r="F32" s="22"/>
      <c r="G32" s="4"/>
      <c r="H32" s="4"/>
      <c r="I32" s="28"/>
      <c r="J32" s="28"/>
      <c r="K32" s="28"/>
      <c r="L32" s="28"/>
    </row>
    <row r="33" spans="1:12" s="3" customFormat="1" x14ac:dyDescent="0.3">
      <c r="A33" s="110"/>
      <c r="B33" s="109"/>
      <c r="C33" s="72"/>
      <c r="D33" s="72"/>
      <c r="E33" s="4"/>
      <c r="F33" s="22"/>
      <c r="G33" s="4"/>
      <c r="H33" s="4"/>
      <c r="I33" s="28"/>
      <c r="J33" s="28"/>
      <c r="K33" s="28"/>
      <c r="L33" s="28"/>
    </row>
    <row r="34" spans="1:12" s="3" customFormat="1" x14ac:dyDescent="0.3">
      <c r="C34" s="4"/>
      <c r="D34" s="4"/>
      <c r="E34" s="4"/>
      <c r="F34" s="22"/>
      <c r="G34" s="4"/>
      <c r="H34" s="4"/>
      <c r="I34" s="28"/>
      <c r="J34" s="28"/>
      <c r="K34" s="28"/>
      <c r="L34" s="28"/>
    </row>
    <row r="35" spans="1:12" s="3" customFormat="1" x14ac:dyDescent="0.3">
      <c r="A35" s="28"/>
      <c r="B35" s="29"/>
      <c r="C35" s="4"/>
      <c r="D35" s="4"/>
      <c r="E35" s="4"/>
      <c r="F35" s="22"/>
      <c r="G35" s="4"/>
      <c r="H35" s="4"/>
      <c r="I35" s="28"/>
      <c r="J35" s="28"/>
      <c r="K35" s="28"/>
      <c r="L35" s="28"/>
    </row>
    <row r="36" spans="1:12" s="3" customFormat="1" x14ac:dyDescent="0.3">
      <c r="A36" s="28"/>
      <c r="B36" s="29"/>
      <c r="C36" s="4"/>
      <c r="D36" s="4"/>
      <c r="E36" s="4"/>
      <c r="F36" s="22"/>
      <c r="G36" s="4"/>
      <c r="H36" s="4"/>
      <c r="I36" s="28"/>
      <c r="J36" s="28"/>
      <c r="K36" s="28"/>
      <c r="L36" s="28"/>
    </row>
    <row r="37" spans="1:12" s="3" customFormat="1" x14ac:dyDescent="0.3">
      <c r="A37" s="60"/>
      <c r="B37" s="50"/>
      <c r="C37" s="37"/>
      <c r="D37" s="37"/>
      <c r="E37" s="37"/>
      <c r="F37" s="75"/>
      <c r="G37" s="37"/>
      <c r="H37" s="37"/>
      <c r="I37" s="60"/>
      <c r="J37" s="60"/>
      <c r="K37" s="28"/>
      <c r="L37" s="28"/>
    </row>
    <row r="38" spans="1:12" x14ac:dyDescent="0.3">
      <c r="A38" s="60"/>
      <c r="B38" s="50"/>
      <c r="I38" s="60"/>
      <c r="K38" s="60"/>
      <c r="L38" s="60"/>
    </row>
    <row r="39" spans="1:12" x14ac:dyDescent="0.3">
      <c r="A39" s="60"/>
      <c r="B39" s="50"/>
      <c r="I39" s="60"/>
    </row>
    <row r="40" spans="1:12" x14ac:dyDescent="0.3">
      <c r="A40" s="60"/>
      <c r="B40" s="50"/>
      <c r="I40" s="60"/>
    </row>
    <row r="41" spans="1:12" x14ac:dyDescent="0.3">
      <c r="A41" s="60"/>
      <c r="B41" s="50"/>
      <c r="I41" s="60"/>
    </row>
    <row r="42" spans="1:12" x14ac:dyDescent="0.3">
      <c r="A42" s="60"/>
      <c r="B42" s="50"/>
      <c r="I42" s="60"/>
    </row>
    <row r="43" spans="1:12" x14ac:dyDescent="0.3">
      <c r="A43" s="60"/>
      <c r="B43" s="50"/>
      <c r="I43" s="60"/>
    </row>
    <row r="44" spans="1:12" x14ac:dyDescent="0.3">
      <c r="A44" s="60"/>
      <c r="B44" s="50"/>
      <c r="I44" s="60"/>
    </row>
    <row r="45" spans="1:12" x14ac:dyDescent="0.3">
      <c r="A45" s="60"/>
      <c r="B45" s="50"/>
      <c r="I45" s="60"/>
    </row>
    <row r="46" spans="1:12" x14ac:dyDescent="0.3">
      <c r="A46" s="60"/>
      <c r="B46" s="50"/>
      <c r="I46" s="60"/>
    </row>
    <row r="47" spans="1:12" x14ac:dyDescent="0.3">
      <c r="A47" s="60"/>
      <c r="B47" s="50"/>
      <c r="I47" s="60"/>
    </row>
    <row r="48" spans="1:12" x14ac:dyDescent="0.3">
      <c r="A48" s="60"/>
      <c r="B48" s="50"/>
      <c r="I48" s="60"/>
    </row>
    <row r="49" spans="1:9" x14ac:dyDescent="0.3">
      <c r="A49" s="60"/>
      <c r="B49" s="50"/>
      <c r="I49" s="60"/>
    </row>
    <row r="50" spans="1:9" x14ac:dyDescent="0.3">
      <c r="B50" s="51"/>
    </row>
    <row r="51" spans="1:9" x14ac:dyDescent="0.3">
      <c r="B51" s="51"/>
    </row>
    <row r="52" spans="1:9" x14ac:dyDescent="0.3">
      <c r="B52" s="51"/>
    </row>
    <row r="53" spans="1:9" x14ac:dyDescent="0.3">
      <c r="B53" s="51"/>
    </row>
    <row r="54" spans="1:9" x14ac:dyDescent="0.3">
      <c r="B54" s="51"/>
    </row>
    <row r="55" spans="1:9" x14ac:dyDescent="0.3">
      <c r="B55" s="51"/>
    </row>
    <row r="56" spans="1:9" x14ac:dyDescent="0.3">
      <c r="B56" s="51"/>
    </row>
    <row r="57" spans="1:9" x14ac:dyDescent="0.3">
      <c r="B57" s="51"/>
    </row>
  </sheetData>
  <phoneticPr fontId="15" type="noConversion"/>
  <pageMargins left="0.67" right="0.63" top="0.83" bottom="0.67" header="0.51" footer="0.51"/>
  <pageSetup paperSize="256" orientation="landscape" horizontalDpi="300" verticalDpi="300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workbookViewId="0">
      <selection activeCell="L30" sqref="L30"/>
    </sheetView>
  </sheetViews>
  <sheetFormatPr defaultColWidth="9" defaultRowHeight="15" x14ac:dyDescent="0.3"/>
  <cols>
    <col min="1" max="1" width="25.5" customWidth="1"/>
    <col min="2" max="2" width="6.2109375" customWidth="1"/>
    <col min="3" max="5" width="7.5" style="37" customWidth="1"/>
    <col min="6" max="8" width="9" style="37"/>
    <col min="11" max="11" width="9.7109375" bestFit="1" customWidth="1"/>
  </cols>
  <sheetData>
    <row r="1" spans="1:13" s="35" customFormat="1" ht="35.15" customHeight="1" x14ac:dyDescent="0.5">
      <c r="A1" s="134"/>
      <c r="B1" s="134"/>
      <c r="C1" s="37"/>
      <c r="D1" s="37"/>
      <c r="E1" s="37"/>
      <c r="F1" s="37"/>
      <c r="G1" s="37"/>
      <c r="H1" s="37"/>
    </row>
    <row r="2" spans="1:13" s="35" customFormat="1" ht="15" customHeight="1" x14ac:dyDescent="0.5">
      <c r="A2" s="66" t="s">
        <v>66</v>
      </c>
      <c r="B2" s="67"/>
      <c r="C2" s="37"/>
      <c r="D2" s="37"/>
      <c r="E2" s="37"/>
      <c r="F2" s="68"/>
      <c r="G2" s="68"/>
      <c r="H2" s="37"/>
    </row>
    <row r="3" spans="1:13" s="35" customFormat="1" ht="20.149999999999999" x14ac:dyDescent="0.4">
      <c r="A3" s="69"/>
      <c r="B3" s="70" t="s">
        <v>1</v>
      </c>
      <c r="C3" s="71" t="s">
        <v>2</v>
      </c>
      <c r="D3" s="71" t="s">
        <v>3</v>
      </c>
      <c r="E3" s="71" t="s">
        <v>4</v>
      </c>
      <c r="F3" s="68" t="s">
        <v>5</v>
      </c>
      <c r="G3" s="68" t="s">
        <v>6</v>
      </c>
      <c r="H3" s="72" t="s">
        <v>7</v>
      </c>
      <c r="I3" s="87" t="s">
        <v>8</v>
      </c>
      <c r="J3" s="72"/>
      <c r="K3" s="72"/>
    </row>
    <row r="4" spans="1:13" ht="21" customHeight="1" x14ac:dyDescent="0.3">
      <c r="A4" s="73" t="s">
        <v>67</v>
      </c>
      <c r="B4" s="74"/>
      <c r="E4" s="75"/>
      <c r="F4" s="75"/>
      <c r="G4" s="68"/>
      <c r="H4" s="68"/>
      <c r="I4" s="59"/>
      <c r="J4" s="88"/>
      <c r="K4" s="89"/>
    </row>
    <row r="5" spans="1:13" ht="21" customHeight="1" x14ac:dyDescent="0.3">
      <c r="A5" s="76" t="s">
        <v>68</v>
      </c>
      <c r="B5" s="74" t="s">
        <v>46</v>
      </c>
      <c r="C5" s="72">
        <v>349569</v>
      </c>
      <c r="D5" s="72">
        <v>589131</v>
      </c>
      <c r="E5" s="75">
        <v>1055324</v>
      </c>
      <c r="F5" s="75">
        <v>1689246</v>
      </c>
      <c r="G5" s="68">
        <v>1819218</v>
      </c>
      <c r="H5" s="68">
        <v>1915861</v>
      </c>
      <c r="I5" s="68">
        <v>2086786</v>
      </c>
      <c r="J5" s="59"/>
      <c r="K5" s="59"/>
      <c r="L5" s="59"/>
      <c r="M5" s="60"/>
    </row>
    <row r="6" spans="1:13" ht="21" customHeight="1" x14ac:dyDescent="0.3">
      <c r="A6" s="76" t="s">
        <v>69</v>
      </c>
      <c r="B6" s="74" t="s">
        <v>46</v>
      </c>
      <c r="C6" s="37">
        <v>107388</v>
      </c>
      <c r="D6" s="37">
        <v>162164</v>
      </c>
      <c r="E6" s="75">
        <v>216274</v>
      </c>
      <c r="F6" s="75">
        <v>373517</v>
      </c>
      <c r="G6" s="68">
        <v>395013</v>
      </c>
      <c r="H6" s="68">
        <v>518850</v>
      </c>
      <c r="I6" s="68">
        <v>610610</v>
      </c>
      <c r="J6" s="59"/>
      <c r="K6" s="59"/>
      <c r="L6" s="59"/>
      <c r="M6" s="60"/>
    </row>
    <row r="7" spans="1:13" ht="21" customHeight="1" x14ac:dyDescent="0.3">
      <c r="A7" s="76" t="s">
        <v>70</v>
      </c>
      <c r="B7" s="74" t="s">
        <v>46</v>
      </c>
      <c r="C7" s="72">
        <v>6668</v>
      </c>
      <c r="D7" s="72">
        <v>14621</v>
      </c>
      <c r="E7" s="75">
        <v>23006</v>
      </c>
      <c r="F7" s="77">
        <v>20403.78</v>
      </c>
      <c r="G7" s="68">
        <v>23350</v>
      </c>
      <c r="H7" s="68">
        <v>24119</v>
      </c>
      <c r="I7" s="68">
        <v>23937</v>
      </c>
      <c r="J7" s="59"/>
      <c r="K7" s="59"/>
      <c r="L7" s="59"/>
      <c r="M7" s="60"/>
    </row>
    <row r="8" spans="1:13" ht="21" customHeight="1" x14ac:dyDescent="0.3">
      <c r="A8" s="76" t="s">
        <v>71</v>
      </c>
      <c r="B8" s="74" t="s">
        <v>46</v>
      </c>
      <c r="C8" s="72">
        <v>234868</v>
      </c>
      <c r="D8" s="72">
        <v>400996</v>
      </c>
      <c r="E8" s="75">
        <v>791561</v>
      </c>
      <c r="F8" s="77">
        <v>1267949.56</v>
      </c>
      <c r="G8" s="68">
        <v>1371032</v>
      </c>
      <c r="H8" s="68">
        <v>1341563</v>
      </c>
      <c r="I8" s="68">
        <v>1419255</v>
      </c>
      <c r="J8" s="59"/>
      <c r="K8" s="59"/>
      <c r="L8" s="59"/>
      <c r="M8" s="60"/>
    </row>
    <row r="9" spans="1:13" ht="21" customHeight="1" x14ac:dyDescent="0.3">
      <c r="A9" s="76" t="s">
        <v>72</v>
      </c>
      <c r="B9" s="74" t="s">
        <v>46</v>
      </c>
      <c r="C9" s="72">
        <v>645</v>
      </c>
      <c r="D9" s="72">
        <v>1493</v>
      </c>
      <c r="E9" s="75">
        <v>2638</v>
      </c>
      <c r="F9" s="77">
        <v>2069.15</v>
      </c>
      <c r="G9" s="68">
        <v>2873</v>
      </c>
      <c r="H9" s="68">
        <v>3031</v>
      </c>
      <c r="I9" s="68">
        <v>3112</v>
      </c>
      <c r="J9" s="59"/>
      <c r="K9" s="59"/>
      <c r="L9" s="59"/>
      <c r="M9" s="60"/>
    </row>
    <row r="10" spans="1:13" ht="21" customHeight="1" x14ac:dyDescent="0.3">
      <c r="A10" s="78" t="s">
        <v>73</v>
      </c>
      <c r="B10" s="79" t="s">
        <v>46</v>
      </c>
      <c r="C10" s="27"/>
      <c r="D10" s="27">
        <v>9857</v>
      </c>
      <c r="E10" s="80">
        <v>21845</v>
      </c>
      <c r="F10" s="77">
        <v>25306.49</v>
      </c>
      <c r="G10" s="68">
        <v>26950</v>
      </c>
      <c r="H10" s="68">
        <v>28298</v>
      </c>
      <c r="I10" s="68">
        <v>29872</v>
      </c>
      <c r="J10" s="59"/>
      <c r="K10" s="59"/>
      <c r="L10" s="59"/>
      <c r="M10" s="60"/>
    </row>
    <row r="11" spans="1:13" ht="21" customHeight="1" x14ac:dyDescent="0.3">
      <c r="A11" s="76" t="s">
        <v>74</v>
      </c>
      <c r="B11" s="81"/>
      <c r="F11" s="68"/>
      <c r="G11" s="68"/>
      <c r="H11" s="68"/>
      <c r="I11" s="59"/>
      <c r="J11" s="88"/>
      <c r="K11" s="90"/>
      <c r="L11" s="60"/>
      <c r="M11" s="60"/>
    </row>
    <row r="12" spans="1:13" s="65" customFormat="1" ht="21" customHeight="1" x14ac:dyDescent="0.3">
      <c r="A12" s="82" t="s">
        <v>75</v>
      </c>
      <c r="B12" s="83" t="s">
        <v>76</v>
      </c>
      <c r="C12" s="84">
        <v>8.19</v>
      </c>
      <c r="D12" s="84">
        <v>17.38</v>
      </c>
      <c r="E12" s="84">
        <v>26.544899999999998</v>
      </c>
      <c r="F12" s="85">
        <v>36.65</v>
      </c>
      <c r="G12" s="85">
        <v>36</v>
      </c>
      <c r="H12" s="85">
        <v>37</v>
      </c>
      <c r="I12" s="91">
        <v>36.85</v>
      </c>
      <c r="J12" s="92"/>
      <c r="K12" s="93"/>
      <c r="L12" s="94"/>
      <c r="M12" s="94"/>
    </row>
    <row r="13" spans="1:13" s="65" customFormat="1" ht="21" customHeight="1" x14ac:dyDescent="0.3">
      <c r="A13" s="82" t="s">
        <v>77</v>
      </c>
      <c r="B13" s="83" t="s">
        <v>76</v>
      </c>
      <c r="C13" s="84">
        <v>1.06</v>
      </c>
      <c r="D13" s="84">
        <v>1.4</v>
      </c>
      <c r="E13" s="84">
        <v>0.90480000000000005</v>
      </c>
      <c r="F13" s="85">
        <v>2.94</v>
      </c>
      <c r="G13" s="85">
        <v>2.0099999999999998</v>
      </c>
      <c r="H13" s="85">
        <v>2.35</v>
      </c>
      <c r="I13" s="91">
        <v>2.44</v>
      </c>
      <c r="J13" s="95"/>
      <c r="K13" s="93"/>
      <c r="L13" s="94"/>
      <c r="M13" s="94"/>
    </row>
    <row r="14" spans="1:13" s="65" customFormat="1" ht="21" customHeight="1" x14ac:dyDescent="0.3">
      <c r="A14" s="82" t="s">
        <v>78</v>
      </c>
      <c r="B14" s="83" t="s">
        <v>76</v>
      </c>
      <c r="C14" s="84">
        <v>88.29</v>
      </c>
      <c r="D14" s="84">
        <v>68.650000000000006</v>
      </c>
      <c r="E14" s="84">
        <v>93.908600000000007</v>
      </c>
      <c r="F14" s="85">
        <v>94.22</v>
      </c>
      <c r="G14" s="85">
        <v>102.97</v>
      </c>
      <c r="H14" s="85">
        <v>114.51</v>
      </c>
      <c r="I14" s="91">
        <v>114.52</v>
      </c>
      <c r="J14" s="92"/>
      <c r="K14" s="91"/>
      <c r="L14" s="94"/>
      <c r="M14" s="94"/>
    </row>
    <row r="15" spans="1:13" s="65" customFormat="1" ht="21" customHeight="1" x14ac:dyDescent="0.3">
      <c r="A15" s="82" t="s">
        <v>79</v>
      </c>
      <c r="B15" s="83" t="s">
        <v>76</v>
      </c>
      <c r="C15" s="15">
        <v>20.81</v>
      </c>
      <c r="D15" s="15">
        <v>17.73</v>
      </c>
      <c r="E15" s="15">
        <v>24.024100000000001</v>
      </c>
      <c r="F15" s="85">
        <v>26.35</v>
      </c>
      <c r="G15" s="85">
        <v>26.96</v>
      </c>
      <c r="H15" s="85">
        <v>26.61</v>
      </c>
      <c r="I15" s="91">
        <v>31.33</v>
      </c>
      <c r="J15" s="92"/>
      <c r="K15" s="92"/>
      <c r="L15" s="94"/>
      <c r="M15" s="94"/>
    </row>
    <row r="16" spans="1:13" s="65" customFormat="1" ht="21" customHeight="1" x14ac:dyDescent="0.3">
      <c r="A16" s="82" t="s">
        <v>80</v>
      </c>
      <c r="B16" s="83" t="s">
        <v>76</v>
      </c>
      <c r="C16" s="15">
        <v>6.82</v>
      </c>
      <c r="D16" s="15">
        <v>4.49</v>
      </c>
      <c r="E16" s="15">
        <v>11.0801</v>
      </c>
      <c r="F16" s="85">
        <v>11.81</v>
      </c>
      <c r="G16" s="85">
        <v>10.58</v>
      </c>
      <c r="H16" s="85">
        <v>11.6137</v>
      </c>
      <c r="I16" s="91">
        <v>12.34</v>
      </c>
      <c r="J16" s="96"/>
      <c r="K16" s="91"/>
      <c r="L16" s="94"/>
      <c r="M16" s="94"/>
    </row>
    <row r="17" spans="1:13" s="65" customFormat="1" ht="21" customHeight="1" x14ac:dyDescent="0.3">
      <c r="A17" s="82" t="s">
        <v>81</v>
      </c>
      <c r="B17" s="83" t="s">
        <v>76</v>
      </c>
      <c r="C17" s="15">
        <v>12</v>
      </c>
      <c r="D17" s="15">
        <v>12.22</v>
      </c>
      <c r="E17" s="15">
        <v>11.3161</v>
      </c>
      <c r="F17" s="85">
        <v>12.6</v>
      </c>
      <c r="G17" s="85">
        <v>14.56</v>
      </c>
      <c r="H17" s="85">
        <v>13.3124</v>
      </c>
      <c r="I17" s="91">
        <v>16.170000000000002</v>
      </c>
      <c r="J17" s="92"/>
      <c r="K17" s="92"/>
      <c r="L17" s="94"/>
      <c r="M17" s="94"/>
    </row>
    <row r="18" spans="1:13" s="65" customFormat="1" ht="21" customHeight="1" x14ac:dyDescent="0.3">
      <c r="A18" s="82" t="s">
        <v>82</v>
      </c>
      <c r="B18" s="83" t="s">
        <v>83</v>
      </c>
      <c r="C18" s="84">
        <v>1808.3</v>
      </c>
      <c r="D18" s="84">
        <v>1583.25</v>
      </c>
      <c r="E18" s="15">
        <v>1223.3599999999999</v>
      </c>
      <c r="F18" s="85">
        <v>1288.19</v>
      </c>
      <c r="G18" s="85">
        <v>1476.89</v>
      </c>
      <c r="H18" s="85">
        <v>1555.6694</v>
      </c>
      <c r="I18" s="91">
        <v>1630.17</v>
      </c>
      <c r="J18" s="92"/>
      <c r="K18" s="91"/>
      <c r="L18" s="94"/>
      <c r="M18" s="94"/>
    </row>
    <row r="19" spans="1:13" s="65" customFormat="1" ht="21" customHeight="1" x14ac:dyDescent="0.3">
      <c r="A19" s="82" t="s">
        <v>84</v>
      </c>
      <c r="B19" s="83" t="s">
        <v>85</v>
      </c>
      <c r="C19" s="84">
        <v>155.51</v>
      </c>
      <c r="D19" s="84">
        <v>91.11</v>
      </c>
      <c r="E19" s="15">
        <v>129</v>
      </c>
      <c r="F19" s="85">
        <v>136.57</v>
      </c>
      <c r="G19" s="85">
        <v>148.19999999999999</v>
      </c>
      <c r="H19" s="85">
        <v>162.1207</v>
      </c>
      <c r="I19" s="91">
        <v>177.84</v>
      </c>
      <c r="J19" s="95"/>
      <c r="K19" s="91"/>
      <c r="L19" s="94"/>
      <c r="M19" s="94"/>
    </row>
    <row r="20" spans="1:13" s="65" customFormat="1" ht="21" customHeight="1" x14ac:dyDescent="0.3">
      <c r="A20" s="82" t="s">
        <v>86</v>
      </c>
      <c r="B20" s="83" t="s">
        <v>87</v>
      </c>
      <c r="C20" s="84">
        <v>1641.53</v>
      </c>
      <c r="D20" s="84">
        <v>1486.15</v>
      </c>
      <c r="E20" s="15">
        <v>1086.6199999999999</v>
      </c>
      <c r="F20" s="85">
        <v>1144.25</v>
      </c>
      <c r="G20" s="85">
        <v>1321.25</v>
      </c>
      <c r="H20" s="85">
        <v>1386.4474</v>
      </c>
      <c r="I20" s="91">
        <v>1445.76</v>
      </c>
      <c r="J20" s="91"/>
      <c r="K20" s="91"/>
      <c r="L20" s="94"/>
      <c r="M20" s="94"/>
    </row>
    <row r="21" spans="1:13" s="65" customFormat="1" ht="21" customHeight="1" x14ac:dyDescent="0.3">
      <c r="A21" s="82" t="s">
        <v>88</v>
      </c>
      <c r="B21" s="83" t="s">
        <v>89</v>
      </c>
      <c r="C21" s="84">
        <v>11.3</v>
      </c>
      <c r="D21" s="84">
        <v>5.99</v>
      </c>
      <c r="E21" s="15">
        <v>7.7</v>
      </c>
      <c r="F21" s="85">
        <v>7.36</v>
      </c>
      <c r="G21" s="85">
        <v>7.44</v>
      </c>
      <c r="H21" s="85">
        <v>7.1013000000000002</v>
      </c>
      <c r="I21" s="91">
        <v>6.57</v>
      </c>
      <c r="J21" s="91"/>
      <c r="K21" s="92"/>
      <c r="L21" s="94"/>
      <c r="M21" s="94"/>
    </row>
    <row r="22" spans="1:13" s="65" customFormat="1" ht="21" customHeight="1" x14ac:dyDescent="0.3">
      <c r="A22" s="86" t="s">
        <v>90</v>
      </c>
      <c r="B22" s="83" t="s">
        <v>83</v>
      </c>
      <c r="C22" s="84">
        <v>1025.6199999999999</v>
      </c>
      <c r="D22" s="84">
        <v>830.72</v>
      </c>
      <c r="E22" s="15">
        <v>640.92999999999995</v>
      </c>
      <c r="F22" s="85">
        <v>718.79</v>
      </c>
      <c r="G22" s="84">
        <v>795.49</v>
      </c>
      <c r="H22" s="84">
        <v>730.31989999999996</v>
      </c>
      <c r="I22" s="94">
        <v>794.51</v>
      </c>
      <c r="J22" s="94"/>
      <c r="K22" s="97"/>
      <c r="L22" s="94"/>
      <c r="M22" s="94"/>
    </row>
    <row r="23" spans="1:13" s="65" customFormat="1" ht="21" customHeight="1" x14ac:dyDescent="0.3">
      <c r="A23" s="82" t="s">
        <v>91</v>
      </c>
      <c r="B23" s="83" t="s">
        <v>85</v>
      </c>
      <c r="C23" s="84">
        <v>97.41</v>
      </c>
      <c r="D23" s="84">
        <v>61.05</v>
      </c>
      <c r="E23" s="15">
        <v>90.83</v>
      </c>
      <c r="F23" s="85">
        <v>103.29</v>
      </c>
      <c r="G23" s="84">
        <v>111.08</v>
      </c>
      <c r="H23" s="84">
        <v>103.36920000000001</v>
      </c>
      <c r="I23" s="94">
        <v>102.3</v>
      </c>
      <c r="J23" s="94"/>
      <c r="K23" s="97"/>
      <c r="L23" s="94"/>
      <c r="M23" s="94"/>
    </row>
    <row r="24" spans="1:13" s="65" customFormat="1" ht="21" customHeight="1" x14ac:dyDescent="0.3">
      <c r="A24" s="82" t="s">
        <v>92</v>
      </c>
      <c r="B24" s="83" t="s">
        <v>87</v>
      </c>
      <c r="C24" s="84">
        <v>920.61</v>
      </c>
      <c r="D24" s="84">
        <v>765.61</v>
      </c>
      <c r="E24" s="15">
        <v>544.35</v>
      </c>
      <c r="F24" s="85">
        <v>610.04</v>
      </c>
      <c r="G24" s="85">
        <v>678.99</v>
      </c>
      <c r="H24" s="84">
        <v>622.15549999999996</v>
      </c>
      <c r="I24" s="94">
        <v>687.56</v>
      </c>
      <c r="L24" s="94"/>
      <c r="M24" s="94"/>
    </row>
    <row r="25" spans="1:13" s="65" customFormat="1" ht="21" customHeight="1" x14ac:dyDescent="0.3">
      <c r="A25" s="82" t="s">
        <v>93</v>
      </c>
      <c r="B25" s="83" t="s">
        <v>89</v>
      </c>
      <c r="C25" s="84">
        <v>7.6</v>
      </c>
      <c r="D25" s="84">
        <v>4.0599999999999996</v>
      </c>
      <c r="E25" s="15">
        <v>5.75</v>
      </c>
      <c r="F25" s="85">
        <v>5.46</v>
      </c>
      <c r="G25" s="84">
        <v>5.42</v>
      </c>
      <c r="H25" s="84">
        <v>4.7952000000000004</v>
      </c>
      <c r="I25" s="94">
        <v>4.6500000000000004</v>
      </c>
      <c r="L25" s="94"/>
      <c r="M25" s="94"/>
    </row>
    <row r="26" spans="1:13" ht="12" customHeight="1" x14ac:dyDescent="0.3">
      <c r="I26" s="50"/>
      <c r="J26" s="60"/>
      <c r="K26" s="60"/>
      <c r="L26" s="60"/>
      <c r="M26" s="60"/>
    </row>
    <row r="27" spans="1:13" x14ac:dyDescent="0.3">
      <c r="I27" s="50"/>
      <c r="J27" s="60"/>
      <c r="K27" s="60"/>
      <c r="L27" s="60"/>
      <c r="M27" s="60"/>
    </row>
    <row r="28" spans="1:13" x14ac:dyDescent="0.3">
      <c r="I28" s="50"/>
      <c r="J28" s="60"/>
      <c r="K28" s="60"/>
      <c r="L28" s="60"/>
      <c r="M28" s="60"/>
    </row>
    <row r="29" spans="1:13" x14ac:dyDescent="0.3">
      <c r="I29" s="50"/>
      <c r="J29" s="60"/>
      <c r="K29" s="60"/>
      <c r="L29" s="60"/>
      <c r="M29" s="60"/>
    </row>
    <row r="30" spans="1:13" x14ac:dyDescent="0.3">
      <c r="I30" s="50"/>
      <c r="J30" s="60"/>
      <c r="K30" s="60"/>
      <c r="L30" s="60"/>
      <c r="M30" s="60"/>
    </row>
    <row r="31" spans="1:13" x14ac:dyDescent="0.3">
      <c r="A31" s="135"/>
      <c r="B31" s="135"/>
      <c r="C31" s="136"/>
      <c r="D31" s="136"/>
      <c r="E31" s="136"/>
      <c r="F31" s="68"/>
      <c r="I31" s="50"/>
      <c r="J31" s="60"/>
      <c r="K31" s="60"/>
      <c r="L31" s="60"/>
      <c r="M31" s="60"/>
    </row>
    <row r="32" spans="1:13" x14ac:dyDescent="0.3">
      <c r="A32" s="137"/>
      <c r="B32" s="138"/>
      <c r="C32" s="139"/>
      <c r="D32" s="139"/>
      <c r="E32" s="139"/>
      <c r="I32" s="50"/>
      <c r="J32" s="60"/>
      <c r="K32" s="60"/>
      <c r="L32" s="60"/>
      <c r="M32" s="60"/>
    </row>
    <row r="33" spans="1:13" x14ac:dyDescent="0.3">
      <c r="A33" s="140"/>
      <c r="B33" s="141"/>
      <c r="C33" s="142"/>
      <c r="D33" s="142"/>
      <c r="E33" s="142"/>
      <c r="I33" s="50"/>
      <c r="J33" s="60"/>
      <c r="K33" s="60"/>
      <c r="L33" s="60"/>
      <c r="M33" s="60"/>
    </row>
    <row r="34" spans="1:13" x14ac:dyDescent="0.3">
      <c r="A34" s="60"/>
      <c r="B34" s="50"/>
      <c r="I34" s="50"/>
      <c r="J34" s="60"/>
      <c r="K34" s="60"/>
      <c r="L34" s="60"/>
      <c r="M34" s="60"/>
    </row>
    <row r="35" spans="1:13" x14ac:dyDescent="0.3">
      <c r="A35" s="60"/>
      <c r="B35" s="50"/>
      <c r="I35" s="50"/>
      <c r="J35" s="60"/>
      <c r="K35" s="60"/>
      <c r="L35" s="60"/>
      <c r="M35" s="60"/>
    </row>
    <row r="36" spans="1:13" x14ac:dyDescent="0.3">
      <c r="A36" s="60"/>
      <c r="B36" s="50"/>
      <c r="I36" s="50"/>
      <c r="J36" s="60"/>
      <c r="K36" s="60"/>
      <c r="L36" s="60"/>
      <c r="M36" s="60"/>
    </row>
    <row r="37" spans="1:13" x14ac:dyDescent="0.3">
      <c r="A37" s="60"/>
      <c r="B37" s="50"/>
      <c r="I37" s="50"/>
      <c r="J37" s="60"/>
    </row>
    <row r="38" spans="1:13" x14ac:dyDescent="0.3">
      <c r="A38" s="60"/>
      <c r="B38" s="50"/>
      <c r="I38" s="50"/>
      <c r="J38" s="60"/>
    </row>
    <row r="39" spans="1:13" x14ac:dyDescent="0.3">
      <c r="A39" s="60"/>
      <c r="B39" s="50"/>
      <c r="I39" s="50"/>
      <c r="J39" s="60"/>
    </row>
    <row r="40" spans="1:13" x14ac:dyDescent="0.3">
      <c r="A40" s="60"/>
      <c r="B40" s="50"/>
      <c r="I40" s="50"/>
      <c r="J40" s="60"/>
    </row>
    <row r="41" spans="1:13" x14ac:dyDescent="0.3">
      <c r="A41" s="60"/>
      <c r="B41" s="50"/>
      <c r="I41" s="50"/>
      <c r="J41" s="60"/>
    </row>
    <row r="42" spans="1:13" x14ac:dyDescent="0.3">
      <c r="A42" s="60"/>
      <c r="B42" s="50"/>
      <c r="I42" s="50"/>
      <c r="J42" s="60"/>
    </row>
    <row r="43" spans="1:13" x14ac:dyDescent="0.3">
      <c r="A43" s="60"/>
      <c r="B43" s="50"/>
      <c r="I43" s="50"/>
      <c r="J43" s="60"/>
    </row>
    <row r="44" spans="1:13" x14ac:dyDescent="0.3">
      <c r="A44" s="60"/>
      <c r="B44" s="50"/>
      <c r="I44" s="50"/>
      <c r="J44" s="60"/>
    </row>
    <row r="45" spans="1:13" x14ac:dyDescent="0.3">
      <c r="A45" s="60"/>
      <c r="B45" s="50"/>
      <c r="I45" s="50"/>
      <c r="J45" s="60"/>
    </row>
    <row r="46" spans="1:13" x14ac:dyDescent="0.3">
      <c r="A46" s="60"/>
      <c r="B46" s="50"/>
      <c r="I46" s="50"/>
      <c r="J46" s="60"/>
    </row>
    <row r="47" spans="1:13" x14ac:dyDescent="0.3">
      <c r="A47" s="60"/>
      <c r="B47" s="50"/>
      <c r="I47" s="50"/>
      <c r="J47" s="60"/>
    </row>
    <row r="48" spans="1:13" x14ac:dyDescent="0.3">
      <c r="A48" s="60"/>
      <c r="B48" s="50"/>
      <c r="I48" s="50"/>
      <c r="J48" s="60"/>
    </row>
    <row r="49" spans="1:9" x14ac:dyDescent="0.3">
      <c r="A49" s="60"/>
      <c r="B49" s="50"/>
      <c r="I49" s="51"/>
    </row>
    <row r="50" spans="1:9" x14ac:dyDescent="0.3">
      <c r="A50" s="60"/>
      <c r="B50" s="50"/>
      <c r="I50" s="51"/>
    </row>
    <row r="51" spans="1:9" x14ac:dyDescent="0.3">
      <c r="A51" s="60"/>
      <c r="B51" s="50"/>
      <c r="I51" s="51"/>
    </row>
    <row r="52" spans="1:9" x14ac:dyDescent="0.3">
      <c r="A52" s="60"/>
      <c r="B52" s="50"/>
      <c r="I52" s="51"/>
    </row>
    <row r="53" spans="1:9" x14ac:dyDescent="0.3">
      <c r="A53" s="60"/>
      <c r="B53" s="50"/>
      <c r="I53" s="51"/>
    </row>
    <row r="54" spans="1:9" x14ac:dyDescent="0.3">
      <c r="A54" s="60"/>
      <c r="B54" s="50"/>
      <c r="I54" s="51"/>
    </row>
    <row r="55" spans="1:9" x14ac:dyDescent="0.3">
      <c r="A55" s="60"/>
      <c r="B55" s="50"/>
      <c r="I55" s="51"/>
    </row>
    <row r="56" spans="1:9" x14ac:dyDescent="0.3">
      <c r="B56" s="51"/>
      <c r="I56" s="51"/>
    </row>
    <row r="57" spans="1:9" x14ac:dyDescent="0.3">
      <c r="B57" s="51"/>
    </row>
    <row r="58" spans="1:9" x14ac:dyDescent="0.3">
      <c r="B58" s="51"/>
    </row>
    <row r="59" spans="1:9" x14ac:dyDescent="0.3">
      <c r="B59" s="51"/>
    </row>
    <row r="60" spans="1:9" x14ac:dyDescent="0.3">
      <c r="B60" s="51"/>
    </row>
    <row r="61" spans="1:9" x14ac:dyDescent="0.3">
      <c r="B61" s="51"/>
    </row>
    <row r="62" spans="1:9" x14ac:dyDescent="0.3">
      <c r="B62" s="51"/>
    </row>
    <row r="63" spans="1:9" x14ac:dyDescent="0.3">
      <c r="B63" s="51"/>
    </row>
  </sheetData>
  <mergeCells count="4">
    <mergeCell ref="A1:B1"/>
    <mergeCell ref="A31:E31"/>
    <mergeCell ref="A32:E32"/>
    <mergeCell ref="A33:E33"/>
  </mergeCells>
  <phoneticPr fontId="15" type="noConversion"/>
  <pageMargins left="0.67" right="0.63" top="0.83" bottom="0.67" header="0.51" footer="0.51"/>
  <pageSetup paperSize="256" orientation="portrait" horizontalDpi="300" verticalDpi="300"/>
  <headerFooter scaleWithDoc="0"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topLeftCell="A13" workbookViewId="0">
      <selection activeCell="L13" sqref="L13"/>
    </sheetView>
  </sheetViews>
  <sheetFormatPr defaultColWidth="9" defaultRowHeight="15" x14ac:dyDescent="0.3"/>
  <cols>
    <col min="1" max="1" width="22.85546875" style="3" customWidth="1"/>
    <col min="3" max="3" width="8.35546875" style="37" customWidth="1"/>
    <col min="4" max="5" width="7.640625" style="37" customWidth="1"/>
    <col min="6" max="8" width="9" style="37"/>
    <col min="10" max="10" width="9" style="38"/>
  </cols>
  <sheetData>
    <row r="1" spans="1:13" s="35" customFormat="1" ht="35.15" customHeight="1" x14ac:dyDescent="0.5">
      <c r="A1" s="134"/>
      <c r="B1" s="134"/>
      <c r="C1" s="37"/>
      <c r="D1" s="37"/>
      <c r="E1" s="37"/>
      <c r="F1" s="37"/>
      <c r="G1" s="37"/>
      <c r="H1" s="37"/>
      <c r="J1" s="52"/>
    </row>
    <row r="2" spans="1:13" s="35" customFormat="1" ht="15" customHeight="1" x14ac:dyDescent="0.5">
      <c r="A2" s="5" t="s">
        <v>94</v>
      </c>
      <c r="B2" s="39"/>
      <c r="C2" s="37"/>
      <c r="D2" s="37"/>
      <c r="E2" s="37"/>
      <c r="F2" s="37"/>
      <c r="G2" s="37"/>
      <c r="H2" s="37"/>
      <c r="J2" s="52"/>
    </row>
    <row r="3" spans="1:13" s="3" customFormat="1" ht="20.149999999999999" x14ac:dyDescent="0.4">
      <c r="A3" s="7"/>
      <c r="B3" s="8" t="s">
        <v>1</v>
      </c>
      <c r="C3" s="40" t="s">
        <v>2</v>
      </c>
      <c r="D3" s="40" t="s">
        <v>3</v>
      </c>
      <c r="E3" s="40" t="s">
        <v>4</v>
      </c>
      <c r="F3" s="40" t="s">
        <v>5</v>
      </c>
      <c r="G3" s="40" t="s">
        <v>6</v>
      </c>
      <c r="H3" s="40" t="s">
        <v>7</v>
      </c>
      <c r="I3" s="53" t="s">
        <v>95</v>
      </c>
      <c r="J3" s="54"/>
    </row>
    <row r="4" spans="1:13" s="3" customFormat="1" ht="25.5" customHeight="1" x14ac:dyDescent="0.3">
      <c r="A4" s="16" t="s">
        <v>96</v>
      </c>
      <c r="B4" s="41"/>
      <c r="C4" s="40"/>
      <c r="D4" s="40"/>
      <c r="E4" s="42"/>
      <c r="F4" s="40"/>
      <c r="G4" s="40"/>
      <c r="H4" s="40"/>
      <c r="I4" s="55"/>
      <c r="J4" s="54"/>
    </row>
    <row r="5" spans="1:13" s="3" customFormat="1" ht="25.5" customHeight="1" x14ac:dyDescent="0.3">
      <c r="A5" s="12" t="s">
        <v>97</v>
      </c>
      <c r="B5" s="41" t="s">
        <v>21</v>
      </c>
      <c r="C5" s="43">
        <v>35.86</v>
      </c>
      <c r="D5" s="43">
        <v>113.99</v>
      </c>
      <c r="E5" s="43">
        <v>740.67629999999997</v>
      </c>
      <c r="F5" s="43">
        <v>1142.8499999999999</v>
      </c>
      <c r="G5" s="43">
        <v>1141.5999999999999</v>
      </c>
      <c r="H5" s="40">
        <v>1172.6600000000001</v>
      </c>
      <c r="I5" s="56">
        <v>1180.9100000000001</v>
      </c>
      <c r="J5" s="57"/>
      <c r="K5" s="28"/>
      <c r="L5" s="28"/>
      <c r="M5" s="28"/>
    </row>
    <row r="6" spans="1:13" s="3" customFormat="1" ht="25.5" customHeight="1" x14ac:dyDescent="0.3">
      <c r="A6" s="12" t="s">
        <v>98</v>
      </c>
      <c r="B6" s="41" t="s">
        <v>21</v>
      </c>
      <c r="C6" s="43">
        <v>25.4</v>
      </c>
      <c r="D6" s="43">
        <v>95.79</v>
      </c>
      <c r="E6" s="43">
        <v>638.77629999999999</v>
      </c>
      <c r="F6" s="43">
        <v>966.05</v>
      </c>
      <c r="G6" s="43">
        <v>958.3</v>
      </c>
      <c r="H6" s="43">
        <v>992.46245199999998</v>
      </c>
      <c r="I6" s="56">
        <v>1005.91</v>
      </c>
      <c r="J6" s="57"/>
      <c r="K6" s="28"/>
      <c r="L6" s="28"/>
      <c r="M6" s="28"/>
    </row>
    <row r="7" spans="1:13" s="3" customFormat="1" ht="25.5" customHeight="1" x14ac:dyDescent="0.3">
      <c r="A7" s="12" t="s">
        <v>99</v>
      </c>
      <c r="B7" s="41" t="s">
        <v>21</v>
      </c>
      <c r="C7" s="43">
        <v>10.46</v>
      </c>
      <c r="D7" s="43">
        <v>18.2</v>
      </c>
      <c r="E7" s="43">
        <v>101.9</v>
      </c>
      <c r="F7" s="43">
        <v>176.8</v>
      </c>
      <c r="G7" s="43">
        <v>183.3</v>
      </c>
      <c r="H7" s="43">
        <v>180.2</v>
      </c>
      <c r="I7" s="56">
        <v>175</v>
      </c>
      <c r="J7" s="57"/>
      <c r="K7" s="28"/>
      <c r="L7" s="28"/>
      <c r="M7" s="28"/>
    </row>
    <row r="8" spans="1:13" ht="25.5" customHeight="1" x14ac:dyDescent="0.3">
      <c r="A8" s="12" t="s">
        <v>100</v>
      </c>
      <c r="B8" s="41"/>
      <c r="C8" s="44"/>
      <c r="D8" s="44"/>
      <c r="E8" s="44"/>
      <c r="F8" s="44"/>
      <c r="G8" s="44"/>
      <c r="H8" s="44"/>
      <c r="I8" s="58"/>
      <c r="J8" s="59"/>
      <c r="K8" s="60"/>
      <c r="L8" s="60"/>
      <c r="M8" s="60"/>
    </row>
    <row r="9" spans="1:13" ht="25.5" customHeight="1" x14ac:dyDescent="0.3">
      <c r="A9" s="12" t="s">
        <v>101</v>
      </c>
      <c r="B9" s="41" t="s">
        <v>76</v>
      </c>
      <c r="C9" s="45">
        <v>122.83</v>
      </c>
      <c r="D9" s="45">
        <v>693.8</v>
      </c>
      <c r="E9" s="46">
        <v>10794.4</v>
      </c>
      <c r="F9" s="46">
        <v>14114</v>
      </c>
      <c r="G9" s="44">
        <v>11502</v>
      </c>
      <c r="H9" s="44">
        <v>8365.64</v>
      </c>
      <c r="I9" s="58">
        <v>8137.1</v>
      </c>
      <c r="J9" s="59"/>
      <c r="K9" s="60"/>
      <c r="L9" s="60"/>
      <c r="M9" s="60"/>
    </row>
    <row r="10" spans="1:13" s="36" customFormat="1" ht="25.5" customHeight="1" x14ac:dyDescent="0.3">
      <c r="A10" s="47" t="s">
        <v>102</v>
      </c>
      <c r="B10" s="48" t="s">
        <v>76</v>
      </c>
      <c r="C10" s="45">
        <v>90.5</v>
      </c>
      <c r="D10" s="45">
        <v>84.5</v>
      </c>
      <c r="E10" s="45">
        <v>104.63</v>
      </c>
      <c r="F10" s="45">
        <v>115</v>
      </c>
      <c r="G10" s="45">
        <v>135.9</v>
      </c>
      <c r="H10" s="45">
        <v>122.97</v>
      </c>
      <c r="I10" s="58">
        <v>121.67</v>
      </c>
      <c r="J10" s="61"/>
      <c r="K10" s="62"/>
      <c r="L10" s="62"/>
      <c r="M10" s="62"/>
    </row>
    <row r="11" spans="1:13" ht="25.5" customHeight="1" x14ac:dyDescent="0.3">
      <c r="A11" s="12" t="s">
        <v>103</v>
      </c>
      <c r="B11" s="41" t="s">
        <v>104</v>
      </c>
      <c r="C11" s="49">
        <v>3.63</v>
      </c>
      <c r="D11" s="43">
        <v>8.07</v>
      </c>
      <c r="E11" s="43">
        <v>209.2287</v>
      </c>
      <c r="F11" s="49">
        <v>376.49</v>
      </c>
      <c r="G11" s="44">
        <v>384.93</v>
      </c>
      <c r="H11" s="44">
        <v>344.91</v>
      </c>
      <c r="I11" s="58">
        <v>342.18</v>
      </c>
      <c r="J11" s="63"/>
      <c r="K11" s="50"/>
      <c r="L11" s="60"/>
      <c r="M11" s="60"/>
    </row>
    <row r="12" spans="1:13" ht="25.5" customHeight="1" x14ac:dyDescent="0.3">
      <c r="A12" s="12" t="s">
        <v>105</v>
      </c>
      <c r="B12" s="41" t="s">
        <v>76</v>
      </c>
      <c r="C12" s="44">
        <v>5.0599999999999996</v>
      </c>
      <c r="D12" s="45">
        <v>43.46</v>
      </c>
      <c r="E12" s="45">
        <v>567.04</v>
      </c>
      <c r="F12" s="44">
        <v>665.91</v>
      </c>
      <c r="G12" s="44">
        <v>710.33</v>
      </c>
      <c r="H12" s="44">
        <v>534.79</v>
      </c>
      <c r="I12" s="58">
        <v>528.6</v>
      </c>
      <c r="J12" s="59"/>
      <c r="K12" s="60"/>
      <c r="L12" s="60"/>
      <c r="M12" s="60"/>
    </row>
    <row r="13" spans="1:13" ht="25.5" customHeight="1" x14ac:dyDescent="0.3">
      <c r="A13" s="12" t="s">
        <v>106</v>
      </c>
      <c r="B13" s="41" t="s">
        <v>107</v>
      </c>
      <c r="C13" s="44"/>
      <c r="D13" s="46"/>
      <c r="E13" s="46">
        <v>1489.3</v>
      </c>
      <c r="F13" s="44">
        <v>3117</v>
      </c>
      <c r="G13" s="44">
        <v>3578</v>
      </c>
      <c r="H13" s="44">
        <v>4178.87</v>
      </c>
      <c r="I13" s="58">
        <v>4052.37</v>
      </c>
      <c r="J13" s="59"/>
      <c r="K13" s="60"/>
      <c r="L13" s="60"/>
      <c r="M13" s="60"/>
    </row>
    <row r="14" spans="1:13" ht="25.5" customHeight="1" x14ac:dyDescent="0.3">
      <c r="A14" s="12" t="s">
        <v>108</v>
      </c>
      <c r="B14" s="41" t="s">
        <v>76</v>
      </c>
      <c r="C14" s="49">
        <v>2.76</v>
      </c>
      <c r="D14" s="49">
        <v>8.48</v>
      </c>
      <c r="E14" s="49">
        <v>14.9992</v>
      </c>
      <c r="F14" s="49">
        <v>18.21</v>
      </c>
      <c r="G14" s="44">
        <v>21.27</v>
      </c>
      <c r="H14" s="49">
        <v>24.76341</v>
      </c>
      <c r="I14" s="58">
        <v>28.51</v>
      </c>
      <c r="J14" s="59"/>
      <c r="K14" s="60"/>
      <c r="L14" s="60"/>
      <c r="M14" s="60"/>
    </row>
    <row r="15" spans="1:13" ht="25.5" customHeight="1" x14ac:dyDescent="0.3">
      <c r="A15" s="16" t="s">
        <v>109</v>
      </c>
      <c r="B15" s="41"/>
      <c r="C15" s="44"/>
      <c r="D15" s="44"/>
      <c r="E15" s="44"/>
      <c r="F15" s="44"/>
      <c r="G15" s="44"/>
      <c r="H15" s="44"/>
      <c r="I15" s="64"/>
      <c r="J15" s="59"/>
      <c r="K15" s="60"/>
      <c r="L15" s="60"/>
      <c r="M15" s="60"/>
    </row>
    <row r="16" spans="1:13" ht="25.5" customHeight="1" x14ac:dyDescent="0.3">
      <c r="A16" s="16" t="s">
        <v>110</v>
      </c>
      <c r="B16" s="41"/>
      <c r="C16" s="44"/>
      <c r="D16" s="44"/>
      <c r="E16" s="44"/>
      <c r="F16" s="44"/>
      <c r="G16" s="44"/>
      <c r="H16" s="44"/>
      <c r="I16" s="64"/>
      <c r="J16" s="59"/>
      <c r="K16" s="60"/>
      <c r="L16" s="60"/>
      <c r="M16" s="60"/>
    </row>
    <row r="17" spans="1:13" ht="25.5" customHeight="1" x14ac:dyDescent="0.3">
      <c r="A17" s="12" t="s">
        <v>111</v>
      </c>
      <c r="B17" s="41" t="s">
        <v>76</v>
      </c>
      <c r="C17" s="44">
        <v>726</v>
      </c>
      <c r="D17" s="44">
        <v>1760</v>
      </c>
      <c r="E17" s="44">
        <v>15778</v>
      </c>
      <c r="F17" s="44">
        <v>25063</v>
      </c>
      <c r="G17" s="44">
        <v>26140</v>
      </c>
      <c r="H17" s="44">
        <v>27761</v>
      </c>
      <c r="I17" s="64">
        <v>30730</v>
      </c>
      <c r="J17" s="59"/>
      <c r="K17" s="60"/>
      <c r="L17" s="60"/>
      <c r="M17" s="60"/>
    </row>
    <row r="18" spans="1:13" ht="25.5" customHeight="1" x14ac:dyDescent="0.3">
      <c r="A18" s="12" t="s">
        <v>112</v>
      </c>
      <c r="B18" s="41" t="s">
        <v>113</v>
      </c>
      <c r="C18" s="44">
        <v>87521</v>
      </c>
      <c r="D18" s="44">
        <v>286597</v>
      </c>
      <c r="E18" s="44">
        <v>3248276</v>
      </c>
      <c r="F18" s="44">
        <v>5298177</v>
      </c>
      <c r="G18" s="44">
        <v>5543157</v>
      </c>
      <c r="H18" s="44">
        <v>5897919</v>
      </c>
      <c r="I18" s="64">
        <v>6695980</v>
      </c>
      <c r="J18" s="59"/>
      <c r="K18" s="60"/>
      <c r="L18" s="60"/>
      <c r="M18" s="60"/>
    </row>
    <row r="19" spans="1:13" ht="25.5" customHeight="1" x14ac:dyDescent="0.3">
      <c r="A19" s="12" t="s">
        <v>114</v>
      </c>
      <c r="B19" s="41" t="s">
        <v>11</v>
      </c>
      <c r="C19" s="40">
        <v>587</v>
      </c>
      <c r="D19" s="40">
        <v>985</v>
      </c>
      <c r="E19" s="40">
        <v>1020</v>
      </c>
      <c r="F19" s="44">
        <v>1343</v>
      </c>
      <c r="G19" s="44">
        <v>1373</v>
      </c>
      <c r="H19" s="44">
        <v>1405</v>
      </c>
      <c r="I19" s="64">
        <v>1500</v>
      </c>
      <c r="J19" s="59"/>
      <c r="K19" s="60"/>
      <c r="L19" s="60"/>
      <c r="M19" s="60"/>
    </row>
    <row r="20" spans="1:13" ht="25.5" customHeight="1" x14ac:dyDescent="0.3">
      <c r="A20" s="12" t="s">
        <v>115</v>
      </c>
      <c r="B20" s="41" t="s">
        <v>116</v>
      </c>
      <c r="C20" s="40">
        <v>87006</v>
      </c>
      <c r="D20" s="40">
        <v>159888</v>
      </c>
      <c r="E20" s="40">
        <v>236342</v>
      </c>
      <c r="F20" s="44">
        <v>322167</v>
      </c>
      <c r="G20" s="44">
        <v>330941</v>
      </c>
      <c r="H20" s="44">
        <v>339545</v>
      </c>
      <c r="I20" s="64">
        <v>367338</v>
      </c>
      <c r="J20" s="59"/>
      <c r="K20" s="60"/>
      <c r="L20" s="60"/>
      <c r="M20" s="60"/>
    </row>
    <row r="21" spans="1:13" ht="25.5" customHeight="1" x14ac:dyDescent="0.3">
      <c r="A21" s="12" t="s">
        <v>117</v>
      </c>
      <c r="B21" s="41"/>
      <c r="C21" s="44"/>
      <c r="D21" s="44"/>
      <c r="E21" s="44"/>
      <c r="F21" s="44"/>
      <c r="G21" s="44"/>
      <c r="H21" s="44"/>
      <c r="I21" s="64"/>
      <c r="J21" s="59"/>
      <c r="K21" s="60"/>
      <c r="L21" s="60"/>
      <c r="M21" s="60"/>
    </row>
    <row r="22" spans="1:13" ht="25.5" customHeight="1" x14ac:dyDescent="0.3">
      <c r="A22" s="12" t="s">
        <v>118</v>
      </c>
      <c r="B22" s="41" t="s">
        <v>76</v>
      </c>
      <c r="C22" s="44"/>
      <c r="D22" s="44"/>
      <c r="E22" s="44"/>
      <c r="F22" s="44">
        <v>9365</v>
      </c>
      <c r="G22" s="44">
        <v>9473</v>
      </c>
      <c r="H22" s="44">
        <v>8191</v>
      </c>
      <c r="I22" s="64">
        <v>7149</v>
      </c>
      <c r="J22" s="59"/>
      <c r="K22" s="60"/>
      <c r="L22" s="60"/>
      <c r="M22" s="60"/>
    </row>
    <row r="23" spans="1:13" ht="25.5" customHeight="1" x14ac:dyDescent="0.3">
      <c r="A23" s="12" t="s">
        <v>119</v>
      </c>
      <c r="B23" s="41" t="s">
        <v>76</v>
      </c>
      <c r="C23" s="44"/>
      <c r="D23" s="44"/>
      <c r="E23" s="44"/>
      <c r="F23" s="44">
        <v>1731</v>
      </c>
      <c r="G23" s="44">
        <v>1451</v>
      </c>
      <c r="H23" s="44">
        <v>632</v>
      </c>
      <c r="I23" s="64">
        <v>340</v>
      </c>
      <c r="J23" s="59"/>
      <c r="K23" s="60"/>
      <c r="L23" s="60"/>
      <c r="M23" s="60"/>
    </row>
    <row r="24" spans="1:13" ht="25.5" customHeight="1" x14ac:dyDescent="0.3">
      <c r="A24" s="16" t="s">
        <v>120</v>
      </c>
      <c r="B24" s="41" t="s">
        <v>11</v>
      </c>
      <c r="C24" s="44"/>
      <c r="D24" s="44"/>
      <c r="E24" s="44"/>
      <c r="F24" s="44">
        <v>78.099999999999994</v>
      </c>
      <c r="G24" s="44">
        <v>73.5</v>
      </c>
      <c r="H24" s="44">
        <v>80.5</v>
      </c>
      <c r="I24" s="64">
        <v>93.35</v>
      </c>
      <c r="J24" s="59"/>
      <c r="K24" s="60"/>
      <c r="L24" s="60"/>
      <c r="M24" s="60"/>
    </row>
    <row r="25" spans="1:13" ht="25.5" customHeight="1" x14ac:dyDescent="0.3">
      <c r="A25" s="16" t="s">
        <v>121</v>
      </c>
      <c r="B25" s="41"/>
      <c r="C25" s="44"/>
      <c r="D25" s="44"/>
      <c r="E25" s="44"/>
      <c r="F25" s="44"/>
      <c r="G25" s="44"/>
      <c r="H25" s="44"/>
      <c r="I25" s="64"/>
      <c r="J25" s="59"/>
      <c r="K25" s="60"/>
      <c r="L25" s="60"/>
      <c r="M25" s="60"/>
    </row>
    <row r="26" spans="1:13" ht="25.5" customHeight="1" x14ac:dyDescent="0.3">
      <c r="A26" s="24" t="s">
        <v>122</v>
      </c>
      <c r="B26" s="41" t="s">
        <v>21</v>
      </c>
      <c r="C26" s="49">
        <v>2.21</v>
      </c>
      <c r="D26" s="49">
        <v>7.42</v>
      </c>
      <c r="E26" s="49">
        <v>34.267699999999998</v>
      </c>
      <c r="F26" s="49">
        <v>14.24</v>
      </c>
      <c r="G26" s="44">
        <v>15.59</v>
      </c>
      <c r="H26" s="44">
        <v>17.59</v>
      </c>
      <c r="I26" s="64">
        <v>25.05</v>
      </c>
      <c r="J26" s="63"/>
      <c r="K26" s="50"/>
      <c r="L26" s="60"/>
      <c r="M26" s="60"/>
    </row>
    <row r="27" spans="1:13" ht="26.5" customHeight="1" x14ac:dyDescent="0.3">
      <c r="A27" s="138" t="s">
        <v>123</v>
      </c>
      <c r="B27" s="138"/>
      <c r="C27" s="139"/>
      <c r="D27" s="139"/>
      <c r="E27" s="139"/>
      <c r="F27" s="139"/>
      <c r="I27" s="50"/>
      <c r="J27" s="59"/>
      <c r="K27" s="60"/>
      <c r="L27" s="60"/>
      <c r="M27" s="60"/>
    </row>
    <row r="28" spans="1:13" x14ac:dyDescent="0.3">
      <c r="A28" s="28"/>
      <c r="B28" s="50"/>
      <c r="I28" s="50"/>
      <c r="J28" s="59"/>
      <c r="K28" s="60"/>
      <c r="L28" s="60"/>
      <c r="M28" s="60"/>
    </row>
    <row r="29" spans="1:13" x14ac:dyDescent="0.3">
      <c r="A29" s="28"/>
      <c r="B29" s="50"/>
      <c r="I29" s="50"/>
      <c r="J29" s="59"/>
    </row>
    <row r="30" spans="1:13" x14ac:dyDescent="0.3">
      <c r="A30" s="28"/>
      <c r="B30" s="50"/>
      <c r="I30" s="50"/>
      <c r="J30" s="59"/>
    </row>
    <row r="31" spans="1:13" x14ac:dyDescent="0.3">
      <c r="A31" s="28"/>
      <c r="B31" s="50"/>
      <c r="I31" s="50"/>
      <c r="J31" s="59"/>
    </row>
    <row r="32" spans="1:13" x14ac:dyDescent="0.3">
      <c r="A32" s="28"/>
      <c r="B32" s="50"/>
      <c r="I32" s="50"/>
      <c r="J32" s="59"/>
    </row>
    <row r="33" spans="1:10" x14ac:dyDescent="0.3">
      <c r="A33" s="28"/>
      <c r="B33" s="50"/>
      <c r="I33" s="50"/>
      <c r="J33" s="59"/>
    </row>
    <row r="34" spans="1:10" x14ac:dyDescent="0.3">
      <c r="A34" s="28"/>
      <c r="B34" s="50"/>
      <c r="I34" s="50"/>
      <c r="J34" s="59"/>
    </row>
    <row r="35" spans="1:10" x14ac:dyDescent="0.3">
      <c r="A35" s="28"/>
      <c r="B35" s="50"/>
      <c r="I35" s="50"/>
      <c r="J35" s="59"/>
    </row>
    <row r="36" spans="1:10" x14ac:dyDescent="0.3">
      <c r="A36" s="28"/>
      <c r="B36" s="50"/>
      <c r="I36" s="50"/>
      <c r="J36" s="59"/>
    </row>
    <row r="37" spans="1:10" x14ac:dyDescent="0.3">
      <c r="A37" s="28"/>
      <c r="B37" s="50"/>
      <c r="I37" s="50"/>
      <c r="J37" s="59"/>
    </row>
    <row r="38" spans="1:10" x14ac:dyDescent="0.3">
      <c r="A38" s="28"/>
      <c r="B38" s="50"/>
      <c r="I38" s="50"/>
      <c r="J38" s="59"/>
    </row>
    <row r="39" spans="1:10" x14ac:dyDescent="0.3">
      <c r="A39" s="28"/>
      <c r="B39" s="50"/>
      <c r="I39" s="50"/>
      <c r="J39" s="59"/>
    </row>
    <row r="40" spans="1:10" x14ac:dyDescent="0.3">
      <c r="A40" s="28"/>
      <c r="B40" s="50"/>
      <c r="I40" s="50"/>
      <c r="J40" s="59"/>
    </row>
    <row r="41" spans="1:10" x14ac:dyDescent="0.3">
      <c r="A41" s="28"/>
      <c r="B41" s="50"/>
      <c r="I41" s="51"/>
    </row>
    <row r="42" spans="1:10" x14ac:dyDescent="0.3">
      <c r="A42" s="28"/>
      <c r="B42" s="50"/>
      <c r="I42" s="51"/>
    </row>
    <row r="43" spans="1:10" x14ac:dyDescent="0.3">
      <c r="A43" s="28"/>
      <c r="B43" s="50"/>
      <c r="I43" s="51"/>
    </row>
    <row r="44" spans="1:10" x14ac:dyDescent="0.3">
      <c r="A44" s="28"/>
      <c r="B44" s="50"/>
      <c r="I44" s="51"/>
    </row>
    <row r="45" spans="1:10" x14ac:dyDescent="0.3">
      <c r="A45" s="28"/>
      <c r="B45" s="50"/>
      <c r="I45" s="51"/>
    </row>
    <row r="46" spans="1:10" x14ac:dyDescent="0.3">
      <c r="B46" s="51"/>
      <c r="I46" s="51"/>
    </row>
    <row r="47" spans="1:10" x14ac:dyDescent="0.3">
      <c r="B47" s="51"/>
      <c r="I47" s="51"/>
    </row>
    <row r="48" spans="1:10" x14ac:dyDescent="0.3">
      <c r="B48" s="51"/>
      <c r="I48" s="51"/>
    </row>
    <row r="49" spans="2:2" x14ac:dyDescent="0.3">
      <c r="B49" s="51"/>
    </row>
    <row r="50" spans="2:2" x14ac:dyDescent="0.3">
      <c r="B50" s="51"/>
    </row>
    <row r="51" spans="2:2" x14ac:dyDescent="0.3">
      <c r="B51" s="51"/>
    </row>
    <row r="52" spans="2:2" x14ac:dyDescent="0.3">
      <c r="B52" s="51"/>
    </row>
    <row r="53" spans="2:2" x14ac:dyDescent="0.3">
      <c r="B53" s="51"/>
    </row>
  </sheetData>
  <mergeCells count="2">
    <mergeCell ref="A1:B1"/>
    <mergeCell ref="A27:F27"/>
  </mergeCells>
  <phoneticPr fontId="15" type="noConversion"/>
  <pageMargins left="0.67" right="0.63" top="0.83" bottom="0.67" header="0.51" footer="0.51"/>
  <pageSetup paperSize="256" scale="91" orientation="portrait" horizontalDpi="300" verticalDpi="300"/>
  <headerFooter scaleWithDoc="0"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workbookViewId="0">
      <selection activeCell="K29" sqref="K29"/>
    </sheetView>
  </sheetViews>
  <sheetFormatPr defaultColWidth="9" defaultRowHeight="15" x14ac:dyDescent="0.3"/>
  <cols>
    <col min="1" max="1" width="25.140625" style="3" bestFit="1" customWidth="1"/>
    <col min="2" max="2" width="9" style="3"/>
    <col min="3" max="4" width="7.2109375" style="4" customWidth="1"/>
    <col min="5" max="5" width="8.5" style="4" customWidth="1"/>
    <col min="6" max="6" width="11.640625" style="4" customWidth="1"/>
    <col min="7" max="8" width="9" style="4"/>
    <col min="9" max="16384" width="9" style="3"/>
  </cols>
  <sheetData>
    <row r="1" spans="1:13" s="1" customFormat="1" ht="35.15" customHeight="1" x14ac:dyDescent="0.5">
      <c r="A1" s="143"/>
      <c r="B1" s="143"/>
      <c r="C1" s="4"/>
      <c r="D1" s="4"/>
      <c r="E1" s="4"/>
      <c r="F1" s="4"/>
      <c r="G1" s="4"/>
      <c r="H1" s="4"/>
    </row>
    <row r="2" spans="1:13" s="1" customFormat="1" ht="15" customHeight="1" x14ac:dyDescent="0.5">
      <c r="A2" s="5" t="s">
        <v>124</v>
      </c>
      <c r="B2" s="6"/>
      <c r="C2" s="4"/>
      <c r="D2" s="4"/>
      <c r="E2" s="4"/>
      <c r="F2" s="4"/>
      <c r="G2" s="4"/>
      <c r="H2" s="4"/>
    </row>
    <row r="3" spans="1:13" ht="20.149999999999999" x14ac:dyDescent="0.4">
      <c r="A3" s="7"/>
      <c r="B3" s="8" t="s">
        <v>1</v>
      </c>
      <c r="C3" s="9" t="s">
        <v>2</v>
      </c>
      <c r="D3" s="9" t="s">
        <v>3</v>
      </c>
      <c r="E3" s="9" t="s">
        <v>4</v>
      </c>
      <c r="F3" s="4" t="s">
        <v>5</v>
      </c>
      <c r="G3" s="4" t="s">
        <v>6</v>
      </c>
      <c r="H3" s="4" t="s">
        <v>7</v>
      </c>
      <c r="I3" s="30" t="s">
        <v>8</v>
      </c>
    </row>
    <row r="4" spans="1:13" ht="17.25" customHeight="1" x14ac:dyDescent="0.3">
      <c r="A4" s="10" t="s">
        <v>125</v>
      </c>
      <c r="B4" s="11"/>
      <c r="I4" s="30"/>
    </row>
    <row r="5" spans="1:13" ht="17.25" customHeight="1" x14ac:dyDescent="0.3">
      <c r="A5" s="12" t="s">
        <v>126</v>
      </c>
      <c r="B5" s="13" t="s">
        <v>21</v>
      </c>
      <c r="C5" s="14">
        <v>25.72</v>
      </c>
      <c r="D5" s="14">
        <v>49.46</v>
      </c>
      <c r="E5" s="14">
        <v>119.1125</v>
      </c>
      <c r="F5" s="14">
        <v>183.82</v>
      </c>
      <c r="G5" s="4">
        <v>204.89</v>
      </c>
      <c r="H5" s="4">
        <v>223.31</v>
      </c>
      <c r="I5" s="31">
        <v>244.7</v>
      </c>
      <c r="J5" s="29"/>
      <c r="K5" s="29"/>
      <c r="L5" s="28"/>
      <c r="M5" s="28"/>
    </row>
    <row r="6" spans="1:13" ht="17.25" customHeight="1" x14ac:dyDescent="0.3">
      <c r="A6" s="12" t="s">
        <v>127</v>
      </c>
      <c r="B6" s="13" t="s">
        <v>21</v>
      </c>
      <c r="C6" s="14">
        <v>20.66</v>
      </c>
      <c r="D6" s="14">
        <v>40.78</v>
      </c>
      <c r="E6" s="14">
        <v>92.507999999999996</v>
      </c>
      <c r="F6" s="14">
        <v>146.47999999999999</v>
      </c>
      <c r="G6" s="4">
        <v>163.99</v>
      </c>
      <c r="H6" s="4">
        <v>179.67</v>
      </c>
      <c r="I6" s="31">
        <v>200.38</v>
      </c>
      <c r="J6" s="29"/>
      <c r="K6" s="29"/>
      <c r="L6" s="28"/>
      <c r="M6" s="28"/>
    </row>
    <row r="7" spans="1:13" ht="17.25" customHeight="1" x14ac:dyDescent="0.3">
      <c r="A7" s="12" t="s">
        <v>128</v>
      </c>
      <c r="B7" s="13" t="s">
        <v>21</v>
      </c>
      <c r="C7" s="14">
        <v>5.0599999999999996</v>
      </c>
      <c r="D7" s="14">
        <v>8.68</v>
      </c>
      <c r="E7" s="14">
        <v>26.604500000000002</v>
      </c>
      <c r="F7" s="14">
        <v>37.33</v>
      </c>
      <c r="G7" s="4">
        <v>40.9</v>
      </c>
      <c r="H7" s="4">
        <v>43.64</v>
      </c>
      <c r="I7" s="31">
        <v>44.31</v>
      </c>
      <c r="J7" s="29"/>
      <c r="K7" s="29"/>
      <c r="L7" s="28"/>
      <c r="M7" s="28"/>
    </row>
    <row r="8" spans="1:13" ht="17.25" customHeight="1" x14ac:dyDescent="0.3">
      <c r="A8" s="12" t="s">
        <v>129</v>
      </c>
      <c r="B8" s="13" t="s">
        <v>130</v>
      </c>
      <c r="C8" s="14">
        <v>3.67</v>
      </c>
      <c r="D8" s="15">
        <v>5.84</v>
      </c>
      <c r="E8" s="15">
        <v>9.4214000000000002</v>
      </c>
      <c r="F8" s="14">
        <v>18.2</v>
      </c>
      <c r="G8" s="4">
        <v>15.96</v>
      </c>
      <c r="H8" s="4">
        <v>11.51</v>
      </c>
      <c r="I8" s="31">
        <v>8.8000000000000007</v>
      </c>
      <c r="J8" s="29"/>
      <c r="K8" s="29"/>
      <c r="L8" s="28"/>
      <c r="M8" s="28"/>
    </row>
    <row r="9" spans="1:13" ht="17.25" customHeight="1" x14ac:dyDescent="0.3">
      <c r="A9" s="12" t="s">
        <v>131</v>
      </c>
      <c r="B9" s="13" t="s">
        <v>130</v>
      </c>
      <c r="C9" s="14">
        <v>1.39</v>
      </c>
      <c r="D9" s="15">
        <v>0.68</v>
      </c>
      <c r="E9" s="15">
        <v>3.6640000000000001</v>
      </c>
      <c r="F9" s="14">
        <v>9.73</v>
      </c>
      <c r="G9" s="4">
        <v>6.98</v>
      </c>
      <c r="H9" s="4">
        <v>6.06</v>
      </c>
      <c r="I9" s="31">
        <v>2.74</v>
      </c>
      <c r="J9" s="29"/>
      <c r="K9" s="29"/>
      <c r="L9" s="28"/>
      <c r="M9" s="28"/>
    </row>
    <row r="10" spans="1:13" ht="17.25" customHeight="1" x14ac:dyDescent="0.3">
      <c r="A10" s="12" t="s">
        <v>132</v>
      </c>
      <c r="B10" s="13" t="s">
        <v>130</v>
      </c>
      <c r="C10" s="14">
        <v>2.2799999999999998</v>
      </c>
      <c r="D10" s="15">
        <v>5.16</v>
      </c>
      <c r="E10" s="15">
        <v>5.7573999999999996</v>
      </c>
      <c r="F10" s="14">
        <v>8.4700000000000006</v>
      </c>
      <c r="G10" s="4">
        <v>8.98</v>
      </c>
      <c r="H10" s="4">
        <v>5.45</v>
      </c>
      <c r="I10" s="31">
        <v>6.06</v>
      </c>
      <c r="J10" s="29"/>
      <c r="K10" s="29"/>
      <c r="L10" s="28"/>
      <c r="M10" s="28"/>
    </row>
    <row r="11" spans="1:13" ht="17.25" customHeight="1" x14ac:dyDescent="0.3">
      <c r="A11" s="16" t="s">
        <v>133</v>
      </c>
      <c r="B11" s="13"/>
      <c r="I11" s="31"/>
      <c r="J11" s="28"/>
      <c r="K11" s="28"/>
      <c r="L11" s="28"/>
      <c r="M11" s="28"/>
    </row>
    <row r="12" spans="1:13" ht="17.25" customHeight="1" x14ac:dyDescent="0.3">
      <c r="A12" s="12" t="s">
        <v>134</v>
      </c>
      <c r="B12" s="13" t="s">
        <v>21</v>
      </c>
      <c r="C12" s="14">
        <v>40.58</v>
      </c>
      <c r="D12" s="15">
        <v>98.9</v>
      </c>
      <c r="E12" s="15">
        <v>355.49590000000001</v>
      </c>
      <c r="F12" s="14">
        <v>517.82000000000005</v>
      </c>
      <c r="G12" s="14">
        <v>543.84</v>
      </c>
      <c r="H12" s="4">
        <v>596.05999999999995</v>
      </c>
      <c r="I12" s="31">
        <v>700.3</v>
      </c>
      <c r="J12" s="29"/>
      <c r="K12" s="29"/>
      <c r="L12" s="28"/>
      <c r="M12" s="28"/>
    </row>
    <row r="13" spans="1:13" ht="17.25" customHeight="1" x14ac:dyDescent="0.3">
      <c r="A13" s="12" t="s">
        <v>135</v>
      </c>
      <c r="B13" s="13" t="s">
        <v>21</v>
      </c>
      <c r="C13" s="14">
        <v>29.37</v>
      </c>
      <c r="D13" s="15">
        <v>65.14</v>
      </c>
      <c r="E13" s="15">
        <v>183.52019999999999</v>
      </c>
      <c r="F13" s="14">
        <v>303.25</v>
      </c>
      <c r="G13" s="14">
        <v>334.1</v>
      </c>
      <c r="H13" s="4">
        <v>368.42</v>
      </c>
      <c r="I13" s="31">
        <v>416.31</v>
      </c>
      <c r="J13" s="29"/>
      <c r="K13" s="29"/>
      <c r="L13" s="28"/>
      <c r="M13" s="28"/>
    </row>
    <row r="14" spans="1:13" ht="17.25" customHeight="1" x14ac:dyDescent="0.3">
      <c r="A14" s="12" t="s">
        <v>136</v>
      </c>
      <c r="B14" s="13" t="s">
        <v>21</v>
      </c>
      <c r="C14" s="14">
        <v>30.97</v>
      </c>
      <c r="D14" s="15">
        <v>72</v>
      </c>
      <c r="E14" s="15">
        <v>308.77</v>
      </c>
      <c r="F14" s="14">
        <v>528.16</v>
      </c>
      <c r="G14" s="14">
        <v>579.29</v>
      </c>
      <c r="H14" s="4">
        <v>617.24</v>
      </c>
      <c r="I14" s="31">
        <v>627.08000000000004</v>
      </c>
      <c r="J14" s="29"/>
      <c r="K14" s="29"/>
      <c r="L14" s="28"/>
      <c r="M14" s="28"/>
    </row>
    <row r="15" spans="1:13" ht="17.25" customHeight="1" x14ac:dyDescent="0.3">
      <c r="A15" s="12" t="s">
        <v>137</v>
      </c>
      <c r="B15" s="13" t="s">
        <v>21</v>
      </c>
      <c r="C15" s="14">
        <v>0.79</v>
      </c>
      <c r="D15" s="15">
        <v>2.12</v>
      </c>
      <c r="E15" s="15">
        <v>6.4802999999999997</v>
      </c>
      <c r="F15" s="14">
        <v>10.82</v>
      </c>
      <c r="G15" s="14">
        <v>12.03</v>
      </c>
      <c r="H15" s="4">
        <v>14.6</v>
      </c>
      <c r="I15" s="31">
        <v>17.399999999999999</v>
      </c>
      <c r="J15" s="29"/>
      <c r="K15" s="29"/>
      <c r="L15" s="28"/>
      <c r="M15" s="28"/>
    </row>
    <row r="16" spans="1:13" s="2" customFormat="1" ht="17.25" customHeight="1" x14ac:dyDescent="0.3">
      <c r="A16" s="17" t="s">
        <v>138</v>
      </c>
      <c r="B16" s="18" t="s">
        <v>21</v>
      </c>
      <c r="C16" s="19">
        <v>0.19</v>
      </c>
      <c r="D16" s="20">
        <v>0.38</v>
      </c>
      <c r="E16" s="20">
        <v>1.8613999999999999</v>
      </c>
      <c r="F16" s="19">
        <v>3.19</v>
      </c>
      <c r="G16" s="19">
        <v>3.68</v>
      </c>
      <c r="H16" s="21">
        <v>3.54</v>
      </c>
      <c r="I16" s="32">
        <v>4.22</v>
      </c>
      <c r="J16" s="33"/>
      <c r="K16" s="33"/>
      <c r="L16" s="34"/>
      <c r="M16" s="34"/>
    </row>
    <row r="17" spans="1:13" ht="17.25" customHeight="1" x14ac:dyDescent="0.3">
      <c r="A17" s="16" t="s">
        <v>139</v>
      </c>
      <c r="B17" s="13"/>
      <c r="I17" s="29"/>
      <c r="J17" s="28"/>
      <c r="K17" s="28"/>
      <c r="L17" s="28"/>
      <c r="M17" s="28"/>
    </row>
    <row r="18" spans="1:13" ht="17.25" customHeight="1" x14ac:dyDescent="0.3">
      <c r="A18" s="12" t="s">
        <v>140</v>
      </c>
      <c r="B18" s="13" t="s">
        <v>141</v>
      </c>
      <c r="C18" s="22">
        <v>83328</v>
      </c>
      <c r="D18" s="22">
        <v>65366</v>
      </c>
      <c r="E18" s="22">
        <v>62022</v>
      </c>
      <c r="F18" s="22">
        <v>57553</v>
      </c>
      <c r="G18" s="4">
        <v>57197</v>
      </c>
      <c r="H18" s="4">
        <v>58085</v>
      </c>
      <c r="I18" s="29">
        <v>58746</v>
      </c>
      <c r="J18" s="28"/>
      <c r="K18" s="28"/>
      <c r="L18" s="28"/>
      <c r="M18" s="28"/>
    </row>
    <row r="19" spans="1:13" ht="17.25" customHeight="1" x14ac:dyDescent="0.3">
      <c r="A19" s="12" t="s">
        <v>142</v>
      </c>
      <c r="B19" s="13" t="s">
        <v>141</v>
      </c>
      <c r="C19" s="22">
        <v>52295</v>
      </c>
      <c r="D19" s="22">
        <v>60808</v>
      </c>
      <c r="E19" s="22">
        <v>50131</v>
      </c>
      <c r="F19" s="22">
        <v>51257</v>
      </c>
      <c r="G19" s="4">
        <v>52690</v>
      </c>
      <c r="H19" s="4">
        <v>51055</v>
      </c>
      <c r="I19" s="29">
        <v>49017</v>
      </c>
      <c r="J19" s="28"/>
      <c r="K19" s="28"/>
      <c r="L19" s="28"/>
      <c r="M19" s="28"/>
    </row>
    <row r="20" spans="1:13" ht="17.25" customHeight="1" x14ac:dyDescent="0.3">
      <c r="A20" s="23" t="s">
        <v>143</v>
      </c>
      <c r="B20" s="13" t="s">
        <v>141</v>
      </c>
      <c r="C20" s="22">
        <v>745</v>
      </c>
      <c r="D20" s="22">
        <v>2332</v>
      </c>
      <c r="E20" s="22">
        <v>7737</v>
      </c>
      <c r="F20" s="22">
        <v>7775</v>
      </c>
      <c r="G20" s="4">
        <v>7544</v>
      </c>
      <c r="H20" s="4">
        <v>8274</v>
      </c>
      <c r="I20" s="29">
        <v>8353</v>
      </c>
      <c r="J20" s="28"/>
      <c r="K20" s="28"/>
      <c r="L20" s="28"/>
      <c r="M20" s="28"/>
    </row>
    <row r="21" spans="1:13" ht="17.25" customHeight="1" x14ac:dyDescent="0.3">
      <c r="A21" s="16" t="s">
        <v>144</v>
      </c>
      <c r="B21" s="13"/>
      <c r="C21" s="22"/>
      <c r="D21" s="22"/>
      <c r="E21" s="22"/>
      <c r="F21" s="22"/>
      <c r="I21" s="29"/>
      <c r="J21" s="28"/>
      <c r="K21" s="28"/>
      <c r="L21" s="28"/>
      <c r="M21" s="28"/>
    </row>
    <row r="22" spans="1:13" ht="17.25" customHeight="1" x14ac:dyDescent="0.3">
      <c r="A22" s="12" t="s">
        <v>145</v>
      </c>
      <c r="B22" s="13" t="s">
        <v>146</v>
      </c>
      <c r="C22" s="22">
        <v>240</v>
      </c>
      <c r="D22" s="22">
        <v>191</v>
      </c>
      <c r="E22" s="22">
        <v>560</v>
      </c>
      <c r="F22" s="22">
        <v>1255</v>
      </c>
      <c r="G22" s="4">
        <v>1265</v>
      </c>
      <c r="H22" s="4">
        <v>1286</v>
      </c>
      <c r="I22" s="29">
        <v>1336</v>
      </c>
      <c r="J22" s="28"/>
      <c r="K22" s="28"/>
      <c r="L22" s="28"/>
      <c r="M22" s="28"/>
    </row>
    <row r="23" spans="1:13" ht="17.25" customHeight="1" x14ac:dyDescent="0.3">
      <c r="A23" s="12" t="s">
        <v>147</v>
      </c>
      <c r="B23" s="13" t="s">
        <v>146</v>
      </c>
      <c r="C23" s="22">
        <v>39</v>
      </c>
      <c r="D23" s="22">
        <v>32</v>
      </c>
      <c r="E23" s="22">
        <v>25</v>
      </c>
      <c r="F23" s="22">
        <v>27</v>
      </c>
      <c r="G23" s="4">
        <v>34</v>
      </c>
      <c r="H23" s="4">
        <v>40</v>
      </c>
      <c r="I23" s="29">
        <v>46</v>
      </c>
      <c r="J23" s="28"/>
      <c r="K23" s="28"/>
      <c r="L23" s="28"/>
      <c r="M23" s="28"/>
    </row>
    <row r="24" spans="1:13" ht="17.25" customHeight="1" x14ac:dyDescent="0.3">
      <c r="A24" s="12" t="s">
        <v>148</v>
      </c>
      <c r="B24" s="13" t="s">
        <v>149</v>
      </c>
      <c r="C24" s="22">
        <v>2983</v>
      </c>
      <c r="D24" s="22">
        <v>2539</v>
      </c>
      <c r="E24" s="22">
        <v>2939</v>
      </c>
      <c r="F24" s="22">
        <v>3627</v>
      </c>
      <c r="G24" s="4">
        <v>4068</v>
      </c>
      <c r="H24" s="4">
        <v>4494</v>
      </c>
      <c r="I24" s="29">
        <v>4904</v>
      </c>
      <c r="J24" s="28"/>
      <c r="K24" s="28"/>
      <c r="L24" s="28"/>
      <c r="M24" s="28"/>
    </row>
    <row r="25" spans="1:13" ht="17.25" customHeight="1" x14ac:dyDescent="0.3">
      <c r="A25" s="12" t="s">
        <v>147</v>
      </c>
      <c r="B25" s="13" t="s">
        <v>149</v>
      </c>
      <c r="C25" s="22">
        <v>1835</v>
      </c>
      <c r="D25" s="22">
        <v>1683</v>
      </c>
      <c r="E25" s="22">
        <v>1952</v>
      </c>
      <c r="F25" s="22">
        <v>2578</v>
      </c>
      <c r="G25" s="4">
        <v>3112</v>
      </c>
      <c r="H25" s="4">
        <v>3548</v>
      </c>
      <c r="I25" s="29">
        <v>3956</v>
      </c>
      <c r="J25" s="28"/>
      <c r="K25" s="28"/>
      <c r="L25" s="28"/>
      <c r="M25" s="28"/>
    </row>
    <row r="26" spans="1:13" ht="17.25" customHeight="1" x14ac:dyDescent="0.3">
      <c r="A26" s="12" t="s">
        <v>150</v>
      </c>
      <c r="B26" s="13" t="s">
        <v>141</v>
      </c>
      <c r="C26" s="22">
        <v>4458</v>
      </c>
      <c r="D26" s="22">
        <v>4051</v>
      </c>
      <c r="E26" s="22">
        <v>5264</v>
      </c>
      <c r="F26" s="22">
        <v>5833</v>
      </c>
      <c r="G26" s="4">
        <v>6407</v>
      </c>
      <c r="H26" s="4">
        <v>6959</v>
      </c>
      <c r="I26" s="29">
        <v>7574</v>
      </c>
      <c r="J26" s="28"/>
      <c r="K26" s="28"/>
      <c r="L26" s="28"/>
      <c r="M26" s="28"/>
    </row>
    <row r="27" spans="1:13" ht="17.25" customHeight="1" x14ac:dyDescent="0.3">
      <c r="A27" s="12" t="s">
        <v>151</v>
      </c>
      <c r="B27" s="13" t="s">
        <v>141</v>
      </c>
      <c r="C27" s="22">
        <v>2601</v>
      </c>
      <c r="D27" s="22">
        <v>2215</v>
      </c>
      <c r="E27" s="22">
        <v>2249</v>
      </c>
      <c r="F27" s="22">
        <v>2244</v>
      </c>
      <c r="G27" s="4">
        <v>2751</v>
      </c>
      <c r="H27" s="4">
        <v>3034</v>
      </c>
      <c r="I27" s="29">
        <v>3224</v>
      </c>
      <c r="J27" s="28"/>
      <c r="K27" s="28"/>
      <c r="L27" s="28"/>
      <c r="M27" s="28"/>
    </row>
    <row r="28" spans="1:13" ht="17.25" customHeight="1" x14ac:dyDescent="0.3">
      <c r="A28" s="24" t="s">
        <v>152</v>
      </c>
      <c r="B28" s="25" t="s">
        <v>141</v>
      </c>
      <c r="C28" s="26">
        <v>1073</v>
      </c>
      <c r="D28" s="26">
        <v>925</v>
      </c>
      <c r="E28" s="26">
        <v>1263</v>
      </c>
      <c r="F28" s="26">
        <v>1761</v>
      </c>
      <c r="G28" s="27">
        <v>2092</v>
      </c>
      <c r="H28" s="27">
        <v>2360</v>
      </c>
      <c r="I28" s="29">
        <v>2562</v>
      </c>
      <c r="J28" s="28"/>
      <c r="K28" s="28"/>
      <c r="L28" s="28"/>
      <c r="M28" s="28"/>
    </row>
    <row r="29" spans="1:13" x14ac:dyDescent="0.3">
      <c r="A29" s="144" t="s">
        <v>153</v>
      </c>
      <c r="B29" s="144"/>
      <c r="C29" s="145"/>
      <c r="D29" s="145"/>
      <c r="E29" s="145"/>
      <c r="F29" s="145"/>
      <c r="I29" s="29"/>
      <c r="J29" s="28"/>
      <c r="K29" s="28"/>
      <c r="L29" s="28"/>
      <c r="M29" s="28"/>
    </row>
    <row r="30" spans="1:13" x14ac:dyDescent="0.3">
      <c r="A30" s="28"/>
      <c r="B30" s="29"/>
      <c r="I30" s="29"/>
      <c r="J30" s="28"/>
      <c r="K30" s="28"/>
      <c r="L30" s="28"/>
      <c r="M30" s="28"/>
    </row>
    <row r="31" spans="1:13" x14ac:dyDescent="0.3">
      <c r="A31" s="28"/>
      <c r="B31" s="29"/>
      <c r="I31" s="29"/>
      <c r="J31" s="28"/>
      <c r="K31" s="28"/>
      <c r="L31" s="28"/>
      <c r="M31" s="28"/>
    </row>
    <row r="32" spans="1:13" x14ac:dyDescent="0.3">
      <c r="A32" s="28"/>
      <c r="B32" s="29"/>
      <c r="I32" s="29"/>
      <c r="J32" s="28"/>
      <c r="K32" s="28"/>
      <c r="L32" s="28"/>
      <c r="M32" s="28"/>
    </row>
    <row r="33" spans="1:13" x14ac:dyDescent="0.3">
      <c r="A33" s="28"/>
      <c r="B33" s="29"/>
      <c r="I33" s="29"/>
      <c r="J33" s="28"/>
      <c r="K33" s="28"/>
      <c r="L33" s="28"/>
      <c r="M33" s="28"/>
    </row>
    <row r="34" spans="1:13" x14ac:dyDescent="0.3">
      <c r="A34" s="28"/>
      <c r="B34" s="29"/>
      <c r="I34" s="29"/>
      <c r="J34" s="28"/>
      <c r="K34" s="28"/>
      <c r="L34" s="28"/>
      <c r="M34" s="28"/>
    </row>
    <row r="35" spans="1:13" x14ac:dyDescent="0.3">
      <c r="A35" s="28"/>
      <c r="B35" s="29"/>
      <c r="I35" s="29"/>
      <c r="J35" s="28"/>
      <c r="K35" s="28"/>
      <c r="L35" s="28"/>
      <c r="M35" s="28"/>
    </row>
    <row r="36" spans="1:13" x14ac:dyDescent="0.3">
      <c r="A36" s="28"/>
      <c r="B36" s="29"/>
      <c r="I36" s="29"/>
      <c r="J36" s="28"/>
    </row>
    <row r="37" spans="1:13" x14ac:dyDescent="0.3">
      <c r="A37" s="28"/>
      <c r="B37" s="29"/>
      <c r="I37" s="29"/>
      <c r="J37" s="28"/>
    </row>
    <row r="38" spans="1:13" x14ac:dyDescent="0.3">
      <c r="A38" s="28"/>
      <c r="B38" s="29"/>
      <c r="I38" s="29"/>
      <c r="J38" s="28"/>
    </row>
    <row r="39" spans="1:13" x14ac:dyDescent="0.3">
      <c r="A39" s="28"/>
      <c r="B39" s="29"/>
      <c r="I39" s="29"/>
      <c r="J39" s="28"/>
    </row>
    <row r="40" spans="1:13" x14ac:dyDescent="0.3">
      <c r="A40" s="28"/>
      <c r="B40" s="29"/>
      <c r="I40" s="29"/>
      <c r="J40" s="28"/>
    </row>
    <row r="41" spans="1:13" x14ac:dyDescent="0.3">
      <c r="A41" s="28"/>
      <c r="B41" s="29"/>
      <c r="I41" s="29"/>
      <c r="J41" s="28"/>
    </row>
    <row r="42" spans="1:13" x14ac:dyDescent="0.3">
      <c r="A42" s="28"/>
      <c r="B42" s="29"/>
      <c r="I42" s="29"/>
      <c r="J42" s="28"/>
    </row>
    <row r="43" spans="1:13" x14ac:dyDescent="0.3">
      <c r="A43" s="28"/>
      <c r="B43" s="29"/>
      <c r="I43" s="29"/>
      <c r="J43" s="28"/>
    </row>
    <row r="44" spans="1:13" x14ac:dyDescent="0.3">
      <c r="A44" s="28"/>
      <c r="B44" s="29"/>
      <c r="I44" s="29"/>
      <c r="J44" s="28"/>
    </row>
    <row r="45" spans="1:13" x14ac:dyDescent="0.3">
      <c r="A45" s="28"/>
      <c r="B45" s="29"/>
      <c r="I45" s="29"/>
      <c r="J45" s="28"/>
    </row>
    <row r="46" spans="1:13" x14ac:dyDescent="0.3">
      <c r="A46" s="28"/>
      <c r="B46" s="29"/>
      <c r="I46" s="29"/>
      <c r="J46" s="28"/>
    </row>
    <row r="47" spans="1:13" x14ac:dyDescent="0.3">
      <c r="A47" s="28"/>
      <c r="B47" s="29"/>
      <c r="I47" s="29"/>
      <c r="J47" s="28"/>
    </row>
    <row r="48" spans="1:13" x14ac:dyDescent="0.3">
      <c r="B48" s="30"/>
      <c r="I48" s="30"/>
    </row>
    <row r="49" spans="2:9" x14ac:dyDescent="0.3">
      <c r="B49" s="30"/>
      <c r="I49" s="30"/>
    </row>
    <row r="50" spans="2:9" x14ac:dyDescent="0.3">
      <c r="B50" s="30"/>
      <c r="I50" s="30"/>
    </row>
    <row r="51" spans="2:9" x14ac:dyDescent="0.3">
      <c r="B51" s="30"/>
      <c r="I51" s="30"/>
    </row>
    <row r="52" spans="2:9" x14ac:dyDescent="0.3">
      <c r="B52" s="30"/>
      <c r="I52" s="30"/>
    </row>
    <row r="53" spans="2:9" x14ac:dyDescent="0.3">
      <c r="B53" s="30"/>
      <c r="I53" s="30"/>
    </row>
    <row r="54" spans="2:9" x14ac:dyDescent="0.3">
      <c r="B54" s="30"/>
      <c r="I54" s="30"/>
    </row>
    <row r="55" spans="2:9" x14ac:dyDescent="0.3">
      <c r="B55" s="30"/>
      <c r="I55" s="30"/>
    </row>
  </sheetData>
  <mergeCells count="2">
    <mergeCell ref="A1:B1"/>
    <mergeCell ref="A29:F29"/>
  </mergeCells>
  <phoneticPr fontId="15" type="noConversion"/>
  <pageMargins left="0.67" right="0.63" top="0.83" bottom="0.67" header="0.51" footer="0.51"/>
  <pageSetup paperSize="256"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2-1</vt:lpstr>
      <vt:lpstr>续1</vt:lpstr>
      <vt:lpstr>续2</vt:lpstr>
      <vt:lpstr>续3</vt:lpstr>
      <vt:lpstr>续4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gf</dc:creator>
  <cp:lastModifiedBy>亦哲君</cp:lastModifiedBy>
  <cp:revision>1</cp:revision>
  <cp:lastPrinted>2017-06-08T08:45:58Z</cp:lastPrinted>
  <dcterms:created xsi:type="dcterms:W3CDTF">2013-05-30T06:43:47Z</dcterms:created>
  <dcterms:modified xsi:type="dcterms:W3CDTF">2025-03-30T13:13:16Z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2052-10.1.0.6690</vt:lpwstr>
  </property>
</Properties>
</file>