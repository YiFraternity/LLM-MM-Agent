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19、社会保障与安全\"/>
    </mc:Choice>
  </mc:AlternateContent>
  <xr:revisionPtr revIDLastSave="0" documentId="8_{E2C9C07F-711C-420C-B176-9B8085C4A46B}" xr6:coauthVersionLast="36" xr6:coauthVersionMax="36" xr10:uidLastSave="{00000000-0000-0000-0000-000000000000}"/>
  <bookViews>
    <workbookView xWindow="1483" yWindow="32769" windowWidth="9403" windowHeight="9420" activeTab="1"/>
  </bookViews>
  <sheets>
    <sheet name="19-1和2" sheetId="1" r:id="rId1"/>
    <sheet name="19-3和4" sheetId="2" r:id="rId2"/>
    <sheet name="19-5和6" sheetId="3" r:id="rId3"/>
  </sheets>
  <definedNames>
    <definedName name="_xlnm.Print_Area" localSheetId="0">'19-1和2'!$A$22:$J$46</definedName>
  </definedNames>
  <calcPr calcId="191029"/>
</workbook>
</file>

<file path=xl/calcChain.xml><?xml version="1.0" encoding="utf-8"?>
<calcChain xmlns="http://schemas.openxmlformats.org/spreadsheetml/2006/main">
  <c r="D6" i="1" l="1"/>
  <c r="E6" i="1"/>
  <c r="F6" i="1"/>
  <c r="C6" i="1"/>
</calcChain>
</file>

<file path=xl/sharedStrings.xml><?xml version="1.0" encoding="utf-8"?>
<sst xmlns="http://schemas.openxmlformats.org/spreadsheetml/2006/main" count="209" uniqueCount="119">
  <si>
    <t>享受待遇人数</t>
  </si>
  <si>
    <t>离退
休人员</t>
  </si>
  <si>
    <t>遗
属</t>
  </si>
  <si>
    <t>缴费
人数</t>
  </si>
  <si>
    <t>盟直</t>
  </si>
  <si>
    <t>锡市</t>
  </si>
  <si>
    <t>阿旗</t>
  </si>
  <si>
    <t>东苏</t>
  </si>
  <si>
    <t>西苏</t>
  </si>
  <si>
    <t>东乌</t>
  </si>
  <si>
    <t>西乌</t>
  </si>
  <si>
    <t>太旗</t>
  </si>
  <si>
    <t>黄旗</t>
  </si>
  <si>
    <t>白旗</t>
  </si>
  <si>
    <t>蓝旗</t>
  </si>
  <si>
    <t>多伦</t>
  </si>
  <si>
    <t>乌拉盖</t>
  </si>
  <si>
    <t>驻张所</t>
  </si>
  <si>
    <t>合计</t>
  </si>
  <si>
    <t>参保人员</t>
    <phoneticPr fontId="4" type="noConversion"/>
  </si>
  <si>
    <t>在职</t>
  </si>
  <si>
    <t>退休</t>
  </si>
  <si>
    <t>大额
互济</t>
  </si>
  <si>
    <t>灵活
就业</t>
  </si>
  <si>
    <t>全盟</t>
    <phoneticPr fontId="4" type="noConversion"/>
  </si>
  <si>
    <t>享受待遇人次</t>
  </si>
  <si>
    <t>农村
牧区</t>
  </si>
  <si>
    <t>城镇
居民</t>
  </si>
  <si>
    <t>参保情况</t>
    <phoneticPr fontId="4" type="noConversion"/>
  </si>
  <si>
    <t>地
区</t>
  </si>
  <si>
    <t>成年人</t>
  </si>
  <si>
    <t>学生儿童</t>
  </si>
  <si>
    <t>单位：人</t>
    <phoneticPr fontId="4" type="noConversion"/>
  </si>
  <si>
    <t>合计</t>
    <phoneticPr fontId="4" type="noConversion"/>
  </si>
  <si>
    <t>全盟</t>
    <phoneticPr fontId="4" type="noConversion"/>
  </si>
  <si>
    <t>工伤
人数</t>
  </si>
  <si>
    <t>工亡
人数</t>
  </si>
  <si>
    <t>供养
亲属</t>
  </si>
  <si>
    <t>享受
待遇
人数</t>
  </si>
  <si>
    <t>覆盖人数</t>
    <phoneticPr fontId="4" type="noConversion"/>
  </si>
  <si>
    <t>缴费人数</t>
    <phoneticPr fontId="4" type="noConversion"/>
  </si>
  <si>
    <t>参保
人员</t>
    <phoneticPr fontId="4" type="noConversion"/>
  </si>
  <si>
    <t>19-1 全盟城镇职工养老保险参保人员</t>
    <phoneticPr fontId="4" type="noConversion"/>
  </si>
  <si>
    <t>19-2 全盟城镇职工医疗保险参保人员</t>
    <phoneticPr fontId="4" type="noConversion"/>
  </si>
  <si>
    <t xml:space="preserve">享受待遇人次
</t>
    <phoneticPr fontId="4" type="noConversion"/>
  </si>
  <si>
    <t>19-3 全盟城乡居民养老保险参保人员</t>
    <phoneticPr fontId="4" type="noConversion"/>
  </si>
  <si>
    <t>19-4  全盟城镇居民基本医疗保险情况</t>
    <phoneticPr fontId="4" type="noConversion"/>
  </si>
  <si>
    <t>19-5 全盟工伤保险工作参保人员</t>
    <phoneticPr fontId="4" type="noConversion"/>
  </si>
  <si>
    <r>
      <t>#</t>
    </r>
    <r>
      <rPr>
        <sz val="9"/>
        <color indexed="8"/>
        <rFont val="宋体"/>
        <charset val="134"/>
      </rPr>
      <t xml:space="preserve"> </t>
    </r>
    <r>
      <rPr>
        <sz val="9"/>
        <color indexed="8"/>
        <rFont val="宋体"/>
        <charset val="134"/>
      </rPr>
      <t>农民工</t>
    </r>
    <phoneticPr fontId="4" type="noConversion"/>
  </si>
  <si>
    <t>19-6 全盟生育保险参保人员</t>
    <phoneticPr fontId="4" type="noConversion"/>
  </si>
  <si>
    <t>246000 </t>
  </si>
  <si>
    <t>121083 </t>
  </si>
  <si>
    <t>124917 </t>
  </si>
  <si>
    <t>208487 </t>
  </si>
  <si>
    <t>102475 </t>
  </si>
  <si>
    <t>106012 </t>
  </si>
  <si>
    <t>77240 </t>
  </si>
  <si>
    <t>33499 </t>
  </si>
  <si>
    <t>43741 </t>
  </si>
  <si>
    <t>60642 </t>
  </si>
  <si>
    <t>27802 </t>
  </si>
  <si>
    <t>32840 </t>
  </si>
  <si>
    <t>13850 </t>
  </si>
  <si>
    <t>7613 </t>
  </si>
  <si>
    <t>6237 </t>
  </si>
  <si>
    <t>12924 </t>
  </si>
  <si>
    <t>6687 </t>
  </si>
  <si>
    <t>8880 </t>
  </si>
  <si>
    <t>3775 </t>
  </si>
  <si>
    <t>5105 </t>
  </si>
  <si>
    <t>22500 </t>
  </si>
  <si>
    <t>12979 </t>
  </si>
  <si>
    <t>9521 </t>
  </si>
  <si>
    <t>18459 </t>
  </si>
  <si>
    <t>8969 </t>
  </si>
  <si>
    <t>9490 </t>
  </si>
  <si>
    <t>18260 </t>
  </si>
  <si>
    <t>6217 </t>
  </si>
  <si>
    <t>12043 </t>
  </si>
  <si>
    <t>17150 </t>
  </si>
  <si>
    <t>5237 </t>
  </si>
  <si>
    <t>11913 </t>
  </si>
  <si>
    <t>19680 </t>
  </si>
  <si>
    <t>13562 </t>
  </si>
  <si>
    <t>6118 </t>
  </si>
  <si>
    <t>16174 </t>
  </si>
  <si>
    <t>10056 </t>
  </si>
  <si>
    <t>10047 </t>
  </si>
  <si>
    <t>12453 </t>
  </si>
  <si>
    <t>17860 </t>
  </si>
  <si>
    <t>6910 </t>
  </si>
  <si>
    <t>10950 </t>
  </si>
  <si>
    <t>7440 </t>
  </si>
  <si>
    <t>4408 </t>
  </si>
  <si>
    <t>3032 </t>
  </si>
  <si>
    <t>9500 </t>
  </si>
  <si>
    <t>4887 </t>
  </si>
  <si>
    <t>4613 </t>
  </si>
  <si>
    <t>7223 </t>
  </si>
  <si>
    <t>4471 </t>
  </si>
  <si>
    <t>2752 </t>
  </si>
  <si>
    <t>18850 </t>
  </si>
  <si>
    <t>9664 </t>
  </si>
  <si>
    <t>9186 </t>
  </si>
  <si>
    <t>16123 </t>
  </si>
  <si>
    <t>9688 </t>
  </si>
  <si>
    <t>6435 </t>
  </si>
  <si>
    <t>22000 </t>
  </si>
  <si>
    <t>12199 </t>
  </si>
  <si>
    <t>9801 </t>
  </si>
  <si>
    <t>20383 </t>
  </si>
  <si>
    <t>8184 </t>
  </si>
  <si>
    <t>5300 </t>
  </si>
  <si>
    <t>2233 </t>
  </si>
  <si>
    <t>3067 </t>
  </si>
  <si>
    <t>5229 </t>
  </si>
  <si>
    <t>2273 </t>
  </si>
  <si>
    <t>2956 </t>
  </si>
  <si>
    <t>全盟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</si>
</sst>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8" formatCode="0_ "/>
    <numFmt numFmtId="193" formatCode="0_);[Red]\(0\)"/>
  </numFmts>
  <fonts count="13">
    <font>
      <sz val="12"/>
      <name val="宋体"/>
      <charset val="134"/>
    </font>
    <font>
      <sz val="11"/>
      <color indexed="8"/>
      <name val="宋体"/>
      <charset val="134"/>
    </font>
    <font>
      <sz val="10"/>
      <color indexed="8"/>
      <name val="宋体"/>
      <charset val="134"/>
    </font>
    <font>
      <sz val="9"/>
      <color indexed="8"/>
      <name val="宋体"/>
      <charset val="134"/>
    </font>
    <font>
      <sz val="9"/>
      <name val="宋体"/>
      <charset val="134"/>
    </font>
    <font>
      <sz val="8"/>
      <color indexed="8"/>
      <name val="宋体"/>
      <charset val="134"/>
    </font>
    <font>
      <sz val="10"/>
      <name val="宋体"/>
      <charset val="134"/>
    </font>
    <font>
      <sz val="10"/>
      <color indexed="8"/>
      <name val="宋体"/>
      <charset val="134"/>
    </font>
    <font>
      <sz val="11"/>
      <color indexed="8"/>
      <name val="宋体"/>
      <charset val="134"/>
    </font>
    <font>
      <sz val="9"/>
      <color indexed="8"/>
      <name val="宋体"/>
      <charset val="134"/>
    </font>
    <font>
      <sz val="9"/>
      <color indexed="8"/>
      <name val="宋体"/>
      <charset val="134"/>
    </font>
    <font>
      <sz val="12"/>
      <color rgb="FF000000"/>
      <name val="Simsun"/>
      <charset val="134"/>
    </font>
    <font>
      <sz val="9"/>
      <color rgb="FF000000"/>
      <name val="Simsun"/>
      <charset val="134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7">
    <xf numFmtId="0" fontId="0" fillId="0" borderId="0" xfId="0">
      <alignment vertical="center"/>
    </xf>
    <xf numFmtId="0" fontId="0" fillId="0" borderId="0" xfId="0" applyBorder="1">
      <alignment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vertical="center" wrapText="1"/>
    </xf>
    <xf numFmtId="0" fontId="1" fillId="0" borderId="0" xfId="0" applyFont="1" applyAlignment="1">
      <alignment wrapText="1"/>
    </xf>
    <xf numFmtId="0" fontId="3" fillId="0" borderId="0" xfId="0" applyFont="1" applyBorder="1" applyAlignment="1">
      <alignment wrapText="1"/>
    </xf>
    <xf numFmtId="188" fontId="5" fillId="0" borderId="1" xfId="0" applyNumberFormat="1" applyFont="1" applyBorder="1" applyAlignment="1">
      <alignment horizontal="center" vertical="center" wrapText="1"/>
    </xf>
    <xf numFmtId="188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188" fontId="3" fillId="0" borderId="1" xfId="0" applyNumberFormat="1" applyFont="1" applyBorder="1" applyAlignment="1">
      <alignment vertical="center" wrapText="1"/>
    </xf>
    <xf numFmtId="0" fontId="3" fillId="0" borderId="1" xfId="0" applyFont="1" applyBorder="1" applyAlignment="1">
      <alignment wrapText="1"/>
    </xf>
    <xf numFmtId="0" fontId="5" fillId="0" borderId="1" xfId="0" applyFont="1" applyBorder="1" applyAlignment="1">
      <alignment vertical="center" wrapText="1"/>
    </xf>
    <xf numFmtId="0" fontId="3" fillId="0" borderId="2" xfId="0" applyFont="1" applyBorder="1" applyAlignment="1">
      <alignment wrapText="1"/>
    </xf>
    <xf numFmtId="0" fontId="6" fillId="0" borderId="1" xfId="0" applyFont="1" applyBorder="1" applyAlignment="1">
      <alignment horizontal="center" vertical="center"/>
    </xf>
    <xf numFmtId="188" fontId="0" fillId="0" borderId="0" xfId="0" applyNumberFormat="1">
      <alignment vertical="center"/>
    </xf>
    <xf numFmtId="193" fontId="0" fillId="0" borderId="0" xfId="0" applyNumberFormat="1">
      <alignment vertical="center"/>
    </xf>
    <xf numFmtId="188" fontId="0" fillId="0" borderId="0" xfId="0" applyNumberFormat="1" applyBorder="1">
      <alignment vertical="center"/>
    </xf>
    <xf numFmtId="188" fontId="3" fillId="0" borderId="0" xfId="0" applyNumberFormat="1" applyFont="1" applyBorder="1" applyAlignment="1">
      <alignment horizontal="center" vertical="center" wrapText="1"/>
    </xf>
    <xf numFmtId="188" fontId="1" fillId="0" borderId="0" xfId="0" applyNumberFormat="1" applyFont="1" applyAlignment="1">
      <alignment wrapText="1"/>
    </xf>
    <xf numFmtId="188" fontId="3" fillId="0" borderId="0" xfId="0" applyNumberFormat="1" applyFont="1" applyBorder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188" fontId="3" fillId="0" borderId="3" xfId="0" applyNumberFormat="1" applyFont="1" applyBorder="1" applyAlignment="1">
      <alignment vertical="center" wrapText="1"/>
    </xf>
    <xf numFmtId="188" fontId="9" fillId="0" borderId="0" xfId="0" applyNumberFormat="1" applyFont="1" applyBorder="1" applyAlignment="1">
      <alignment horizontal="center" vertical="center" wrapText="1"/>
    </xf>
    <xf numFmtId="188" fontId="9" fillId="0" borderId="1" xfId="0" applyNumberFormat="1" applyFont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2" fillId="0" borderId="5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 applyProtection="1">
      <alignment horizontal="center" vertical="center" wrapText="1"/>
      <protection locked="0"/>
    </xf>
    <xf numFmtId="188" fontId="10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7" fillId="0" borderId="16" xfId="0" applyFont="1" applyBorder="1" applyAlignment="1">
      <alignment horizontal="right" wrapText="1"/>
    </xf>
    <xf numFmtId="0" fontId="2" fillId="0" borderId="16" xfId="0" applyFont="1" applyBorder="1" applyAlignment="1">
      <alignment horizontal="right" wrapText="1"/>
    </xf>
    <xf numFmtId="0" fontId="8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right" wrapText="1"/>
    </xf>
    <xf numFmtId="0" fontId="2" fillId="0" borderId="6" xfId="0" applyFont="1" applyBorder="1" applyAlignment="1">
      <alignment horizontal="right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88" fontId="3" fillId="0" borderId="0" xfId="0" applyNumberFormat="1" applyFont="1" applyBorder="1" applyAlignment="1">
      <alignment horizontal="center" vertical="center" wrapText="1"/>
    </xf>
    <xf numFmtId="188" fontId="3" fillId="0" borderId="1" xfId="0" applyNumberFormat="1" applyFont="1" applyBorder="1" applyAlignment="1">
      <alignment horizontal="center" vertical="center" wrapText="1"/>
    </xf>
    <xf numFmtId="188" fontId="9" fillId="0" borderId="11" xfId="0" applyNumberFormat="1" applyFont="1" applyBorder="1" applyAlignment="1">
      <alignment horizontal="center" vertical="center" wrapText="1"/>
    </xf>
    <xf numFmtId="188" fontId="3" fillId="0" borderId="9" xfId="0" applyNumberFormat="1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right" vertical="center" wrapText="1"/>
    </xf>
    <xf numFmtId="188" fontId="3" fillId="0" borderId="17" xfId="0" applyNumberFormat="1" applyFont="1" applyBorder="1" applyAlignment="1">
      <alignment horizontal="center" vertical="center" wrapText="1"/>
    </xf>
    <xf numFmtId="188" fontId="3" fillId="0" borderId="10" xfId="0" applyNumberFormat="1" applyFont="1" applyBorder="1" applyAlignment="1">
      <alignment horizontal="center" vertical="center" wrapText="1"/>
    </xf>
    <xf numFmtId="188" fontId="3" fillId="0" borderId="3" xfId="0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right" wrapText="1"/>
    </xf>
    <xf numFmtId="0" fontId="3" fillId="0" borderId="16" xfId="0" applyFont="1" applyBorder="1" applyAlignment="1">
      <alignment horizontal="right" wrapText="1"/>
    </xf>
    <xf numFmtId="0" fontId="9" fillId="0" borderId="0" xfId="0" applyFont="1" applyBorder="1" applyAlignment="1">
      <alignment horizontal="center" wrapText="1"/>
    </xf>
    <xf numFmtId="188" fontId="3" fillId="0" borderId="7" xfId="0" applyNumberFormat="1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zoomScaleSheetLayoutView="100" workbookViewId="0">
      <selection activeCell="I8" sqref="I8"/>
    </sheetView>
  </sheetViews>
  <sheetFormatPr defaultColWidth="9" defaultRowHeight="15"/>
  <cols>
    <col min="1" max="1" width="3.85546875" style="1" customWidth="1"/>
    <col min="3" max="3" width="9.140625" customWidth="1"/>
    <col min="4" max="4" width="7.140625" customWidth="1"/>
    <col min="5" max="5" width="6.640625" customWidth="1"/>
    <col min="6" max="6" width="9.140625" customWidth="1"/>
    <col min="7" max="8" width="7" customWidth="1"/>
    <col min="9" max="9" width="9.35546875" bestFit="1" customWidth="1"/>
    <col min="10" max="10" width="9.140625" bestFit="1" customWidth="1"/>
  </cols>
  <sheetData>
    <row r="1" spans="2:10" ht="14.25" customHeight="1">
      <c r="B1" s="38" t="s">
        <v>42</v>
      </c>
      <c r="C1" s="39"/>
      <c r="D1" s="39"/>
      <c r="E1" s="39"/>
      <c r="F1" s="39"/>
      <c r="G1" s="4"/>
      <c r="H1" s="4"/>
      <c r="I1" s="4"/>
      <c r="J1" s="4"/>
    </row>
    <row r="2" spans="2:10" ht="14.25" customHeight="1">
      <c r="B2" s="43" t="s">
        <v>32</v>
      </c>
      <c r="C2" s="44"/>
      <c r="D2" s="44"/>
      <c r="E2" s="44"/>
      <c r="F2" s="44"/>
    </row>
    <row r="3" spans="2:10" ht="14.25" customHeight="1">
      <c r="B3" s="31"/>
      <c r="C3" s="34" t="s">
        <v>19</v>
      </c>
      <c r="D3" s="32" t="s">
        <v>0</v>
      </c>
      <c r="E3" s="33"/>
      <c r="F3" s="34" t="s">
        <v>3</v>
      </c>
    </row>
    <row r="4" spans="2:10" ht="15.65" customHeight="1">
      <c r="B4" s="31"/>
      <c r="C4" s="35"/>
      <c r="D4" s="34" t="s">
        <v>1</v>
      </c>
      <c r="E4" s="34" t="s">
        <v>2</v>
      </c>
      <c r="F4" s="35"/>
    </row>
    <row r="5" spans="2:10" ht="21.65" customHeight="1">
      <c r="B5" s="31"/>
      <c r="C5" s="35"/>
      <c r="D5" s="35"/>
      <c r="E5" s="35"/>
      <c r="F5" s="35"/>
    </row>
    <row r="6" spans="2:10">
      <c r="B6" s="12" t="s">
        <v>24</v>
      </c>
      <c r="C6" s="20">
        <f>SUM(C7:C20)</f>
        <v>116155</v>
      </c>
      <c r="D6" s="20">
        <f>SUM(D7:D20)</f>
        <v>74598</v>
      </c>
      <c r="E6" s="20">
        <f>SUM(E7:E20)</f>
        <v>2291</v>
      </c>
      <c r="F6" s="20">
        <f>SUM(F7:F20)</f>
        <v>111743</v>
      </c>
      <c r="G6" s="14"/>
    </row>
    <row r="7" spans="2:10">
      <c r="B7" s="12" t="s">
        <v>4</v>
      </c>
      <c r="C7" s="13">
        <v>28355</v>
      </c>
      <c r="D7" s="13">
        <v>15417</v>
      </c>
      <c r="E7" s="13">
        <v>599</v>
      </c>
      <c r="F7" s="13">
        <v>25917</v>
      </c>
    </row>
    <row r="8" spans="2:10">
      <c r="B8" s="12" t="s">
        <v>5</v>
      </c>
      <c r="C8" s="13">
        <v>24073</v>
      </c>
      <c r="D8" s="13">
        <v>9931</v>
      </c>
      <c r="E8" s="13">
        <v>114</v>
      </c>
      <c r="F8" s="13">
        <v>23201</v>
      </c>
    </row>
    <row r="9" spans="2:10">
      <c r="B9" s="12" t="s">
        <v>6</v>
      </c>
      <c r="C9" s="13">
        <v>3330</v>
      </c>
      <c r="D9" s="13">
        <v>4892</v>
      </c>
      <c r="E9" s="13">
        <v>82</v>
      </c>
      <c r="F9" s="13">
        <v>3330</v>
      </c>
    </row>
    <row r="10" spans="2:10">
      <c r="B10" s="12" t="s">
        <v>7</v>
      </c>
      <c r="C10" s="13">
        <v>3120</v>
      </c>
      <c r="D10" s="13">
        <v>2142</v>
      </c>
      <c r="E10" s="13">
        <v>140</v>
      </c>
      <c r="F10" s="13">
        <v>3121</v>
      </c>
    </row>
    <row r="11" spans="2:10">
      <c r="B11" s="12" t="s">
        <v>8</v>
      </c>
      <c r="C11" s="13">
        <v>8723</v>
      </c>
      <c r="D11" s="13">
        <v>6953</v>
      </c>
      <c r="E11" s="13">
        <v>236</v>
      </c>
      <c r="F11" s="13">
        <v>8214</v>
      </c>
    </row>
    <row r="12" spans="2:10">
      <c r="B12" s="12" t="s">
        <v>9</v>
      </c>
      <c r="C12" s="13">
        <v>5567</v>
      </c>
      <c r="D12" s="13">
        <v>3332</v>
      </c>
      <c r="E12" s="13">
        <v>144</v>
      </c>
      <c r="F12" s="13">
        <v>5396</v>
      </c>
    </row>
    <row r="13" spans="2:10">
      <c r="B13" s="12" t="s">
        <v>10</v>
      </c>
      <c r="C13" s="13">
        <v>11539</v>
      </c>
      <c r="D13" s="13">
        <v>5253</v>
      </c>
      <c r="E13" s="13">
        <v>178</v>
      </c>
      <c r="F13" s="13">
        <v>11534</v>
      </c>
    </row>
    <row r="14" spans="2:10">
      <c r="B14" s="12" t="s">
        <v>11</v>
      </c>
      <c r="C14" s="13">
        <v>7843</v>
      </c>
      <c r="D14" s="13">
        <v>8199</v>
      </c>
      <c r="E14" s="13">
        <v>180</v>
      </c>
      <c r="F14" s="13">
        <v>7699</v>
      </c>
    </row>
    <row r="15" spans="2:10">
      <c r="B15" s="12" t="s">
        <v>12</v>
      </c>
      <c r="C15" s="13">
        <v>2385</v>
      </c>
      <c r="D15" s="13">
        <v>2010</v>
      </c>
      <c r="E15" s="13">
        <v>54</v>
      </c>
      <c r="F15" s="13">
        <v>2247</v>
      </c>
    </row>
    <row r="16" spans="2:10">
      <c r="B16" s="12" t="s">
        <v>13</v>
      </c>
      <c r="C16" s="13">
        <v>3499</v>
      </c>
      <c r="D16" s="13">
        <v>3161</v>
      </c>
      <c r="E16" s="13">
        <v>106</v>
      </c>
      <c r="F16" s="13">
        <v>3423</v>
      </c>
    </row>
    <row r="17" spans="2:10">
      <c r="B17" s="12" t="s">
        <v>14</v>
      </c>
      <c r="C17" s="13">
        <v>5114</v>
      </c>
      <c r="D17" s="13">
        <v>4687</v>
      </c>
      <c r="E17" s="13">
        <v>156</v>
      </c>
      <c r="F17" s="13">
        <v>5085</v>
      </c>
    </row>
    <row r="18" spans="2:10">
      <c r="B18" s="12" t="s">
        <v>15</v>
      </c>
      <c r="C18" s="13">
        <v>8066</v>
      </c>
      <c r="D18" s="13">
        <v>4846</v>
      </c>
      <c r="E18" s="13">
        <v>110</v>
      </c>
      <c r="F18" s="13">
        <v>8035</v>
      </c>
    </row>
    <row r="19" spans="2:10">
      <c r="B19" s="12" t="s">
        <v>16</v>
      </c>
      <c r="C19" s="13">
        <v>4125</v>
      </c>
      <c r="D19" s="13">
        <v>2887</v>
      </c>
      <c r="E19" s="13">
        <v>147</v>
      </c>
      <c r="F19" s="13">
        <v>4125</v>
      </c>
    </row>
    <row r="20" spans="2:10">
      <c r="B20" s="12" t="s">
        <v>17</v>
      </c>
      <c r="C20" s="13">
        <v>416</v>
      </c>
      <c r="D20" s="13">
        <v>888</v>
      </c>
      <c r="E20" s="13">
        <v>45</v>
      </c>
      <c r="F20" s="13">
        <v>416</v>
      </c>
    </row>
    <row r="23" spans="2:10" ht="15.65" customHeight="1">
      <c r="B23" s="38" t="s">
        <v>43</v>
      </c>
      <c r="C23" s="39"/>
      <c r="D23" s="39"/>
      <c r="E23" s="39"/>
      <c r="F23" s="39"/>
      <c r="G23" s="39"/>
      <c r="H23" s="39"/>
      <c r="I23" s="4"/>
      <c r="J23" s="4"/>
    </row>
    <row r="24" spans="2:10" ht="15.65" customHeight="1">
      <c r="B24" s="36" t="s">
        <v>32</v>
      </c>
      <c r="C24" s="37"/>
      <c r="D24" s="37"/>
      <c r="E24" s="37"/>
      <c r="F24" s="37"/>
      <c r="G24" s="37"/>
      <c r="H24" s="37"/>
      <c r="I24" s="21"/>
      <c r="J24" s="21"/>
    </row>
    <row r="25" spans="2:10" ht="15.65" customHeight="1">
      <c r="B25" s="30"/>
      <c r="C25" s="45" t="s">
        <v>41</v>
      </c>
      <c r="D25" s="48"/>
      <c r="E25" s="49"/>
      <c r="F25" s="50" t="s">
        <v>22</v>
      </c>
      <c r="G25" s="50" t="s">
        <v>23</v>
      </c>
      <c r="H25" s="40" t="s">
        <v>44</v>
      </c>
    </row>
    <row r="26" spans="2:10" ht="15.65" customHeight="1">
      <c r="B26" s="30"/>
      <c r="C26" s="46"/>
      <c r="D26" s="30" t="s">
        <v>20</v>
      </c>
      <c r="E26" s="30" t="s">
        <v>21</v>
      </c>
      <c r="F26" s="46"/>
      <c r="G26" s="46"/>
      <c r="H26" s="41"/>
    </row>
    <row r="27" spans="2:10" ht="15.65" customHeight="1">
      <c r="B27" s="30"/>
      <c r="C27" s="46"/>
      <c r="D27" s="30"/>
      <c r="E27" s="30"/>
      <c r="F27" s="46"/>
      <c r="G27" s="46"/>
      <c r="H27" s="41"/>
    </row>
    <row r="28" spans="2:10">
      <c r="B28" s="30"/>
      <c r="C28" s="47"/>
      <c r="D28" s="30"/>
      <c r="E28" s="30"/>
      <c r="F28" s="47"/>
      <c r="G28" s="47"/>
      <c r="H28" s="42"/>
    </row>
    <row r="29" spans="2:10">
      <c r="B29" s="10" t="s">
        <v>24</v>
      </c>
      <c r="C29" s="27">
        <v>186057</v>
      </c>
      <c r="D29" s="27">
        <v>134975</v>
      </c>
      <c r="E29" s="27">
        <v>51032</v>
      </c>
      <c r="F29" s="27">
        <v>186057</v>
      </c>
      <c r="G29" s="27">
        <v>34817</v>
      </c>
      <c r="H29" s="27">
        <v>46447</v>
      </c>
      <c r="I29" s="15"/>
    </row>
    <row r="30" spans="2:10">
      <c r="B30" s="10" t="s">
        <v>4</v>
      </c>
      <c r="C30" s="27">
        <v>53422</v>
      </c>
      <c r="D30" s="28">
        <v>39022</v>
      </c>
      <c r="E30" s="28">
        <v>14400</v>
      </c>
      <c r="F30" s="27">
        <v>53422</v>
      </c>
      <c r="G30" s="28">
        <v>8052</v>
      </c>
      <c r="H30" s="28">
        <v>18470</v>
      </c>
    </row>
    <row r="31" spans="2:10">
      <c r="B31" s="10" t="s">
        <v>5</v>
      </c>
      <c r="C31" s="29">
        <v>26417</v>
      </c>
      <c r="D31" s="28">
        <v>20793</v>
      </c>
      <c r="E31" s="28">
        <v>5624</v>
      </c>
      <c r="F31" s="29">
        <v>26417</v>
      </c>
      <c r="G31" s="28">
        <v>7720</v>
      </c>
      <c r="H31" s="28">
        <v>4387</v>
      </c>
    </row>
    <row r="32" spans="2:10">
      <c r="B32" s="10" t="s">
        <v>6</v>
      </c>
      <c r="C32" s="29">
        <v>6561</v>
      </c>
      <c r="D32" s="28">
        <v>4721</v>
      </c>
      <c r="E32" s="28">
        <v>1840</v>
      </c>
      <c r="F32" s="29">
        <v>6561</v>
      </c>
      <c r="G32" s="28">
        <v>2148</v>
      </c>
      <c r="H32" s="28">
        <v>2614</v>
      </c>
    </row>
    <row r="33" spans="2:8">
      <c r="B33" s="10" t="s">
        <v>7</v>
      </c>
      <c r="C33" s="29">
        <v>6400</v>
      </c>
      <c r="D33" s="28">
        <v>4678</v>
      </c>
      <c r="E33" s="28">
        <v>1722</v>
      </c>
      <c r="F33" s="29">
        <v>6400</v>
      </c>
      <c r="G33" s="28">
        <v>1113</v>
      </c>
      <c r="H33" s="28">
        <v>1662</v>
      </c>
    </row>
    <row r="34" spans="2:8">
      <c r="B34" s="10" t="s">
        <v>8</v>
      </c>
      <c r="C34" s="29">
        <v>15725</v>
      </c>
      <c r="D34" s="28">
        <v>9999</v>
      </c>
      <c r="E34" s="28">
        <v>5726</v>
      </c>
      <c r="F34" s="29">
        <v>15725</v>
      </c>
      <c r="G34" s="28">
        <v>3761</v>
      </c>
      <c r="H34" s="28">
        <v>2283</v>
      </c>
    </row>
    <row r="35" spans="2:8">
      <c r="B35" s="10" t="s">
        <v>9</v>
      </c>
      <c r="C35" s="29">
        <v>9300</v>
      </c>
      <c r="D35" s="28">
        <v>6506</v>
      </c>
      <c r="E35" s="28">
        <v>2794</v>
      </c>
      <c r="F35" s="29">
        <v>9300</v>
      </c>
      <c r="G35" s="28">
        <v>2169</v>
      </c>
      <c r="H35" s="28">
        <v>1556</v>
      </c>
    </row>
    <row r="36" spans="2:8">
      <c r="B36" s="10" t="s">
        <v>10</v>
      </c>
      <c r="C36" s="29">
        <v>12303</v>
      </c>
      <c r="D36" s="28">
        <v>9688</v>
      </c>
      <c r="E36" s="28">
        <v>2615</v>
      </c>
      <c r="F36" s="29">
        <v>12303</v>
      </c>
      <c r="G36" s="28">
        <v>2200</v>
      </c>
      <c r="H36" s="28">
        <v>1888</v>
      </c>
    </row>
    <row r="37" spans="2:8">
      <c r="B37" s="10" t="s">
        <v>11</v>
      </c>
      <c r="C37" s="29">
        <v>17420</v>
      </c>
      <c r="D37" s="28">
        <v>11029</v>
      </c>
      <c r="E37" s="28">
        <v>6391</v>
      </c>
      <c r="F37" s="29">
        <v>17420</v>
      </c>
      <c r="G37" s="28">
        <v>3445</v>
      </c>
      <c r="H37" s="28">
        <v>4450</v>
      </c>
    </row>
    <row r="38" spans="2:8">
      <c r="B38" s="10" t="s">
        <v>12</v>
      </c>
      <c r="C38" s="29">
        <v>6255</v>
      </c>
      <c r="D38" s="28">
        <v>4189</v>
      </c>
      <c r="E38" s="28">
        <v>2016</v>
      </c>
      <c r="F38" s="29">
        <v>6255</v>
      </c>
      <c r="G38" s="28">
        <v>1015</v>
      </c>
      <c r="H38" s="28">
        <v>2025</v>
      </c>
    </row>
    <row r="39" spans="2:8">
      <c r="B39" s="10" t="s">
        <v>13</v>
      </c>
      <c r="C39" s="29">
        <v>6640</v>
      </c>
      <c r="D39" s="28">
        <v>4751</v>
      </c>
      <c r="E39" s="28">
        <v>1889</v>
      </c>
      <c r="F39" s="29">
        <v>6640</v>
      </c>
      <c r="G39" s="28">
        <v>1204</v>
      </c>
      <c r="H39" s="28">
        <v>2454</v>
      </c>
    </row>
    <row r="40" spans="2:8">
      <c r="B40" s="10" t="s">
        <v>14</v>
      </c>
      <c r="C40" s="29">
        <v>9300</v>
      </c>
      <c r="D40" s="28">
        <v>7132</v>
      </c>
      <c r="E40" s="28">
        <v>2168</v>
      </c>
      <c r="F40" s="29">
        <v>9300</v>
      </c>
      <c r="G40" s="28">
        <v>1500</v>
      </c>
      <c r="H40" s="28">
        <v>2252</v>
      </c>
    </row>
    <row r="41" spans="2:8">
      <c r="B41" s="10" t="s">
        <v>15</v>
      </c>
      <c r="C41" s="29">
        <v>11359</v>
      </c>
      <c r="D41" s="27">
        <v>8599</v>
      </c>
      <c r="E41" s="28">
        <v>2760</v>
      </c>
      <c r="F41" s="29">
        <v>11359</v>
      </c>
      <c r="G41" s="28">
        <v>132</v>
      </c>
      <c r="H41" s="27">
        <v>1409</v>
      </c>
    </row>
    <row r="42" spans="2:8">
      <c r="B42" s="10" t="s">
        <v>16</v>
      </c>
      <c r="C42" s="29">
        <v>4955</v>
      </c>
      <c r="D42" s="27">
        <v>3868</v>
      </c>
      <c r="E42" s="28">
        <v>1087</v>
      </c>
      <c r="F42" s="29">
        <v>4955</v>
      </c>
      <c r="G42" s="28">
        <v>358</v>
      </c>
      <c r="H42" s="27">
        <v>997</v>
      </c>
    </row>
  </sheetData>
  <mergeCells count="18">
    <mergeCell ref="B2:F2"/>
    <mergeCell ref="B1:F1"/>
    <mergeCell ref="C25:C28"/>
    <mergeCell ref="D25:E25"/>
    <mergeCell ref="F25:F28"/>
    <mergeCell ref="G25:G28"/>
    <mergeCell ref="F3:F5"/>
    <mergeCell ref="E26:E28"/>
    <mergeCell ref="D4:D5"/>
    <mergeCell ref="E4:E5"/>
    <mergeCell ref="B25:B28"/>
    <mergeCell ref="B3:B5"/>
    <mergeCell ref="D3:E3"/>
    <mergeCell ref="C3:C5"/>
    <mergeCell ref="B24:H24"/>
    <mergeCell ref="B23:H23"/>
    <mergeCell ref="H25:H28"/>
    <mergeCell ref="D26:D28"/>
  </mergeCells>
  <phoneticPr fontId="4" type="noConversion"/>
  <pageMargins left="0.75" right="0.75" top="1" bottom="1" header="0.51180555555555551" footer="0.51180555555555551"/>
  <pageSetup paperSize="9" firstPageNumber="429496319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8"/>
  <sheetViews>
    <sheetView tabSelected="1" zoomScaleSheetLayoutView="100" workbookViewId="0">
      <selection activeCell="M15" sqref="M15"/>
    </sheetView>
  </sheetViews>
  <sheetFormatPr defaultColWidth="9" defaultRowHeight="11.25" customHeight="1"/>
  <cols>
    <col min="1" max="1" width="12.640625" customWidth="1"/>
    <col min="2" max="9" width="7.140625" style="14" customWidth="1"/>
  </cols>
  <sheetData>
    <row r="1" spans="1:10" ht="11.25" customHeight="1">
      <c r="A1" s="51" t="s">
        <v>45</v>
      </c>
      <c r="B1" s="52"/>
      <c r="C1" s="52"/>
      <c r="D1" s="52"/>
      <c r="E1" s="52"/>
      <c r="F1" s="52"/>
    </row>
    <row r="2" spans="1:10" ht="11.25" customHeight="1">
      <c r="A2" s="59" t="s">
        <v>32</v>
      </c>
      <c r="B2" s="59"/>
      <c r="C2" s="59"/>
      <c r="D2" s="59"/>
      <c r="E2" s="59"/>
      <c r="F2" s="59"/>
      <c r="G2" s="59"/>
    </row>
    <row r="3" spans="1:10" ht="27.75" customHeight="1">
      <c r="A3" s="30"/>
      <c r="B3" s="60" t="s">
        <v>28</v>
      </c>
      <c r="C3" s="61"/>
      <c r="D3" s="62"/>
      <c r="E3" s="60" t="s">
        <v>25</v>
      </c>
      <c r="F3" s="61"/>
      <c r="G3" s="62"/>
      <c r="H3" s="16"/>
      <c r="J3" s="14"/>
    </row>
    <row r="4" spans="1:10" ht="16" customHeight="1">
      <c r="A4" s="30"/>
      <c r="B4" s="55" t="s">
        <v>33</v>
      </c>
      <c r="C4" s="54" t="s">
        <v>26</v>
      </c>
      <c r="D4" s="54" t="s">
        <v>27</v>
      </c>
      <c r="E4" s="55" t="s">
        <v>33</v>
      </c>
      <c r="F4" s="54" t="s">
        <v>26</v>
      </c>
      <c r="G4" s="54" t="s">
        <v>27</v>
      </c>
      <c r="H4" s="16"/>
      <c r="J4" s="14"/>
    </row>
    <row r="5" spans="1:10" ht="16" customHeight="1">
      <c r="A5" s="30"/>
      <c r="B5" s="56"/>
      <c r="C5" s="54"/>
      <c r="D5" s="54"/>
      <c r="E5" s="56"/>
      <c r="F5" s="54"/>
      <c r="G5" s="54"/>
      <c r="H5" s="16"/>
      <c r="J5" s="14"/>
    </row>
    <row r="6" spans="1:10" ht="16" customHeight="1" thickBot="1">
      <c r="A6" s="25" t="s">
        <v>118</v>
      </c>
      <c r="B6" s="26">
        <v>325202</v>
      </c>
      <c r="C6" s="26">
        <v>282856</v>
      </c>
      <c r="D6" s="26">
        <v>42346</v>
      </c>
      <c r="E6" s="26">
        <v>84956</v>
      </c>
      <c r="F6" s="26">
        <v>72818</v>
      </c>
      <c r="G6" s="26">
        <v>12138</v>
      </c>
      <c r="H6" s="16"/>
      <c r="J6" s="14"/>
    </row>
    <row r="7" spans="1:10" ht="16" customHeight="1" thickBot="1">
      <c r="A7" s="25" t="s">
        <v>5</v>
      </c>
      <c r="B7" s="26">
        <v>16500</v>
      </c>
      <c r="C7" s="26">
        <v>6500</v>
      </c>
      <c r="D7" s="26">
        <v>10000</v>
      </c>
      <c r="E7" s="26">
        <v>3436</v>
      </c>
      <c r="F7" s="26">
        <v>782</v>
      </c>
      <c r="G7" s="26">
        <v>2654</v>
      </c>
      <c r="H7" s="16"/>
      <c r="J7" s="14"/>
    </row>
    <row r="8" spans="1:10" ht="16" customHeight="1" thickBot="1">
      <c r="A8" s="25" t="s">
        <v>6</v>
      </c>
      <c r="B8" s="26">
        <v>13829</v>
      </c>
      <c r="C8" s="26">
        <v>12075</v>
      </c>
      <c r="D8" s="26">
        <v>1754</v>
      </c>
      <c r="E8" s="26">
        <v>2388</v>
      </c>
      <c r="F8" s="26">
        <v>1970</v>
      </c>
      <c r="G8" s="26">
        <v>418</v>
      </c>
      <c r="H8" s="16"/>
      <c r="J8" s="14"/>
    </row>
    <row r="9" spans="1:10" ht="16" customHeight="1" thickBot="1">
      <c r="A9" s="25" t="s">
        <v>7</v>
      </c>
      <c r="B9" s="26">
        <v>11518</v>
      </c>
      <c r="C9" s="26">
        <v>9107</v>
      </c>
      <c r="D9" s="26">
        <v>2411</v>
      </c>
      <c r="E9" s="26">
        <v>2173</v>
      </c>
      <c r="F9" s="26">
        <v>1724</v>
      </c>
      <c r="G9" s="26">
        <v>449</v>
      </c>
      <c r="H9" s="16"/>
      <c r="J9" s="14"/>
    </row>
    <row r="10" spans="1:10" ht="16" customHeight="1" thickBot="1">
      <c r="A10" s="25" t="s">
        <v>8</v>
      </c>
      <c r="B10" s="26">
        <v>16834</v>
      </c>
      <c r="C10" s="26">
        <v>13703</v>
      </c>
      <c r="D10" s="26">
        <v>3131</v>
      </c>
      <c r="E10" s="26">
        <v>4918</v>
      </c>
      <c r="F10" s="26">
        <v>3674</v>
      </c>
      <c r="G10" s="26">
        <v>1244</v>
      </c>
      <c r="H10" s="16"/>
      <c r="J10" s="14"/>
    </row>
    <row r="11" spans="1:10" ht="16" customHeight="1" thickBot="1">
      <c r="A11" s="25" t="s">
        <v>9</v>
      </c>
      <c r="B11" s="26">
        <v>24667</v>
      </c>
      <c r="C11" s="26">
        <v>20362</v>
      </c>
      <c r="D11" s="26">
        <v>4305</v>
      </c>
      <c r="E11" s="26">
        <v>3941</v>
      </c>
      <c r="F11" s="26">
        <v>2651</v>
      </c>
      <c r="G11" s="26">
        <v>1290</v>
      </c>
      <c r="H11" s="16"/>
      <c r="J11" s="14"/>
    </row>
    <row r="12" spans="1:10" ht="16" customHeight="1" thickBot="1">
      <c r="A12" s="25" t="s">
        <v>10</v>
      </c>
      <c r="B12" s="26">
        <v>22647</v>
      </c>
      <c r="C12" s="26">
        <v>18643</v>
      </c>
      <c r="D12" s="26">
        <v>4004</v>
      </c>
      <c r="E12" s="26">
        <v>4753</v>
      </c>
      <c r="F12" s="26">
        <v>3193</v>
      </c>
      <c r="G12" s="26">
        <v>1560</v>
      </c>
      <c r="H12" s="16"/>
      <c r="J12" s="14"/>
    </row>
    <row r="13" spans="1:10" ht="16" customHeight="1" thickBot="1">
      <c r="A13" s="25" t="s">
        <v>11</v>
      </c>
      <c r="B13" s="26">
        <v>91529</v>
      </c>
      <c r="C13" s="26">
        <v>88012</v>
      </c>
      <c r="D13" s="26">
        <v>3517</v>
      </c>
      <c r="E13" s="26">
        <v>31759</v>
      </c>
      <c r="F13" s="26">
        <v>30667</v>
      </c>
      <c r="G13" s="26">
        <v>1092</v>
      </c>
      <c r="H13" s="16"/>
      <c r="J13" s="14"/>
    </row>
    <row r="14" spans="1:10" ht="16" customHeight="1" thickBot="1">
      <c r="A14" s="25" t="s">
        <v>12</v>
      </c>
      <c r="B14" s="26">
        <v>11181</v>
      </c>
      <c r="C14" s="26">
        <v>8171</v>
      </c>
      <c r="D14" s="26">
        <v>3010</v>
      </c>
      <c r="E14" s="26">
        <v>2723</v>
      </c>
      <c r="F14" s="26">
        <v>1726</v>
      </c>
      <c r="G14" s="26">
        <v>997</v>
      </c>
      <c r="H14" s="16"/>
      <c r="J14" s="14"/>
    </row>
    <row r="15" spans="1:10" ht="16" customHeight="1" thickBot="1">
      <c r="A15" s="25" t="s">
        <v>13</v>
      </c>
      <c r="B15" s="26">
        <v>33685</v>
      </c>
      <c r="C15" s="26">
        <v>31313</v>
      </c>
      <c r="D15" s="26">
        <v>2372</v>
      </c>
      <c r="E15" s="26">
        <v>9315</v>
      </c>
      <c r="F15" s="26">
        <v>8763</v>
      </c>
      <c r="G15" s="26">
        <v>552</v>
      </c>
      <c r="H15" s="16"/>
      <c r="J15" s="14"/>
    </row>
    <row r="16" spans="1:10" ht="16" customHeight="1" thickBot="1">
      <c r="A16" s="25" t="s">
        <v>14</v>
      </c>
      <c r="B16" s="26">
        <v>38297</v>
      </c>
      <c r="C16" s="26">
        <v>36781</v>
      </c>
      <c r="D16" s="26">
        <v>1516</v>
      </c>
      <c r="E16" s="26">
        <v>7472</v>
      </c>
      <c r="F16" s="26">
        <v>6992</v>
      </c>
      <c r="G16" s="26">
        <v>480</v>
      </c>
      <c r="H16" s="16"/>
      <c r="J16" s="14"/>
    </row>
    <row r="17" spans="1:12" ht="16" customHeight="1" thickBot="1">
      <c r="A17" s="25" t="s">
        <v>15</v>
      </c>
      <c r="B17" s="26">
        <v>43944</v>
      </c>
      <c r="C17" s="26">
        <v>38000</v>
      </c>
      <c r="D17" s="26">
        <v>5944</v>
      </c>
      <c r="E17" s="26">
        <v>11857</v>
      </c>
      <c r="F17" s="26">
        <v>10573</v>
      </c>
      <c r="G17" s="26">
        <v>1284</v>
      </c>
      <c r="H17" s="16"/>
      <c r="J17" s="14"/>
    </row>
    <row r="18" spans="1:12" ht="16" customHeight="1" thickBot="1">
      <c r="A18" s="25" t="s">
        <v>16</v>
      </c>
      <c r="B18" s="26">
        <v>571</v>
      </c>
      <c r="C18" s="26">
        <v>189</v>
      </c>
      <c r="D18" s="26">
        <v>382</v>
      </c>
      <c r="E18" s="26">
        <v>221</v>
      </c>
      <c r="F18" s="26">
        <v>103</v>
      </c>
      <c r="G18" s="26">
        <v>118</v>
      </c>
      <c r="H18" s="16"/>
      <c r="J18" s="14"/>
    </row>
    <row r="19" spans="1:12" ht="16" customHeight="1"/>
    <row r="20" spans="1:12" ht="16" customHeight="1"/>
    <row r="21" spans="1:12" ht="16" customHeight="1"/>
    <row r="22" spans="1:12" ht="16" customHeight="1">
      <c r="A22" s="57" t="s">
        <v>46</v>
      </c>
      <c r="B22" s="58"/>
      <c r="C22" s="58"/>
      <c r="D22" s="58"/>
      <c r="E22" s="58"/>
      <c r="F22" s="58"/>
      <c r="G22" s="58"/>
      <c r="H22" s="3"/>
      <c r="I22" s="3"/>
      <c r="J22" s="3"/>
      <c r="K22" s="3"/>
      <c r="L22" s="3"/>
    </row>
    <row r="23" spans="1:12" ht="16" customHeight="1">
      <c r="A23" s="2"/>
      <c r="B23" s="17"/>
      <c r="C23" s="17"/>
      <c r="D23" s="17"/>
      <c r="E23" s="17"/>
      <c r="F23" s="17"/>
      <c r="G23" s="23" t="s">
        <v>32</v>
      </c>
      <c r="H23" s="53"/>
      <c r="I23" s="53"/>
      <c r="J23" s="2"/>
      <c r="K23" s="2"/>
      <c r="L23" s="2"/>
    </row>
    <row r="24" spans="1:12" ht="16" customHeight="1">
      <c r="A24" s="30"/>
      <c r="B24" s="54" t="s">
        <v>39</v>
      </c>
      <c r="C24" s="54"/>
      <c r="D24" s="54"/>
      <c r="E24" s="54" t="s">
        <v>40</v>
      </c>
      <c r="F24" s="54"/>
      <c r="G24" s="54"/>
      <c r="H24"/>
      <c r="I24"/>
    </row>
    <row r="25" spans="1:12" ht="16" customHeight="1">
      <c r="A25" s="30"/>
      <c r="B25" s="9" t="s">
        <v>33</v>
      </c>
      <c r="C25" s="9" t="s">
        <v>30</v>
      </c>
      <c r="D25" s="9" t="s">
        <v>31</v>
      </c>
      <c r="E25" s="9" t="s">
        <v>33</v>
      </c>
      <c r="F25" s="9" t="s">
        <v>30</v>
      </c>
      <c r="G25" s="9" t="s">
        <v>31</v>
      </c>
      <c r="H25"/>
      <c r="I25"/>
    </row>
    <row r="26" spans="1:12" ht="16" customHeight="1">
      <c r="A26" s="11" t="s">
        <v>34</v>
      </c>
      <c r="B26" s="6" t="s">
        <v>50</v>
      </c>
      <c r="C26" s="6" t="s">
        <v>51</v>
      </c>
      <c r="D26" s="6" t="s">
        <v>52</v>
      </c>
      <c r="E26" s="6" t="s">
        <v>53</v>
      </c>
      <c r="F26" s="6" t="s">
        <v>54</v>
      </c>
      <c r="G26" s="6" t="s">
        <v>55</v>
      </c>
      <c r="H26"/>
      <c r="I26"/>
    </row>
    <row r="27" spans="1:12" ht="16" customHeight="1">
      <c r="A27" s="8" t="s">
        <v>5</v>
      </c>
      <c r="B27" s="7" t="s">
        <v>56</v>
      </c>
      <c r="C27" s="7" t="s">
        <v>57</v>
      </c>
      <c r="D27" s="7" t="s">
        <v>58</v>
      </c>
      <c r="E27" s="7" t="s">
        <v>59</v>
      </c>
      <c r="F27" s="7" t="s">
        <v>60</v>
      </c>
      <c r="G27" s="7" t="s">
        <v>61</v>
      </c>
      <c r="H27"/>
      <c r="I27"/>
    </row>
    <row r="28" spans="1:12" ht="16" customHeight="1">
      <c r="A28" s="8" t="s">
        <v>6</v>
      </c>
      <c r="B28" s="7" t="s">
        <v>62</v>
      </c>
      <c r="C28" s="7" t="s">
        <v>63</v>
      </c>
      <c r="D28" s="7" t="s">
        <v>64</v>
      </c>
      <c r="E28" s="7" t="s">
        <v>65</v>
      </c>
      <c r="F28" s="7" t="s">
        <v>66</v>
      </c>
      <c r="G28" s="7" t="s">
        <v>64</v>
      </c>
      <c r="H28"/>
      <c r="I28"/>
    </row>
    <row r="29" spans="1:12" ht="16" customHeight="1">
      <c r="A29" s="8" t="s">
        <v>7</v>
      </c>
      <c r="B29" s="7" t="s">
        <v>67</v>
      </c>
      <c r="C29" s="7" t="s">
        <v>68</v>
      </c>
      <c r="D29" s="7" t="s">
        <v>69</v>
      </c>
      <c r="E29" s="7" t="s">
        <v>67</v>
      </c>
      <c r="F29" s="7" t="s">
        <v>68</v>
      </c>
      <c r="G29" s="7" t="s">
        <v>69</v>
      </c>
      <c r="H29"/>
      <c r="I29"/>
    </row>
    <row r="30" spans="1:12" ht="16" customHeight="1">
      <c r="A30" s="8" t="s">
        <v>8</v>
      </c>
      <c r="B30" s="7" t="s">
        <v>70</v>
      </c>
      <c r="C30" s="7" t="s">
        <v>71</v>
      </c>
      <c r="D30" s="7" t="s">
        <v>72</v>
      </c>
      <c r="E30" s="7" t="s">
        <v>73</v>
      </c>
      <c r="F30" s="7" t="s">
        <v>74</v>
      </c>
      <c r="G30" s="7" t="s">
        <v>75</v>
      </c>
      <c r="H30"/>
      <c r="I30"/>
    </row>
    <row r="31" spans="1:12" ht="16" customHeight="1">
      <c r="A31" s="8" t="s">
        <v>9</v>
      </c>
      <c r="B31" s="7" t="s">
        <v>76</v>
      </c>
      <c r="C31" s="7" t="s">
        <v>77</v>
      </c>
      <c r="D31" s="7" t="s">
        <v>78</v>
      </c>
      <c r="E31" s="7" t="s">
        <v>79</v>
      </c>
      <c r="F31" s="7" t="s">
        <v>80</v>
      </c>
      <c r="G31" s="7" t="s">
        <v>81</v>
      </c>
      <c r="H31"/>
      <c r="I31"/>
    </row>
    <row r="32" spans="1:12" ht="16" customHeight="1">
      <c r="A32" s="8" t="s">
        <v>10</v>
      </c>
      <c r="B32" s="7" t="s">
        <v>82</v>
      </c>
      <c r="C32" s="7" t="s">
        <v>83</v>
      </c>
      <c r="D32" s="7" t="s">
        <v>84</v>
      </c>
      <c r="E32" s="7" t="s">
        <v>85</v>
      </c>
      <c r="F32" s="7" t="s">
        <v>86</v>
      </c>
      <c r="G32" s="7" t="s">
        <v>84</v>
      </c>
      <c r="H32"/>
      <c r="I32"/>
    </row>
    <row r="33" spans="1:9" ht="16" customHeight="1">
      <c r="A33" s="8" t="s">
        <v>11</v>
      </c>
      <c r="B33" s="7" t="s">
        <v>70</v>
      </c>
      <c r="C33" s="7" t="s">
        <v>87</v>
      </c>
      <c r="D33" s="7" t="s">
        <v>88</v>
      </c>
      <c r="E33" s="7" t="s">
        <v>89</v>
      </c>
      <c r="F33" s="7" t="s">
        <v>90</v>
      </c>
      <c r="G33" s="7" t="s">
        <v>91</v>
      </c>
      <c r="H33"/>
      <c r="I33"/>
    </row>
    <row r="34" spans="1:9" ht="16" customHeight="1">
      <c r="A34" s="8" t="s">
        <v>12</v>
      </c>
      <c r="B34" s="7" t="s">
        <v>92</v>
      </c>
      <c r="C34" s="7" t="s">
        <v>93</v>
      </c>
      <c r="D34" s="7" t="s">
        <v>94</v>
      </c>
      <c r="E34" s="7" t="s">
        <v>92</v>
      </c>
      <c r="F34" s="7" t="s">
        <v>93</v>
      </c>
      <c r="G34" s="7" t="s">
        <v>94</v>
      </c>
      <c r="H34"/>
      <c r="I34"/>
    </row>
    <row r="35" spans="1:9" ht="16" customHeight="1">
      <c r="A35" s="8" t="s">
        <v>13</v>
      </c>
      <c r="B35" s="7" t="s">
        <v>95</v>
      </c>
      <c r="C35" s="7" t="s">
        <v>96</v>
      </c>
      <c r="D35" s="7" t="s">
        <v>97</v>
      </c>
      <c r="E35" s="7" t="s">
        <v>98</v>
      </c>
      <c r="F35" s="7" t="s">
        <v>99</v>
      </c>
      <c r="G35" s="7" t="s">
        <v>100</v>
      </c>
      <c r="H35"/>
      <c r="I35"/>
    </row>
    <row r="36" spans="1:9" ht="16" customHeight="1">
      <c r="A36" s="8" t="s">
        <v>14</v>
      </c>
      <c r="B36" s="7" t="s">
        <v>101</v>
      </c>
      <c r="C36" s="7" t="s">
        <v>102</v>
      </c>
      <c r="D36" s="7" t="s">
        <v>103</v>
      </c>
      <c r="E36" s="7" t="s">
        <v>104</v>
      </c>
      <c r="F36" s="7" t="s">
        <v>105</v>
      </c>
      <c r="G36" s="7" t="s">
        <v>106</v>
      </c>
      <c r="H36"/>
      <c r="I36"/>
    </row>
    <row r="37" spans="1:9" ht="16" customHeight="1">
      <c r="A37" s="8" t="s">
        <v>15</v>
      </c>
      <c r="B37" s="7" t="s">
        <v>107</v>
      </c>
      <c r="C37" s="7" t="s">
        <v>108</v>
      </c>
      <c r="D37" s="7" t="s">
        <v>109</v>
      </c>
      <c r="E37" s="7" t="s">
        <v>110</v>
      </c>
      <c r="F37" s="7" t="s">
        <v>108</v>
      </c>
      <c r="G37" s="7" t="s">
        <v>111</v>
      </c>
      <c r="H37"/>
      <c r="I37"/>
    </row>
    <row r="38" spans="1:9" ht="16" customHeight="1">
      <c r="A38" s="8" t="s">
        <v>16</v>
      </c>
      <c r="B38" s="7" t="s">
        <v>112</v>
      </c>
      <c r="C38" s="7" t="s">
        <v>113</v>
      </c>
      <c r="D38" s="7" t="s">
        <v>114</v>
      </c>
      <c r="E38" s="7" t="s">
        <v>115</v>
      </c>
      <c r="F38" s="7" t="s">
        <v>116</v>
      </c>
      <c r="G38" s="7" t="s">
        <v>117</v>
      </c>
      <c r="H38"/>
      <c r="I38"/>
    </row>
  </sheetData>
  <mergeCells count="16">
    <mergeCell ref="A24:A25"/>
    <mergeCell ref="B24:D24"/>
    <mergeCell ref="C4:C5"/>
    <mergeCell ref="D4:D5"/>
    <mergeCell ref="E24:G24"/>
    <mergeCell ref="E3:G3"/>
    <mergeCell ref="E4:E5"/>
    <mergeCell ref="B3:D3"/>
    <mergeCell ref="A1:F1"/>
    <mergeCell ref="A3:A5"/>
    <mergeCell ref="H23:I23"/>
    <mergeCell ref="F4:F5"/>
    <mergeCell ref="G4:G5"/>
    <mergeCell ref="B4:B5"/>
    <mergeCell ref="A22:G22"/>
    <mergeCell ref="A2:G2"/>
  </mergeCells>
  <phoneticPr fontId="4" type="noConversion"/>
  <pageMargins left="0.75" right="0.75" top="1" bottom="1" header="0.51180555555555551" footer="0.51180555555555551"/>
  <pageSetup paperSize="9" firstPageNumber="4294963191" orientation="landscape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zoomScaleSheetLayoutView="100" workbookViewId="0">
      <selection activeCell="I12" sqref="I12"/>
    </sheetView>
  </sheetViews>
  <sheetFormatPr defaultRowHeight="15"/>
  <cols>
    <col min="1" max="1" width="4.7109375" style="1" customWidth="1"/>
    <col min="3" max="4" width="14.85546875" style="14" customWidth="1"/>
    <col min="5" max="5" width="5.2109375" style="14" customWidth="1"/>
    <col min="6" max="6" width="5.85546875" style="14" customWidth="1"/>
    <col min="7" max="7" width="6.2109375" style="14" customWidth="1"/>
    <col min="8" max="8" width="9" style="14" customWidth="1"/>
  </cols>
  <sheetData>
    <row r="1" spans="2:8" ht="14.25" customHeight="1">
      <c r="B1" s="65" t="s">
        <v>47</v>
      </c>
      <c r="C1" s="65"/>
      <c r="D1" s="65"/>
      <c r="E1" s="65"/>
      <c r="F1" s="65"/>
      <c r="G1" s="65"/>
      <c r="H1" s="5"/>
    </row>
    <row r="2" spans="2:8" ht="14.25" customHeight="1">
      <c r="B2" s="63" t="s">
        <v>32</v>
      </c>
      <c r="C2" s="64"/>
      <c r="D2" s="64"/>
      <c r="E2" s="64"/>
      <c r="F2" s="64"/>
      <c r="G2" s="64"/>
      <c r="H2"/>
    </row>
    <row r="3" spans="2:8" ht="15.65" customHeight="1">
      <c r="B3" s="30" t="s">
        <v>29</v>
      </c>
      <c r="C3" s="66" t="s">
        <v>19</v>
      </c>
      <c r="D3" s="22"/>
      <c r="E3" s="54" t="s">
        <v>0</v>
      </c>
      <c r="F3" s="54"/>
      <c r="G3" s="54"/>
      <c r="H3"/>
    </row>
    <row r="4" spans="2:8" ht="31.5" customHeight="1">
      <c r="B4" s="30"/>
      <c r="C4" s="56"/>
      <c r="D4" s="24" t="s">
        <v>48</v>
      </c>
      <c r="E4" s="9" t="s">
        <v>35</v>
      </c>
      <c r="F4" s="7" t="s">
        <v>36</v>
      </c>
      <c r="G4" s="7" t="s">
        <v>37</v>
      </c>
      <c r="H4"/>
    </row>
    <row r="5" spans="2:8">
      <c r="B5" s="10" t="s">
        <v>24</v>
      </c>
      <c r="C5" s="7">
        <v>104749</v>
      </c>
      <c r="D5" s="7">
        <v>23312</v>
      </c>
      <c r="E5" s="7">
        <v>449</v>
      </c>
      <c r="F5" s="7">
        <v>13</v>
      </c>
      <c r="G5" s="7">
        <v>95</v>
      </c>
      <c r="H5"/>
    </row>
    <row r="6" spans="2:8">
      <c r="B6" s="10" t="s">
        <v>4</v>
      </c>
      <c r="C6" s="7">
        <v>32488</v>
      </c>
      <c r="D6" s="7">
        <v>4500</v>
      </c>
      <c r="E6" s="7">
        <v>161</v>
      </c>
      <c r="F6" s="7">
        <v>3</v>
      </c>
      <c r="G6" s="7">
        <v>52</v>
      </c>
      <c r="H6"/>
    </row>
    <row r="7" spans="2:8">
      <c r="B7" s="10" t="s">
        <v>5</v>
      </c>
      <c r="C7" s="7">
        <v>12357</v>
      </c>
      <c r="D7" s="7">
        <v>2116</v>
      </c>
      <c r="E7" s="7">
        <v>20</v>
      </c>
      <c r="F7" s="7"/>
      <c r="G7" s="7">
        <v>3</v>
      </c>
      <c r="H7"/>
    </row>
    <row r="8" spans="2:8">
      <c r="B8" s="10" t="s">
        <v>6</v>
      </c>
      <c r="C8" s="7">
        <v>3102</v>
      </c>
      <c r="D8" s="7">
        <v>1680</v>
      </c>
      <c r="E8" s="7">
        <v>22</v>
      </c>
      <c r="F8" s="7"/>
      <c r="G8" s="7">
        <v>1</v>
      </c>
      <c r="H8"/>
    </row>
    <row r="9" spans="2:8">
      <c r="B9" s="10" t="s">
        <v>7</v>
      </c>
      <c r="C9" s="7">
        <v>3484</v>
      </c>
      <c r="D9" s="7">
        <v>1157</v>
      </c>
      <c r="E9" s="7">
        <v>2</v>
      </c>
      <c r="F9" s="7"/>
      <c r="G9" s="7">
        <v>3</v>
      </c>
      <c r="H9"/>
    </row>
    <row r="10" spans="2:8">
      <c r="B10" s="10" t="s">
        <v>8</v>
      </c>
      <c r="C10" s="7">
        <v>6005</v>
      </c>
      <c r="D10" s="7">
        <v>1097</v>
      </c>
      <c r="E10" s="7">
        <v>129</v>
      </c>
      <c r="F10" s="7">
        <v>2</v>
      </c>
      <c r="G10" s="7">
        <v>14</v>
      </c>
      <c r="H10"/>
    </row>
    <row r="11" spans="2:8">
      <c r="B11" s="10" t="s">
        <v>9</v>
      </c>
      <c r="C11" s="7">
        <v>7602</v>
      </c>
      <c r="D11" s="7">
        <v>2682</v>
      </c>
      <c r="E11" s="7">
        <v>14</v>
      </c>
      <c r="F11" s="7">
        <v>1</v>
      </c>
      <c r="G11" s="7">
        <v>4</v>
      </c>
      <c r="H11"/>
    </row>
    <row r="12" spans="2:8">
      <c r="B12" s="10" t="s">
        <v>10</v>
      </c>
      <c r="C12" s="7">
        <v>9820</v>
      </c>
      <c r="D12" s="7">
        <v>2907</v>
      </c>
      <c r="E12" s="7">
        <v>34</v>
      </c>
      <c r="F12" s="7">
        <v>4</v>
      </c>
      <c r="G12" s="7">
        <v>8</v>
      </c>
      <c r="H12"/>
    </row>
    <row r="13" spans="2:8">
      <c r="B13" s="10" t="s">
        <v>11</v>
      </c>
      <c r="C13" s="7">
        <v>5800</v>
      </c>
      <c r="D13" s="7">
        <v>1000</v>
      </c>
      <c r="E13" s="7">
        <v>4</v>
      </c>
      <c r="F13" s="7"/>
      <c r="G13" s="7">
        <v>1</v>
      </c>
      <c r="H13"/>
    </row>
    <row r="14" spans="2:8">
      <c r="B14" s="10" t="s">
        <v>12</v>
      </c>
      <c r="C14" s="7">
        <v>3361</v>
      </c>
      <c r="D14" s="7">
        <v>323</v>
      </c>
      <c r="E14" s="7">
        <v>21</v>
      </c>
      <c r="F14" s="7"/>
      <c r="G14" s="7"/>
      <c r="H14"/>
    </row>
    <row r="15" spans="2:8">
      <c r="B15" s="10" t="s">
        <v>13</v>
      </c>
      <c r="C15" s="7">
        <v>3073</v>
      </c>
      <c r="D15" s="7">
        <v>520</v>
      </c>
      <c r="E15" s="7"/>
      <c r="F15" s="7">
        <v>2</v>
      </c>
      <c r="G15" s="7">
        <v>1</v>
      </c>
      <c r="H15"/>
    </row>
    <row r="16" spans="2:8">
      <c r="B16" s="10" t="s">
        <v>14</v>
      </c>
      <c r="C16" s="7">
        <v>6430</v>
      </c>
      <c r="D16" s="7">
        <v>2180</v>
      </c>
      <c r="E16" s="7">
        <v>23</v>
      </c>
      <c r="F16" s="7"/>
      <c r="G16" s="7">
        <v>5</v>
      </c>
      <c r="H16"/>
    </row>
    <row r="17" spans="2:12">
      <c r="B17" s="10" t="s">
        <v>15</v>
      </c>
      <c r="C17" s="7">
        <v>8477</v>
      </c>
      <c r="D17" s="7">
        <v>2500</v>
      </c>
      <c r="E17" s="7">
        <v>19</v>
      </c>
      <c r="F17" s="7">
        <v>1</v>
      </c>
      <c r="G17" s="7">
        <v>3</v>
      </c>
      <c r="H17"/>
    </row>
    <row r="18" spans="2:12">
      <c r="B18" s="10" t="s">
        <v>16</v>
      </c>
      <c r="C18" s="7">
        <v>2750</v>
      </c>
      <c r="D18" s="7">
        <v>650</v>
      </c>
      <c r="E18" s="7"/>
      <c r="F18" s="7"/>
      <c r="G18" s="7"/>
      <c r="H18"/>
    </row>
    <row r="21" spans="2:12" ht="15.65" customHeight="1">
      <c r="B21" s="38" t="s">
        <v>49</v>
      </c>
      <c r="C21" s="38"/>
      <c r="D21" s="38"/>
      <c r="E21" s="4"/>
      <c r="F21" s="4"/>
      <c r="G21" s="4"/>
      <c r="H21" s="18"/>
      <c r="I21" s="4"/>
      <c r="J21" s="4"/>
      <c r="K21" s="4"/>
      <c r="L21" s="4"/>
    </row>
    <row r="22" spans="2:12" ht="15.65" customHeight="1">
      <c r="B22" s="63" t="s">
        <v>32</v>
      </c>
      <c r="C22" s="64"/>
      <c r="D22" s="64"/>
      <c r="E22" s="5"/>
      <c r="F22" s="19"/>
      <c r="G22" s="5"/>
      <c r="H22" s="5"/>
      <c r="I22" s="5"/>
      <c r="J22" s="5"/>
    </row>
    <row r="23" spans="2:12" ht="29.25" customHeight="1">
      <c r="B23" s="30"/>
      <c r="C23" s="54" t="s">
        <v>19</v>
      </c>
      <c r="D23" s="54" t="s">
        <v>38</v>
      </c>
      <c r="E23"/>
      <c r="F23"/>
      <c r="G23"/>
      <c r="H23"/>
    </row>
    <row r="24" spans="2:12" ht="15.65" customHeight="1">
      <c r="B24" s="30"/>
      <c r="C24" s="54"/>
      <c r="D24" s="54"/>
      <c r="E24"/>
      <c r="F24"/>
      <c r="G24"/>
      <c r="H24"/>
    </row>
    <row r="25" spans="2:12">
      <c r="B25" s="30"/>
      <c r="C25" s="54"/>
      <c r="D25" s="54"/>
      <c r="E25"/>
      <c r="F25"/>
      <c r="G25"/>
      <c r="H25"/>
    </row>
    <row r="26" spans="2:12">
      <c r="B26" s="10" t="s">
        <v>18</v>
      </c>
      <c r="C26" s="9">
        <v>114012</v>
      </c>
      <c r="D26" s="9">
        <v>2578</v>
      </c>
      <c r="E26"/>
      <c r="F26"/>
      <c r="G26"/>
      <c r="H26"/>
    </row>
    <row r="27" spans="2:12">
      <c r="B27" s="10" t="s">
        <v>4</v>
      </c>
      <c r="C27" s="9">
        <v>37464</v>
      </c>
      <c r="D27" s="9">
        <v>840</v>
      </c>
      <c r="E27"/>
      <c r="F27"/>
      <c r="G27"/>
      <c r="H27"/>
    </row>
    <row r="28" spans="2:12">
      <c r="B28" s="10" t="s">
        <v>5</v>
      </c>
      <c r="C28" s="9">
        <v>13005</v>
      </c>
      <c r="D28" s="9">
        <v>271</v>
      </c>
      <c r="E28"/>
      <c r="F28"/>
      <c r="G28"/>
      <c r="H28"/>
    </row>
    <row r="29" spans="2:12">
      <c r="B29" s="10" t="s">
        <v>6</v>
      </c>
      <c r="C29" s="9">
        <v>4626</v>
      </c>
      <c r="D29" s="9">
        <v>114</v>
      </c>
      <c r="E29"/>
      <c r="F29"/>
      <c r="G29"/>
      <c r="H29"/>
    </row>
    <row r="30" spans="2:12">
      <c r="B30" s="10" t="s">
        <v>7</v>
      </c>
      <c r="C30" s="9">
        <v>4560</v>
      </c>
      <c r="D30" s="9">
        <v>89</v>
      </c>
      <c r="E30"/>
      <c r="F30"/>
      <c r="G30"/>
      <c r="H30"/>
    </row>
    <row r="31" spans="2:12">
      <c r="B31" s="10" t="s">
        <v>8</v>
      </c>
      <c r="C31" s="9">
        <v>6680</v>
      </c>
      <c r="D31" s="9">
        <v>144</v>
      </c>
      <c r="E31"/>
      <c r="F31"/>
      <c r="G31"/>
      <c r="H31"/>
    </row>
    <row r="32" spans="2:12">
      <c r="B32" s="10" t="s">
        <v>9</v>
      </c>
      <c r="C32" s="9">
        <v>6495</v>
      </c>
      <c r="D32" s="9">
        <v>117</v>
      </c>
      <c r="E32"/>
      <c r="F32"/>
      <c r="G32"/>
      <c r="H32"/>
    </row>
    <row r="33" spans="2:8">
      <c r="B33" s="10" t="s">
        <v>10</v>
      </c>
      <c r="C33" s="9">
        <v>7815</v>
      </c>
      <c r="D33" s="9">
        <v>157</v>
      </c>
      <c r="E33"/>
      <c r="F33"/>
      <c r="G33"/>
      <c r="H33"/>
    </row>
    <row r="34" spans="2:8">
      <c r="B34" s="10" t="s">
        <v>11</v>
      </c>
      <c r="C34" s="9">
        <v>7160</v>
      </c>
      <c r="D34" s="9">
        <v>120</v>
      </c>
      <c r="E34"/>
      <c r="F34"/>
      <c r="G34"/>
      <c r="H34"/>
    </row>
    <row r="35" spans="2:8">
      <c r="B35" s="10" t="s">
        <v>12</v>
      </c>
      <c r="C35" s="9">
        <v>4065</v>
      </c>
      <c r="D35" s="9">
        <v>107</v>
      </c>
      <c r="E35"/>
      <c r="F35"/>
      <c r="G35"/>
      <c r="H35"/>
    </row>
    <row r="36" spans="2:8">
      <c r="B36" s="10" t="s">
        <v>13</v>
      </c>
      <c r="C36" s="9">
        <v>4376</v>
      </c>
      <c r="D36" s="9">
        <v>64</v>
      </c>
      <c r="E36"/>
      <c r="F36"/>
      <c r="G36"/>
      <c r="H36"/>
    </row>
    <row r="37" spans="2:8">
      <c r="B37" s="10" t="s">
        <v>14</v>
      </c>
      <c r="C37" s="9">
        <v>6330</v>
      </c>
      <c r="D37" s="9">
        <v>205</v>
      </c>
      <c r="E37"/>
      <c r="F37"/>
      <c r="G37"/>
      <c r="H37"/>
    </row>
    <row r="38" spans="2:8">
      <c r="B38" s="10" t="s">
        <v>15</v>
      </c>
      <c r="C38" s="9">
        <v>8406</v>
      </c>
      <c r="D38" s="9">
        <v>181</v>
      </c>
      <c r="E38"/>
      <c r="F38"/>
      <c r="G38"/>
      <c r="H38"/>
    </row>
    <row r="39" spans="2:8">
      <c r="B39" s="10" t="s">
        <v>16</v>
      </c>
      <c r="C39" s="9">
        <v>3030</v>
      </c>
      <c r="D39" s="9">
        <v>169</v>
      </c>
      <c r="E39"/>
      <c r="F39"/>
      <c r="G39"/>
      <c r="H39"/>
    </row>
  </sheetData>
  <mergeCells count="10">
    <mergeCell ref="B2:G2"/>
    <mergeCell ref="B1:G1"/>
    <mergeCell ref="C3:C4"/>
    <mergeCell ref="B22:D22"/>
    <mergeCell ref="B21:D21"/>
    <mergeCell ref="B23:B25"/>
    <mergeCell ref="C23:C25"/>
    <mergeCell ref="D23:D25"/>
    <mergeCell ref="B3:B4"/>
    <mergeCell ref="E3:G3"/>
  </mergeCells>
  <phoneticPr fontId="4" type="noConversion"/>
  <pageMargins left="0.75" right="0.75" top="1" bottom="1" header="0.51180555555555551" footer="0.51180555555555551"/>
  <pageSetup paperSize="9" firstPageNumber="4294963191"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19-1和2</vt:lpstr>
      <vt:lpstr>19-3和4</vt:lpstr>
      <vt:lpstr>19-5和6</vt:lpstr>
      <vt:lpstr>'19-1和2'!Print_Area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gf</dc:creator>
  <cp:keywords/>
  <dc:description/>
  <cp:lastModifiedBy>亦哲君</cp:lastModifiedBy>
  <cp:revision/>
  <cp:lastPrinted>2017-07-03T00:38:29Z</cp:lastPrinted>
  <dcterms:created xsi:type="dcterms:W3CDTF">2012-06-06T01:30:27Z</dcterms:created>
  <dcterms:modified xsi:type="dcterms:W3CDTF">2025-03-30T13:11:52Z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2052-8.1.0.2424</vt:lpwstr>
  </property>
</Properties>
</file>