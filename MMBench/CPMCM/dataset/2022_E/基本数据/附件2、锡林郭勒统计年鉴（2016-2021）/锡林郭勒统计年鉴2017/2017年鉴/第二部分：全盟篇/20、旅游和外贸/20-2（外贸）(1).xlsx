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750"/>
  </bookViews>
  <sheets>
    <sheet name="20-2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/>
</calcChain>
</file>

<file path=xl/sharedStrings.xml><?xml version="1.0" encoding="utf-8"?>
<sst xmlns="http://schemas.openxmlformats.org/spreadsheetml/2006/main" count="8" uniqueCount="8">
  <si>
    <t>#区外</t>
  </si>
  <si>
    <t>进口总额</t>
  </si>
  <si>
    <t>出口总额</t>
  </si>
  <si>
    <t>利用外商直接投资  （万美元）</t>
  </si>
  <si>
    <r>
      <t>进出口总</t>
    </r>
    <r>
      <rPr>
        <sz val="9"/>
        <rFont val="宋体"/>
        <family val="3"/>
        <charset val="134"/>
      </rPr>
      <t>额（万美元）</t>
    </r>
  </si>
  <si>
    <t>年份</t>
  </si>
  <si>
    <t>20-2 对外经济贸易</t>
    <phoneticPr fontId="1" type="noConversion"/>
  </si>
  <si>
    <t>引进国内(盟外)到位资金（亿元）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</si>
</sst>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_ "/>
    <numFmt numFmtId="177" formatCode="0_ "/>
  </numFmts>
  <fonts count="4"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176" fontId="2" fillId="0" borderId="0" xfId="0" applyNumberFormat="1" applyFont="1" applyFill="1"/>
    <xf numFmtId="176" fontId="0" fillId="0" borderId="0" xfId="0" applyNumberFormat="1" applyFill="1"/>
    <xf numFmtId="0" fontId="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Fill="1" applyBorder="1"/>
    <xf numFmtId="176" fontId="2" fillId="0" borderId="1" xfId="0" applyNumberFormat="1" applyFont="1" applyFill="1" applyBorder="1"/>
    <xf numFmtId="176" fontId="0" fillId="0" borderId="1" xfId="0" applyNumberFormat="1" applyFill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vertical="center" wrapText="1"/>
    </xf>
    <xf numFmtId="0" fontId="0" fillId="0" borderId="0" xfId="0" applyFill="1" applyBorder="1"/>
    <xf numFmtId="176" fontId="2" fillId="0" borderId="3" xfId="0" applyNumberFormat="1" applyFont="1" applyFill="1" applyBorder="1"/>
    <xf numFmtId="0" fontId="1" fillId="0" borderId="3" xfId="0" applyFont="1" applyFill="1" applyBorder="1" applyAlignment="1">
      <alignment vertical="center" wrapText="1"/>
    </xf>
    <xf numFmtId="176" fontId="2" fillId="0" borderId="4" xfId="0" applyNumberFormat="1" applyFont="1" applyFill="1" applyBorder="1"/>
    <xf numFmtId="0" fontId="2" fillId="0" borderId="0" xfId="0" applyFont="1" applyFill="1"/>
    <xf numFmtId="0" fontId="0" fillId="0" borderId="0" xfId="0" applyFill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7" fontId="1" fillId="0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zoomScaleSheetLayoutView="100" workbookViewId="0">
      <selection activeCell="I27" sqref="I27"/>
    </sheetView>
  </sheetViews>
  <sheetFormatPr defaultColWidth="8.75" defaultRowHeight="14.25"/>
  <cols>
    <col min="1" max="1" width="8.75" style="1"/>
    <col min="2" max="2" width="10" style="1" customWidth="1"/>
    <col min="3" max="4" width="7" style="1" customWidth="1"/>
    <col min="5" max="5" width="11.25" style="3" customWidth="1"/>
    <col min="6" max="6" width="6.5" style="2" customWidth="1"/>
    <col min="7" max="7" width="8.375" style="1" customWidth="1"/>
    <col min="8" max="8" width="8.75" style="1"/>
  </cols>
  <sheetData>
    <row r="1" spans="1:8" ht="33" customHeight="1">
      <c r="A1" s="19" t="s">
        <v>6</v>
      </c>
      <c r="B1" s="19"/>
      <c r="C1" s="19"/>
      <c r="D1" s="19"/>
      <c r="E1" s="19"/>
      <c r="F1" s="19"/>
      <c r="G1" s="19"/>
    </row>
    <row r="2" spans="1:8">
      <c r="A2" s="18"/>
    </row>
    <row r="3" spans="1:8" ht="22.5" customHeight="1">
      <c r="A3" s="20" t="s">
        <v>5</v>
      </c>
      <c r="B3" s="20" t="s">
        <v>4</v>
      </c>
      <c r="C3" s="20"/>
      <c r="D3" s="20"/>
      <c r="E3" s="21" t="s">
        <v>7</v>
      </c>
      <c r="F3" s="17"/>
      <c r="G3" s="23" t="s">
        <v>3</v>
      </c>
      <c r="H3" s="14"/>
    </row>
    <row r="4" spans="1:8" ht="19.5" customHeight="1">
      <c r="A4" s="20"/>
      <c r="B4" s="20"/>
      <c r="C4" s="16" t="s">
        <v>2</v>
      </c>
      <c r="D4" s="16" t="s">
        <v>1</v>
      </c>
      <c r="E4" s="22"/>
      <c r="F4" s="15" t="s">
        <v>0</v>
      </c>
      <c r="G4" s="23"/>
      <c r="H4" s="14"/>
    </row>
    <row r="5" spans="1:8">
      <c r="A5" s="12">
        <v>1991</v>
      </c>
      <c r="B5" s="4">
        <v>142</v>
      </c>
      <c r="C5" s="4">
        <v>60</v>
      </c>
      <c r="D5" s="4">
        <v>82</v>
      </c>
    </row>
    <row r="6" spans="1:8">
      <c r="A6" s="12">
        <v>1992</v>
      </c>
      <c r="B6" s="4">
        <v>802</v>
      </c>
      <c r="C6" s="4">
        <v>311</v>
      </c>
      <c r="D6" s="4">
        <v>491</v>
      </c>
    </row>
    <row r="7" spans="1:8">
      <c r="A7" s="12">
        <v>1993</v>
      </c>
      <c r="B7" s="4">
        <v>952</v>
      </c>
      <c r="C7" s="4">
        <v>393</v>
      </c>
      <c r="D7" s="4">
        <v>559</v>
      </c>
    </row>
    <row r="8" spans="1:8">
      <c r="A8" s="12">
        <v>1994</v>
      </c>
      <c r="B8" s="4">
        <v>1766</v>
      </c>
      <c r="C8" s="4">
        <v>1023</v>
      </c>
      <c r="D8" s="4">
        <v>743</v>
      </c>
    </row>
    <row r="9" spans="1:8">
      <c r="A9" s="12">
        <v>1995</v>
      </c>
      <c r="B9" s="4">
        <v>2345</v>
      </c>
      <c r="C9" s="4">
        <v>1394</v>
      </c>
      <c r="D9" s="4">
        <v>951</v>
      </c>
    </row>
    <row r="10" spans="1:8">
      <c r="A10" s="12">
        <v>1996</v>
      </c>
      <c r="B10" s="4">
        <v>2163</v>
      </c>
      <c r="C10" s="4">
        <v>858</v>
      </c>
      <c r="D10" s="4">
        <v>1305</v>
      </c>
    </row>
    <row r="11" spans="1:8">
      <c r="A11" s="12">
        <v>1997</v>
      </c>
      <c r="B11" s="4">
        <v>3513</v>
      </c>
      <c r="C11" s="4">
        <v>1325</v>
      </c>
      <c r="D11" s="4">
        <v>2188</v>
      </c>
    </row>
    <row r="12" spans="1:8">
      <c r="A12" s="12">
        <v>1998</v>
      </c>
      <c r="B12" s="4">
        <v>4365</v>
      </c>
      <c r="C12" s="4">
        <v>1930</v>
      </c>
      <c r="D12" s="4">
        <v>2435</v>
      </c>
    </row>
    <row r="13" spans="1:8">
      <c r="A13" s="12">
        <v>1999</v>
      </c>
      <c r="B13" s="4">
        <v>25319</v>
      </c>
      <c r="C13" s="4">
        <v>12669</v>
      </c>
      <c r="D13" s="4">
        <v>12650</v>
      </c>
    </row>
    <row r="14" spans="1:8">
      <c r="A14" s="12">
        <v>2000</v>
      </c>
      <c r="B14" s="4">
        <v>36658</v>
      </c>
      <c r="C14" s="4">
        <v>13869</v>
      </c>
      <c r="D14" s="4">
        <v>22789</v>
      </c>
    </row>
    <row r="15" spans="1:8">
      <c r="A15" s="12">
        <v>2001</v>
      </c>
      <c r="B15" s="4">
        <v>34601</v>
      </c>
      <c r="C15" s="4">
        <v>11796</v>
      </c>
      <c r="D15" s="4">
        <v>22805</v>
      </c>
    </row>
    <row r="16" spans="1:8">
      <c r="A16" s="12">
        <v>2002</v>
      </c>
      <c r="B16" s="4">
        <v>35758</v>
      </c>
      <c r="C16" s="4">
        <v>12984</v>
      </c>
      <c r="D16" s="4">
        <v>22774</v>
      </c>
      <c r="E16" s="3">
        <v>8.1</v>
      </c>
      <c r="F16" s="2">
        <v>5.5</v>
      </c>
    </row>
    <row r="17" spans="1:7" s="1" customFormat="1">
      <c r="A17" s="12">
        <v>2003</v>
      </c>
      <c r="B17" s="4">
        <v>31694</v>
      </c>
      <c r="C17" s="4">
        <v>3723</v>
      </c>
      <c r="D17" s="4">
        <v>27971</v>
      </c>
      <c r="E17" s="3">
        <v>17.5</v>
      </c>
      <c r="F17" s="2">
        <v>9.1</v>
      </c>
      <c r="G17" s="4">
        <v>1021</v>
      </c>
    </row>
    <row r="18" spans="1:7" s="1" customFormat="1">
      <c r="A18" s="12">
        <v>2004</v>
      </c>
      <c r="B18" s="4">
        <v>44321</v>
      </c>
      <c r="C18" s="4">
        <v>5937</v>
      </c>
      <c r="D18" s="4">
        <v>38384</v>
      </c>
      <c r="E18" s="13">
        <v>67</v>
      </c>
      <c r="F18" s="2">
        <v>35.4</v>
      </c>
      <c r="G18" s="4">
        <v>1006</v>
      </c>
    </row>
    <row r="19" spans="1:7" s="1" customFormat="1">
      <c r="A19" s="12">
        <v>2005</v>
      </c>
      <c r="B19" s="4">
        <v>58447</v>
      </c>
      <c r="C19" s="4">
        <v>6806</v>
      </c>
      <c r="D19" s="4">
        <v>51641</v>
      </c>
      <c r="E19" s="13">
        <v>138.5</v>
      </c>
      <c r="F19" s="2">
        <v>74.8</v>
      </c>
      <c r="G19" s="4">
        <v>1591</v>
      </c>
    </row>
    <row r="20" spans="1:7" s="1" customFormat="1">
      <c r="A20" s="12">
        <v>2006</v>
      </c>
      <c r="B20" s="4">
        <v>77157</v>
      </c>
      <c r="C20" s="4">
        <v>9218</v>
      </c>
      <c r="D20" s="4">
        <v>67939</v>
      </c>
      <c r="E20" s="3">
        <v>208.6</v>
      </c>
      <c r="F20" s="2">
        <v>102.3</v>
      </c>
      <c r="G20" s="4">
        <v>1002</v>
      </c>
    </row>
    <row r="21" spans="1:7" s="1" customFormat="1">
      <c r="A21" s="5">
        <v>2007</v>
      </c>
      <c r="B21" s="11">
        <v>88475</v>
      </c>
      <c r="C21" s="11">
        <v>13590</v>
      </c>
      <c r="D21" s="11">
        <v>74885</v>
      </c>
      <c r="E21" s="3">
        <v>267.5</v>
      </c>
      <c r="F21" s="2">
        <v>167.3</v>
      </c>
      <c r="G21" s="4">
        <v>4756</v>
      </c>
    </row>
    <row r="22" spans="1:7" s="1" customFormat="1">
      <c r="A22" s="5">
        <v>2008</v>
      </c>
      <c r="B22" s="9">
        <v>92467</v>
      </c>
      <c r="C22" s="9">
        <v>19539</v>
      </c>
      <c r="D22" s="9">
        <v>72928</v>
      </c>
      <c r="E22" s="3">
        <v>315.60000000000002</v>
      </c>
      <c r="F22" s="2">
        <v>220.2</v>
      </c>
      <c r="G22" s="4">
        <v>4531</v>
      </c>
    </row>
    <row r="23" spans="1:7" s="1" customFormat="1">
      <c r="A23" s="5">
        <v>2009</v>
      </c>
      <c r="B23" s="11">
        <v>94510</v>
      </c>
      <c r="C23" s="11">
        <v>49867</v>
      </c>
      <c r="D23" s="11">
        <v>44643</v>
      </c>
      <c r="E23" s="3">
        <v>374.6</v>
      </c>
      <c r="F23" s="2">
        <v>262.5</v>
      </c>
      <c r="G23" s="4">
        <v>5429</v>
      </c>
    </row>
    <row r="24" spans="1:7" s="1" customFormat="1">
      <c r="A24" s="5">
        <v>2010</v>
      </c>
      <c r="B24" s="11">
        <v>94214</v>
      </c>
      <c r="C24" s="11">
        <v>36640</v>
      </c>
      <c r="D24" s="1">
        <f>B24-C24</f>
        <v>57574</v>
      </c>
      <c r="E24" s="3">
        <v>455.8</v>
      </c>
      <c r="F24" s="2">
        <v>241.4</v>
      </c>
      <c r="G24" s="4">
        <v>7648</v>
      </c>
    </row>
    <row r="25" spans="1:7" s="1" customFormat="1">
      <c r="A25" s="5">
        <v>2011</v>
      </c>
      <c r="B25" s="11">
        <v>163361</v>
      </c>
      <c r="C25" s="11">
        <v>65718</v>
      </c>
      <c r="D25" s="11">
        <v>97643</v>
      </c>
      <c r="E25" s="3">
        <v>480.2</v>
      </c>
      <c r="F25" s="2">
        <v>117.3</v>
      </c>
      <c r="G25" s="4">
        <v>2502</v>
      </c>
    </row>
    <row r="26" spans="1:7" s="1" customFormat="1">
      <c r="A26" s="5">
        <v>2012</v>
      </c>
      <c r="B26" s="11">
        <v>197485</v>
      </c>
      <c r="C26" s="11">
        <v>91129</v>
      </c>
      <c r="D26" s="11">
        <v>106357</v>
      </c>
      <c r="E26" s="3">
        <v>450.7</v>
      </c>
      <c r="F26" s="2">
        <v>119.7</v>
      </c>
      <c r="G26" s="4">
        <v>43</v>
      </c>
    </row>
    <row r="27" spans="1:7" s="1" customFormat="1">
      <c r="A27" s="10">
        <v>2013</v>
      </c>
      <c r="B27" s="9">
        <v>182076</v>
      </c>
      <c r="C27" s="9">
        <v>84727</v>
      </c>
      <c r="D27" s="9">
        <v>97349</v>
      </c>
      <c r="E27" s="8">
        <v>524.5</v>
      </c>
      <c r="F27" s="7">
        <v>160.19999999999999</v>
      </c>
      <c r="G27" s="6"/>
    </row>
    <row r="28" spans="1:7" s="1" customFormat="1">
      <c r="A28" s="5">
        <v>2014</v>
      </c>
      <c r="B28" s="11">
        <v>159600</v>
      </c>
      <c r="C28" s="11">
        <v>69800</v>
      </c>
      <c r="D28" s="11">
        <v>89800</v>
      </c>
      <c r="E28" s="3">
        <v>516</v>
      </c>
      <c r="F28" s="2">
        <v>138</v>
      </c>
      <c r="G28" s="4">
        <v>2200</v>
      </c>
    </row>
    <row r="29" spans="1:7">
      <c r="A29" s="5">
        <v>2015</v>
      </c>
      <c r="B29" s="11">
        <v>115100</v>
      </c>
      <c r="C29" s="11">
        <v>54500</v>
      </c>
      <c r="D29" s="11">
        <v>60600</v>
      </c>
      <c r="E29" s="3">
        <v>526.01</v>
      </c>
      <c r="F29" s="2">
        <v>71.73</v>
      </c>
      <c r="G29" s="4">
        <v>1488</v>
      </c>
    </row>
    <row r="30" spans="1:7">
      <c r="A30" s="5">
        <v>2016</v>
      </c>
      <c r="B30" s="11">
        <v>88100</v>
      </c>
      <c r="C30" s="11">
        <v>27500</v>
      </c>
      <c r="D30" s="11">
        <v>60600</v>
      </c>
      <c r="E30" s="3">
        <v>467</v>
      </c>
      <c r="F30" s="2">
        <v>112</v>
      </c>
      <c r="G30" s="24">
        <v>23887.57</v>
      </c>
    </row>
  </sheetData>
  <mergeCells count="6">
    <mergeCell ref="A1:G1"/>
    <mergeCell ref="A3:A4"/>
    <mergeCell ref="B3:B4"/>
    <mergeCell ref="C3:D3"/>
    <mergeCell ref="E3:E4"/>
    <mergeCell ref="G3:G4"/>
  </mergeCells>
  <phoneticPr fontId="1" type="noConversion"/>
  <pageMargins left="0.75" right="0.75" top="1" bottom="1" header="0.51111111111111107" footer="0.51111111111111107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admin</cp:lastModifiedBy>
  <cp:lastPrinted>2016-07-28T01:45:26Z</cp:lastPrinted>
  <dcterms:created xsi:type="dcterms:W3CDTF">2016-06-23T02:34:16Z</dcterms:created>
  <dcterms:modified xsi:type="dcterms:W3CDTF">2017-07-13T03:09:36Z</dcterms:modified>
</cp:coreProperties>
</file>