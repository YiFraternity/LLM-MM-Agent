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6、农业\"/>
    </mc:Choice>
  </mc:AlternateContent>
  <xr:revisionPtr revIDLastSave="0" documentId="8_{A5593D50-072B-45C9-9E6A-0AB6EE3845E7}" xr6:coauthVersionLast="36" xr6:coauthVersionMax="36" xr10:uidLastSave="{00000000-0000-0000-0000-000000000000}"/>
  <bookViews>
    <workbookView xWindow="32769" yWindow="32769" windowWidth="19114" windowHeight="7654" tabRatio="782"/>
  </bookViews>
  <sheets>
    <sheet name="6-1" sheetId="2" r:id="rId1"/>
    <sheet name="6-2" sheetId="3" r:id="rId2"/>
    <sheet name="6-2续" sheetId="14" r:id="rId3"/>
    <sheet name="6-3" sheetId="4" r:id="rId4"/>
    <sheet name="6-4" sheetId="5" r:id="rId5"/>
    <sheet name="6-5" sheetId="7" r:id="rId6"/>
    <sheet name="6-6" sheetId="8" r:id="rId7"/>
    <sheet name="6-7" sheetId="9" r:id="rId8"/>
    <sheet name="6-8" sheetId="10" r:id="rId9"/>
    <sheet name="兼容性报表" sheetId="15" r:id="rId10"/>
  </sheets>
  <calcPr calcId="191029"/>
</workbook>
</file>

<file path=xl/calcChain.xml><?xml version="1.0" encoding="utf-8"?>
<calcChain xmlns="http://schemas.openxmlformats.org/spreadsheetml/2006/main">
  <c r="E6" i="8" l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3" i="8"/>
  <c r="E34" i="8"/>
  <c r="E35" i="8"/>
  <c r="E36" i="8"/>
  <c r="E37" i="8"/>
  <c r="E38" i="8"/>
  <c r="E39" i="8"/>
  <c r="E40" i="8"/>
  <c r="E5" i="8"/>
  <c r="C32" i="7"/>
  <c r="D25" i="7"/>
  <c r="B25" i="7"/>
  <c r="C31" i="7"/>
  <c r="C20" i="7"/>
  <c r="C21" i="7"/>
  <c r="C22" i="7"/>
  <c r="C23" i="7"/>
  <c r="C6" i="7"/>
  <c r="C7" i="7"/>
  <c r="C8" i="7"/>
  <c r="C10" i="7"/>
  <c r="C11" i="7"/>
  <c r="C12" i="7"/>
  <c r="C13" i="7"/>
  <c r="C9" i="7"/>
  <c r="C15" i="7"/>
  <c r="C16" i="7"/>
  <c r="C18" i="7"/>
  <c r="C19" i="7"/>
  <c r="C5" i="7"/>
  <c r="C25" i="7"/>
</calcChain>
</file>

<file path=xl/sharedStrings.xml><?xml version="1.0" encoding="utf-8"?>
<sst xmlns="http://schemas.openxmlformats.org/spreadsheetml/2006/main" count="425" uniqueCount="302">
  <si>
    <r>
      <t>6—1</t>
    </r>
    <r>
      <rPr>
        <sz val="16"/>
        <rFont val="宋体"/>
        <charset val="134"/>
      </rPr>
      <t>历年农林牧渔业总产值</t>
    </r>
  </si>
  <si>
    <r>
      <t xml:space="preserve">                                                   </t>
    </r>
    <r>
      <rPr>
        <sz val="9"/>
        <rFont val="宋体"/>
        <charset val="134"/>
      </rPr>
      <t>（按当年价格计算）</t>
    </r>
    <r>
      <rPr>
        <sz val="9"/>
        <rFont val="Times New Roman"/>
        <family val="1"/>
      </rPr>
      <t xml:space="preserve">                                                         </t>
    </r>
    <r>
      <rPr>
        <sz val="9"/>
        <rFont val="宋体"/>
        <charset val="134"/>
      </rPr>
      <t>单位：万元</t>
    </r>
  </si>
  <si>
    <t>农林牧渔业总产值</t>
  </si>
  <si>
    <r>
      <t>农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</si>
  <si>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>林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</si>
  <si>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>牧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</si>
  <si>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>渔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</si>
  <si>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>农、林、牧、渔</t>
    </r>
    <r>
      <rPr>
        <sz val="9"/>
        <rFont val="Times New Roman"/>
        <family val="1"/>
      </rPr>
      <t xml:space="preserve">                                                                                   </t>
    </r>
    <r>
      <rPr>
        <sz val="9"/>
        <rFont val="宋体"/>
        <charset val="134"/>
      </rPr>
      <t>服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务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</si>
  <si>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>6—2</t>
    </r>
    <r>
      <rPr>
        <sz val="16"/>
        <rFont val="宋体"/>
        <charset val="134"/>
      </rPr>
      <t>历年主要农畜产品产量</t>
    </r>
  </si>
  <si>
    <t>粮豆总产量（吨）</t>
  </si>
  <si>
    <r>
      <t>油料产量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</si>
  <si>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t>蔬菜产量</t>
    </r>
    <r>
      <rPr>
        <sz val="9"/>
        <rFont val="Times New Roman"/>
        <family val="1"/>
      </rPr>
      <t xml:space="preserve">                                                  </t>
    </r>
    <r>
      <rPr>
        <sz val="9"/>
        <rFont val="宋体"/>
        <charset val="134"/>
      </rPr>
      <t>（吨）</t>
    </r>
  </si>
  <si>
    <r>
      <t>#</t>
    </r>
    <r>
      <rPr>
        <sz val="9"/>
        <rFont val="宋体"/>
        <charset val="134"/>
      </rPr>
      <t>小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麦</t>
    </r>
  </si>
  <si>
    <r>
      <t>#</t>
    </r>
    <r>
      <rPr>
        <sz val="9"/>
        <rFont val="宋体"/>
        <charset val="134"/>
      </rPr>
      <t>莜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麦</t>
    </r>
  </si>
  <si>
    <r>
      <t>#</t>
    </r>
    <r>
      <rPr>
        <sz val="9"/>
        <rFont val="宋体"/>
        <charset val="134"/>
      </rPr>
      <t>薯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类</t>
    </r>
  </si>
  <si>
    <r>
      <t>6—2</t>
    </r>
    <r>
      <rPr>
        <sz val="9"/>
        <rFont val="宋体"/>
        <charset val="134"/>
      </rPr>
      <t>续表</t>
    </r>
  </si>
  <si>
    <t>肉类总产量（吨）</t>
  </si>
  <si>
    <r>
      <t>绵羊毛</t>
    </r>
    <r>
      <rPr>
        <sz val="9"/>
        <rFont val="Times New Roman"/>
        <family val="1"/>
      </rPr>
      <t xml:space="preserve">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</si>
  <si>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t>山羊绒</t>
    </r>
    <r>
      <rPr>
        <sz val="9"/>
        <rFont val="Times New Roman"/>
        <family val="1"/>
      </rPr>
      <t xml:space="preserve">                                                </t>
    </r>
    <r>
      <rPr>
        <sz val="9"/>
        <rFont val="宋体"/>
        <charset val="134"/>
      </rPr>
      <t>（吨）</t>
    </r>
  </si>
  <si>
    <r>
      <t>牛皮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（万张）</t>
    </r>
  </si>
  <si>
    <r>
      <t>绵羊皮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（万张）</t>
    </r>
  </si>
  <si>
    <t>奶类（吨）</t>
  </si>
  <si>
    <t>猪肉</t>
  </si>
  <si>
    <t>牛肉</t>
  </si>
  <si>
    <t>羊肉</t>
  </si>
  <si>
    <r>
      <t>6—3</t>
    </r>
    <r>
      <rPr>
        <sz val="16"/>
        <rFont val="宋体"/>
        <charset val="134"/>
      </rPr>
      <t>历年家畜头数</t>
    </r>
  </si>
  <si>
    <t>单位:万头(只)</t>
  </si>
  <si>
    <t>六月末家畜存栏数</t>
  </si>
  <si>
    <t>十二月末家畜存栏数</t>
  </si>
  <si>
    <r>
      <t>合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计</t>
    </r>
  </si>
  <si>
    <t>大牲畜</t>
  </si>
  <si>
    <t>羊</t>
  </si>
  <si>
    <r>
      <t>生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猪</t>
    </r>
  </si>
  <si>
    <t>759..01</t>
  </si>
  <si>
    <r>
      <t>6—4</t>
    </r>
    <r>
      <rPr>
        <sz val="16"/>
        <rFont val="宋体"/>
        <charset val="134"/>
      </rPr>
      <t>农村牧区基本情况及农业生产条件</t>
    </r>
  </si>
  <si>
    <t>单位</t>
  </si>
  <si>
    <t>合计</t>
  </si>
  <si>
    <r>
      <t>农村</t>
    </r>
    <r>
      <rPr>
        <sz val="9"/>
        <rFont val="Times New Roman"/>
        <family val="1"/>
      </rPr>
      <t xml:space="preserve"> </t>
    </r>
  </si>
  <si>
    <t>牧区</t>
  </si>
  <si>
    <t>一、农村基层组织情况</t>
  </si>
  <si>
    <r>
      <t xml:space="preserve">        </t>
    </r>
    <r>
      <rPr>
        <sz val="9"/>
        <rFont val="宋体"/>
        <charset val="134"/>
      </rPr>
      <t>乡镇个数</t>
    </r>
  </si>
  <si>
    <t>个</t>
  </si>
  <si>
    <r>
      <t xml:space="preserve">             # </t>
    </r>
    <r>
      <rPr>
        <sz val="9"/>
        <rFont val="宋体"/>
        <charset val="134"/>
      </rPr>
      <t>镇个数</t>
    </r>
  </si>
  <si>
    <r>
      <t xml:space="preserve">                </t>
    </r>
    <r>
      <rPr>
        <sz val="9"/>
        <rFont val="宋体"/>
        <charset val="134"/>
      </rPr>
      <t>村委会个数</t>
    </r>
  </si>
  <si>
    <t>二、农村社会基础设施</t>
  </si>
  <si>
    <r>
      <t xml:space="preserve">        </t>
    </r>
    <r>
      <rPr>
        <sz val="9"/>
        <rFont val="宋体"/>
        <charset val="134"/>
      </rPr>
      <t>自来水受益村数</t>
    </r>
  </si>
  <si>
    <t>三、农村人口、劳动力资源及主要行业分布</t>
  </si>
  <si>
    <r>
      <t xml:space="preserve">        </t>
    </r>
    <r>
      <rPr>
        <sz val="9"/>
        <rFont val="宋体"/>
        <charset val="134"/>
      </rPr>
      <t>乡村户数</t>
    </r>
  </si>
  <si>
    <t>户</t>
  </si>
  <si>
    <r>
      <t xml:space="preserve">        </t>
    </r>
    <r>
      <rPr>
        <sz val="9"/>
        <rFont val="宋体"/>
        <charset val="134"/>
      </rPr>
      <t>乡村人口数</t>
    </r>
  </si>
  <si>
    <t>人</t>
  </si>
  <si>
    <r>
      <t xml:space="preserve">        </t>
    </r>
    <r>
      <rPr>
        <sz val="9"/>
        <rFont val="宋体"/>
        <charset val="134"/>
      </rPr>
      <t>乡村劳动力资源数</t>
    </r>
  </si>
  <si>
    <r>
      <t xml:space="preserve">            #  </t>
    </r>
    <r>
      <rPr>
        <sz val="9"/>
        <rFont val="宋体"/>
        <charset val="134"/>
      </rPr>
      <t>劳动年龄内</t>
    </r>
  </si>
  <si>
    <t>男劳动力</t>
  </si>
  <si>
    <t>女劳动力</t>
  </si>
  <si>
    <r>
      <t xml:space="preserve">        </t>
    </r>
    <r>
      <rPr>
        <sz val="9"/>
        <rFont val="宋体"/>
        <charset val="134"/>
      </rPr>
      <t>乡村从业人员数</t>
    </r>
  </si>
  <si>
    <r>
      <t xml:space="preserve">             #  </t>
    </r>
    <r>
      <rPr>
        <sz val="9"/>
        <rFont val="宋体"/>
        <charset val="134"/>
      </rPr>
      <t>劳动年龄内</t>
    </r>
  </si>
  <si>
    <r>
      <t xml:space="preserve">                </t>
    </r>
    <r>
      <rPr>
        <sz val="9"/>
        <rFont val="宋体"/>
        <charset val="134"/>
      </rPr>
      <t>男从业人员</t>
    </r>
  </si>
  <si>
    <r>
      <t xml:space="preserve">                </t>
    </r>
    <r>
      <rPr>
        <sz val="9"/>
        <rFont val="宋体"/>
        <charset val="134"/>
      </rPr>
      <t>女从业人员</t>
    </r>
  </si>
  <si>
    <r>
      <t xml:space="preserve">        </t>
    </r>
    <r>
      <rPr>
        <sz val="9"/>
        <rFont val="宋体"/>
        <charset val="134"/>
      </rPr>
      <t>农林牧渔业从业人员</t>
    </r>
  </si>
  <si>
    <r>
      <t xml:space="preserve">                 </t>
    </r>
    <r>
      <rPr>
        <sz val="9"/>
        <rFont val="宋体"/>
        <charset val="134"/>
      </rPr>
      <t>牧业从业人员</t>
    </r>
  </si>
  <si>
    <r>
      <t xml:space="preserve">         </t>
    </r>
    <r>
      <rPr>
        <sz val="9"/>
        <rFont val="宋体"/>
        <charset val="134"/>
      </rPr>
      <t>工业从业人员</t>
    </r>
  </si>
  <si>
    <r>
      <t xml:space="preserve">         </t>
    </r>
    <r>
      <rPr>
        <sz val="9"/>
        <rFont val="宋体"/>
        <charset val="134"/>
      </rPr>
      <t>建筑从业人员</t>
    </r>
  </si>
  <si>
    <t xml:space="preserve">    交通运输仓储业和邮政业</t>
  </si>
  <si>
    <t xml:space="preserve">    信息传输计算机服务和软件</t>
  </si>
  <si>
    <t xml:space="preserve">    批发与零售业</t>
  </si>
  <si>
    <t xml:space="preserve">    住宿和餐饮业</t>
  </si>
  <si>
    <r>
      <t xml:space="preserve">        </t>
    </r>
    <r>
      <rPr>
        <sz val="9"/>
        <rFont val="宋体"/>
        <charset val="134"/>
      </rPr>
      <t>其他行业</t>
    </r>
    <r>
      <rPr>
        <sz val="9"/>
        <rFont val="Times New Roman"/>
        <family val="1"/>
      </rPr>
      <t xml:space="preserve"> </t>
    </r>
  </si>
  <si>
    <r>
      <t>6—5</t>
    </r>
    <r>
      <rPr>
        <sz val="16"/>
        <rFont val="宋体"/>
        <charset val="134"/>
      </rPr>
      <t>农作物播种面积及产量</t>
    </r>
  </si>
  <si>
    <r>
      <t>面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                                                                                                 </t>
    </r>
    <r>
      <rPr>
        <sz val="9"/>
        <rFont val="宋体"/>
        <charset val="134"/>
      </rPr>
      <t>（公顷）</t>
    </r>
  </si>
  <si>
    <r>
      <t>单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产</t>
    </r>
    <r>
      <rPr>
        <sz val="9"/>
        <rFont val="Times New Roman"/>
        <family val="1"/>
      </rPr>
      <t xml:space="preserve">                                                                                                                   </t>
    </r>
    <r>
      <rPr>
        <sz val="9"/>
        <rFont val="宋体"/>
        <charset val="134"/>
      </rPr>
      <t>（公斤</t>
    </r>
    <r>
      <rPr>
        <sz val="9"/>
        <rFont val="Times New Roman"/>
        <family val="1"/>
      </rPr>
      <t>/</t>
    </r>
    <r>
      <rPr>
        <sz val="9"/>
        <rFont val="宋体"/>
        <charset val="134"/>
      </rPr>
      <t>公顷）</t>
    </r>
  </si>
  <si>
    <r>
      <t>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量</t>
    </r>
    <r>
      <rPr>
        <sz val="9"/>
        <rFont val="Times New Roman"/>
        <family val="1"/>
      </rPr>
      <t xml:space="preserve">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</si>
  <si>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t>农作物总播种面积</t>
  </si>
  <si>
    <t>一、粮食作物合计</t>
  </si>
  <si>
    <r>
      <t xml:space="preserve">        </t>
    </r>
    <r>
      <rPr>
        <sz val="9"/>
        <rFont val="宋体"/>
        <charset val="134"/>
      </rPr>
      <t>（一）谷物</t>
    </r>
  </si>
  <si>
    <r>
      <t xml:space="preserve">                    #1.</t>
    </r>
    <r>
      <rPr>
        <sz val="9"/>
        <rFont val="宋体"/>
        <charset val="134"/>
      </rPr>
      <t>小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麦</t>
    </r>
  </si>
  <si>
    <r>
      <t xml:space="preserve">                      2.</t>
    </r>
    <r>
      <rPr>
        <sz val="9"/>
        <rFont val="宋体"/>
        <charset val="134"/>
      </rPr>
      <t>玉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米</t>
    </r>
  </si>
  <si>
    <r>
      <t xml:space="preserve">                    </t>
    </r>
    <r>
      <rPr>
        <sz val="9"/>
        <rFont val="宋体"/>
        <charset val="134"/>
      </rPr>
      <t>大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豆</t>
    </r>
  </si>
  <si>
    <r>
      <t xml:space="preserve">                    </t>
    </r>
    <r>
      <rPr>
        <sz val="9"/>
        <rFont val="宋体"/>
        <charset val="134"/>
      </rPr>
      <t>杂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豆</t>
    </r>
  </si>
  <si>
    <r>
      <t xml:space="preserve">                    </t>
    </r>
    <r>
      <rPr>
        <sz val="9"/>
        <rFont val="宋体"/>
        <charset val="134"/>
      </rPr>
      <t>马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铃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薯</t>
    </r>
  </si>
  <si>
    <t>二、油料合计</t>
  </si>
  <si>
    <r>
      <t xml:space="preserve">        </t>
    </r>
    <r>
      <rPr>
        <sz val="9"/>
        <rFont val="宋体"/>
        <charset val="134"/>
      </rPr>
      <t>胡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麻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籽</t>
    </r>
  </si>
  <si>
    <r>
      <t xml:space="preserve">        </t>
    </r>
    <r>
      <rPr>
        <sz val="9"/>
        <rFont val="宋体"/>
        <charset val="134"/>
      </rPr>
      <t>油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菜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籽</t>
    </r>
  </si>
  <si>
    <t>三、甜菜合计</t>
  </si>
  <si>
    <r>
      <t>四、药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材</t>
    </r>
  </si>
  <si>
    <t>五、蔬菜瓜类合计</t>
  </si>
  <si>
    <r>
      <t xml:space="preserve">        1.</t>
    </r>
    <r>
      <rPr>
        <sz val="9"/>
        <rFont val="宋体"/>
        <charset val="134"/>
      </rPr>
      <t>蔬菜（含菜用瓜）</t>
    </r>
  </si>
  <si>
    <r>
      <t xml:space="preserve">        2.</t>
    </r>
    <r>
      <rPr>
        <sz val="9"/>
        <rFont val="宋体"/>
        <charset val="134"/>
      </rPr>
      <t>瓜类（果用瓜）</t>
    </r>
  </si>
  <si>
    <r>
      <t xml:space="preserve">            #</t>
    </r>
    <r>
      <rPr>
        <sz val="9"/>
        <rFont val="宋体"/>
        <charset val="134"/>
      </rPr>
      <t>西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瓜</t>
    </r>
  </si>
  <si>
    <r>
      <t xml:space="preserve">              </t>
    </r>
    <r>
      <rPr>
        <sz val="9"/>
        <rFont val="宋体"/>
        <charset val="134"/>
      </rPr>
      <t>甜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瓜</t>
    </r>
  </si>
  <si>
    <t>六、其他农作物</t>
  </si>
  <si>
    <r>
      <t xml:space="preserve">6—6    </t>
    </r>
    <r>
      <rPr>
        <sz val="16"/>
        <rFont val="宋体"/>
        <charset val="134"/>
      </rPr>
      <t>畜禽产品产量</t>
    </r>
  </si>
  <si>
    <r>
      <t>1.</t>
    </r>
    <r>
      <rPr>
        <sz val="9"/>
        <rFont val="宋体"/>
        <charset val="134"/>
      </rPr>
      <t>当年肉类总产量</t>
    </r>
  </si>
  <si>
    <t>吨</t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</si>
  <si>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）猪肉产量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</si>
  <si>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）牛肉产量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</si>
  <si>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）羊肉产量</t>
    </r>
  </si>
  <si>
    <r>
      <t xml:space="preserve">              #</t>
    </r>
    <r>
      <rPr>
        <sz val="9"/>
        <rFont val="宋体"/>
        <charset val="134"/>
      </rPr>
      <t>山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羊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</si>
  <si>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4</t>
    </r>
    <r>
      <rPr>
        <sz val="9"/>
        <rFont val="宋体"/>
        <charset val="134"/>
      </rPr>
      <t>）驴肉产量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</si>
  <si>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5</t>
    </r>
    <r>
      <rPr>
        <sz val="9"/>
        <rFont val="宋体"/>
        <charset val="134"/>
      </rPr>
      <t>）骡肉产量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</si>
  <si>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6</t>
    </r>
    <r>
      <rPr>
        <sz val="9"/>
        <rFont val="宋体"/>
        <charset val="134"/>
      </rPr>
      <t>）马肉产量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</si>
  <si>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7</t>
    </r>
    <r>
      <rPr>
        <sz val="9"/>
        <rFont val="宋体"/>
        <charset val="134"/>
      </rPr>
      <t>）骆驼肉产量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</si>
  <si>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8</t>
    </r>
    <r>
      <rPr>
        <sz val="9"/>
        <rFont val="宋体"/>
        <charset val="134"/>
      </rPr>
      <t>）禽肉产量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</si>
  <si>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9</t>
    </r>
    <r>
      <rPr>
        <sz val="9"/>
        <rFont val="宋体"/>
        <charset val="134"/>
      </rPr>
      <t>）兔肉产量</t>
    </r>
  </si>
  <si>
    <r>
      <t>2.</t>
    </r>
    <r>
      <rPr>
        <sz val="9"/>
        <rFont val="宋体"/>
        <charset val="134"/>
      </rPr>
      <t>奶类产品</t>
    </r>
  </si>
  <si>
    <r>
      <t xml:space="preserve">      #</t>
    </r>
    <r>
      <rPr>
        <sz val="9"/>
        <rFont val="宋体"/>
        <charset val="134"/>
      </rPr>
      <t>牛奶产量</t>
    </r>
  </si>
  <si>
    <r>
      <t>3.</t>
    </r>
    <r>
      <rPr>
        <sz val="9"/>
        <rFont val="宋体"/>
        <charset val="134"/>
      </rPr>
      <t>山羊毛产量</t>
    </r>
  </si>
  <si>
    <r>
      <t xml:space="preserve">   </t>
    </r>
    <r>
      <rPr>
        <sz val="9"/>
        <rFont val="宋体"/>
        <charset val="134"/>
      </rPr>
      <t>绵羊毛产量</t>
    </r>
  </si>
  <si>
    <r>
      <t xml:space="preserve">       #·</t>
    </r>
    <r>
      <rPr>
        <sz val="9"/>
        <rFont val="宋体"/>
        <charset val="134"/>
      </rPr>
      <t>细羊毛</t>
    </r>
  </si>
  <si>
    <r>
      <t xml:space="preserve">          </t>
    </r>
    <r>
      <rPr>
        <sz val="9"/>
        <rFont val="宋体"/>
        <charset val="134"/>
      </rPr>
      <t>半细羊毛</t>
    </r>
  </si>
  <si>
    <r>
      <t>4.</t>
    </r>
    <r>
      <rPr>
        <sz val="9"/>
        <rFont val="宋体"/>
        <charset val="134"/>
      </rPr>
      <t>山羊绒产量</t>
    </r>
  </si>
  <si>
    <r>
      <t>5.</t>
    </r>
    <r>
      <rPr>
        <sz val="9"/>
        <rFont val="宋体"/>
        <charset val="134"/>
      </rPr>
      <t>禽蛋产量</t>
    </r>
  </si>
  <si>
    <r>
      <t>6.</t>
    </r>
    <r>
      <rPr>
        <sz val="9"/>
        <rFont val="宋体"/>
        <charset val="134"/>
      </rPr>
      <t>年末实有家禽</t>
    </r>
  </si>
  <si>
    <t>万只</t>
  </si>
  <si>
    <r>
      <t xml:space="preserve">      #</t>
    </r>
    <r>
      <rPr>
        <sz val="9"/>
        <rFont val="宋体"/>
        <charset val="134"/>
      </rPr>
      <t>鸭</t>
    </r>
  </si>
  <si>
    <r>
      <t xml:space="preserve">        </t>
    </r>
    <r>
      <rPr>
        <sz val="9"/>
        <rFont val="宋体"/>
        <charset val="134"/>
      </rPr>
      <t>鹅</t>
    </r>
  </si>
  <si>
    <r>
      <t>7.</t>
    </r>
    <r>
      <rPr>
        <sz val="9"/>
        <color indexed="63"/>
        <rFont val="宋体"/>
        <charset val="134"/>
      </rPr>
      <t>家</t>
    </r>
    <r>
      <rPr>
        <sz val="9"/>
        <color indexed="63"/>
        <rFont val="Times New Roman"/>
        <family val="1"/>
      </rPr>
      <t xml:space="preserve">    </t>
    </r>
    <r>
      <rPr>
        <sz val="9"/>
        <color indexed="63"/>
        <rFont val="宋体"/>
        <charset val="134"/>
      </rPr>
      <t>兔</t>
    </r>
  </si>
  <si>
    <r>
      <t>8.</t>
    </r>
    <r>
      <rPr>
        <sz val="9"/>
        <rFont val="宋体"/>
        <charset val="134"/>
      </rPr>
      <t>年内牛皮产量</t>
    </r>
  </si>
  <si>
    <t>张</t>
  </si>
  <si>
    <r>
      <t>9.</t>
    </r>
    <r>
      <rPr>
        <sz val="9"/>
        <rFont val="宋体"/>
        <charset val="134"/>
      </rPr>
      <t>绵羊皮产量</t>
    </r>
  </si>
  <si>
    <r>
      <t xml:space="preserve">    </t>
    </r>
    <r>
      <rPr>
        <sz val="9"/>
        <rFont val="宋体"/>
        <charset val="134"/>
      </rPr>
      <t>山羊皮产量</t>
    </r>
  </si>
  <si>
    <r>
      <t>10.</t>
    </r>
    <r>
      <rPr>
        <sz val="9"/>
        <rFont val="宋体"/>
        <charset val="134"/>
      </rPr>
      <t>驼绒产量</t>
    </r>
  </si>
  <si>
    <r>
      <t>11.</t>
    </r>
    <r>
      <rPr>
        <sz val="9"/>
        <rFont val="宋体"/>
        <charset val="134"/>
      </rPr>
      <t>畜禽产品出售量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</si>
  <si>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）出售肉类总量</t>
    </r>
  </si>
  <si>
    <r>
      <t xml:space="preserve">              #</t>
    </r>
    <r>
      <rPr>
        <sz val="9"/>
        <rFont val="宋体"/>
        <charset val="134"/>
      </rPr>
      <t>出售猪肉</t>
    </r>
  </si>
  <si>
    <r>
      <t xml:space="preserve">                </t>
    </r>
    <r>
      <rPr>
        <sz val="9"/>
        <rFont val="宋体"/>
        <charset val="134"/>
      </rPr>
      <t>出售牛肉</t>
    </r>
  </si>
  <si>
    <r>
      <t xml:space="preserve">                </t>
    </r>
    <r>
      <rPr>
        <sz val="9"/>
        <rFont val="宋体"/>
        <charset val="134"/>
      </rPr>
      <t>出售羊肉</t>
    </r>
  </si>
  <si>
    <r>
      <t xml:space="preserve">                </t>
    </r>
    <r>
      <rPr>
        <sz val="9"/>
        <rFont val="宋体"/>
        <charset val="134"/>
      </rPr>
      <t>出售禽肉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</si>
  <si>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）出售牛羊奶数量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</si>
  <si>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）出售羊毛数量</t>
    </r>
  </si>
  <si>
    <r>
      <t xml:space="preserve">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4</t>
    </r>
    <r>
      <rPr>
        <sz val="9"/>
        <rFont val="宋体"/>
        <charset val="134"/>
      </rPr>
      <t>）出售家禽只数</t>
    </r>
  </si>
  <si>
    <r>
      <t xml:space="preserve">6—7   </t>
    </r>
    <r>
      <rPr>
        <sz val="16"/>
        <rFont val="宋体"/>
        <charset val="134"/>
      </rPr>
      <t>六月末牲畜头数</t>
    </r>
  </si>
  <si>
    <t>单位：头、只、口</t>
  </si>
  <si>
    <r>
      <t>期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末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数</t>
    </r>
  </si>
  <si>
    <r>
      <t>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内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增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加</t>
    </r>
  </si>
  <si>
    <r>
      <t>期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内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减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少</t>
    </r>
  </si>
  <si>
    <r>
      <t>繁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殖</t>
    </r>
    <r>
      <rPr>
        <sz val="9"/>
        <rFont val="Times New Roman"/>
        <family val="1"/>
      </rPr>
      <t xml:space="preserve">                                                                                                          </t>
    </r>
    <r>
      <rPr>
        <sz val="9"/>
        <rFont val="宋体"/>
        <charset val="134"/>
      </rPr>
      <t>仔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畜</t>
    </r>
  </si>
  <si>
    <r>
      <t>购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进</t>
    </r>
  </si>
  <si>
    <r>
      <t>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他</t>
    </r>
  </si>
  <si>
    <r>
      <t>成幼畜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</t>
    </r>
    <r>
      <rPr>
        <sz val="9"/>
        <rFont val="宋体"/>
        <charset val="134"/>
      </rPr>
      <t>死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亡</t>
    </r>
  </si>
  <si>
    <r>
      <t>自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宰</t>
    </r>
    <r>
      <rPr>
        <sz val="9"/>
        <rFont val="Times New Roman"/>
        <family val="1"/>
      </rPr>
      <t xml:space="preserve">                                                                               </t>
    </r>
    <r>
      <rPr>
        <sz val="9"/>
        <rFont val="宋体"/>
        <charset val="134"/>
      </rPr>
      <t>自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食</t>
    </r>
  </si>
  <si>
    <r>
      <t>成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活</t>
    </r>
  </si>
  <si>
    <t>家畜总头数</t>
  </si>
  <si>
    <t>（一）大牲畜和羊合计</t>
  </si>
  <si>
    <r>
      <t xml:space="preserve">            1.</t>
    </r>
    <r>
      <rPr>
        <sz val="9"/>
        <rFont val="宋体"/>
        <charset val="134"/>
      </rPr>
      <t>大牲畜</t>
    </r>
  </si>
  <si>
    <r>
      <t xml:space="preserve">                    </t>
    </r>
    <r>
      <rPr>
        <sz val="9"/>
        <rFont val="宋体"/>
        <charset val="134"/>
      </rPr>
      <t>牛</t>
    </r>
  </si>
  <si>
    <r>
      <t xml:space="preserve">                    </t>
    </r>
    <r>
      <rPr>
        <sz val="9"/>
        <rFont val="宋体"/>
        <charset val="134"/>
      </rPr>
      <t>马</t>
    </r>
  </si>
  <si>
    <r>
      <t xml:space="preserve">                    </t>
    </r>
    <r>
      <rPr>
        <sz val="9"/>
        <rFont val="宋体"/>
        <charset val="134"/>
      </rPr>
      <t>驴</t>
    </r>
  </si>
  <si>
    <r>
      <t xml:space="preserve">                    </t>
    </r>
    <r>
      <rPr>
        <sz val="9"/>
        <rFont val="宋体"/>
        <charset val="134"/>
      </rPr>
      <t>骡</t>
    </r>
  </si>
  <si>
    <r>
      <t xml:space="preserve">                    </t>
    </r>
    <r>
      <rPr>
        <sz val="9"/>
        <rFont val="宋体"/>
        <charset val="134"/>
      </rPr>
      <t>骆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驼</t>
    </r>
  </si>
  <si>
    <r>
      <t xml:space="preserve">            </t>
    </r>
    <r>
      <rPr>
        <sz val="9"/>
        <rFont val="宋体"/>
        <charset val="134"/>
      </rPr>
      <t>2.羊</t>
    </r>
  </si>
  <si>
    <r>
      <t xml:space="preserve">                </t>
    </r>
    <r>
      <rPr>
        <sz val="9"/>
        <rFont val="宋体"/>
        <charset val="134"/>
      </rPr>
      <t>绵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羊</t>
    </r>
  </si>
  <si>
    <r>
      <t xml:space="preserve">                </t>
    </r>
    <r>
      <rPr>
        <sz val="9"/>
        <rFont val="宋体"/>
        <charset val="134"/>
      </rPr>
      <t>山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羊</t>
    </r>
  </si>
  <si>
    <r>
      <t>（二）生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猪</t>
    </r>
  </si>
  <si>
    <r>
      <t>6—9</t>
    </r>
    <r>
      <rPr>
        <sz val="9"/>
        <rFont val="宋体"/>
        <charset val="134"/>
      </rPr>
      <t>续表</t>
    </r>
  </si>
  <si>
    <t>期内减少</t>
  </si>
  <si>
    <t>在期末实有头数中</t>
  </si>
  <si>
    <t>出卖</t>
  </si>
  <si>
    <t>其他</t>
  </si>
  <si>
    <t>能繁殖的母畜</t>
  </si>
  <si>
    <t>耕役畜</t>
  </si>
  <si>
    <t>种公畜</t>
  </si>
  <si>
    <t>良种牲畜</t>
  </si>
  <si>
    <t>改良种牲畜</t>
  </si>
  <si>
    <t>出卖肉畜</t>
  </si>
  <si>
    <r>
      <t xml:space="preserve">6—8 </t>
    </r>
    <r>
      <rPr>
        <sz val="16"/>
        <rFont val="宋体"/>
        <charset val="134"/>
      </rPr>
      <t>十二月末牲畜头数</t>
    </r>
  </si>
  <si>
    <r>
      <t>期末实有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数</t>
    </r>
  </si>
  <si>
    <r>
      <t>6—8</t>
    </r>
    <r>
      <rPr>
        <sz val="9"/>
        <rFont val="宋体"/>
        <charset val="134"/>
      </rPr>
      <t>续表</t>
    </r>
  </si>
  <si>
    <t>2013年鉴6-1到6-10.xls 兼容性报表</t>
  </si>
  <si>
    <t>运行环境: 2014/5/8 17:04</t>
  </si>
  <si>
    <t>早期版本的 Excel 不支持此工作簿中的以下功能。如果以早期版本的 Excel 打开此工作簿，或将此工作簿保存为早期版本文件格式，则这些功能可能会丢失或降级。</t>
  </si>
  <si>
    <t>轻微保真损失</t>
  </si>
  <si>
    <t>发生次数</t>
  </si>
  <si>
    <t>版本</t>
  </si>
  <si>
    <t>所选文件格式不支持此工作簿中某些单元格或样式包含的格式。这些格式将被转换为最相近的可用格式。</t>
  </si>
  <si>
    <t>Excel 97-2003</t>
  </si>
  <si>
    <r>
      <t xml:space="preserve">        </t>
    </r>
    <r>
      <rPr>
        <sz val="9"/>
        <rFont val="宋体"/>
        <charset val="134"/>
      </rPr>
      <t>通宽带村数</t>
    </r>
    <phoneticPr fontId="3" type="noConversion"/>
  </si>
  <si>
    <t xml:space="preserve">    通有线电视村数</t>
    <phoneticPr fontId="3" type="noConversion"/>
  </si>
  <si>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       </t>
    </r>
    <r>
      <rPr>
        <sz val="9"/>
        <rFont val="宋体"/>
        <charset val="134"/>
      </rPr>
      <t>草</t>
    </r>
    <phoneticPr fontId="3" type="noConversion"/>
  </si>
  <si>
    <r>
      <t xml:space="preserve">             </t>
    </r>
    <r>
      <rPr>
        <sz val="9"/>
        <rFont val="宋体"/>
        <charset val="134"/>
      </rPr>
      <t>青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饲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料</t>
    </r>
    <phoneticPr fontId="3" type="noConversion"/>
  </si>
  <si>
    <t>4349</t>
  </si>
  <si>
    <t>286</t>
  </si>
  <si>
    <t>55</t>
  </si>
  <si>
    <t>41</t>
  </si>
  <si>
    <r>
      <t xml:space="preserve">        </t>
    </r>
    <r>
      <rPr>
        <sz val="9"/>
        <rFont val="宋体"/>
        <charset val="134"/>
      </rPr>
      <t>（三）豆类合计</t>
    </r>
    <phoneticPr fontId="3" type="noConversion"/>
  </si>
  <si>
    <r>
      <t xml:space="preserve">        </t>
    </r>
    <r>
      <rPr>
        <sz val="9"/>
        <rFont val="宋体"/>
        <charset val="134"/>
      </rPr>
      <t>（四）薯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类</t>
    </r>
    <phoneticPr fontId="3" type="noConversion"/>
  </si>
  <si>
    <r>
      <t xml:space="preserve">                     3.</t>
    </r>
    <r>
      <rPr>
        <sz val="9"/>
        <rFont val="宋体"/>
        <charset val="134"/>
      </rPr>
      <t>其他谷物</t>
    </r>
    <phoneticPr fontId="3" type="noConversion"/>
  </si>
  <si>
    <r>
      <t xml:space="preserve">                          #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 xml:space="preserve"> 1</t>
    </r>
    <r>
      <rPr>
        <sz val="9"/>
        <rFont val="宋体"/>
        <charset val="134"/>
      </rPr>
      <t>）</t>
    </r>
    <r>
      <rPr>
        <sz val="9"/>
        <rFont val="宋体"/>
        <charset val="134"/>
      </rPr>
      <t>莜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麦</t>
    </r>
    <phoneticPr fontId="3" type="noConversion"/>
  </si>
  <si>
    <r>
      <t xml:space="preserve">  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）黍    子</t>
    </r>
    <phoneticPr fontId="3" type="noConversion"/>
  </si>
  <si>
    <r>
      <t xml:space="preserve"> 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）糜    子</t>
    </r>
    <phoneticPr fontId="3" type="noConversion"/>
  </si>
  <si>
    <r>
      <t xml:space="preserve">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4</t>
    </r>
    <r>
      <rPr>
        <sz val="9"/>
        <rFont val="宋体"/>
        <charset val="134"/>
      </rPr>
      <t>）</t>
    </r>
    <r>
      <rPr>
        <sz val="9"/>
        <rFont val="宋体"/>
        <charset val="134"/>
      </rPr>
      <t>荞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麦</t>
    </r>
    <phoneticPr fontId="3" type="noConversion"/>
  </si>
  <si>
    <r>
      <t xml:space="preserve"> 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5</t>
    </r>
    <r>
      <rPr>
        <sz val="9"/>
        <rFont val="宋体"/>
        <charset val="134"/>
      </rPr>
      <t>）</t>
    </r>
    <r>
      <rPr>
        <sz val="9"/>
        <rFont val="宋体"/>
        <charset val="134"/>
      </rPr>
      <t>大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麦</t>
    </r>
    <phoneticPr fontId="3" type="noConversion"/>
  </si>
  <si>
    <t>期初数</t>
    <phoneticPr fontId="3" type="noConversion"/>
  </si>
  <si>
    <t>61</t>
  </si>
  <si>
    <t>25</t>
  </si>
  <si>
    <t>846</t>
  </si>
  <si>
    <t>11</t>
  </si>
  <si>
    <t>7</t>
  </si>
  <si>
    <t>267</t>
  </si>
  <si>
    <t>50</t>
  </si>
  <si>
    <t>18</t>
  </si>
  <si>
    <t>579</t>
  </si>
  <si>
    <t>295</t>
  </si>
  <si>
    <t>190</t>
  </si>
  <si>
    <t>75</t>
  </si>
  <si>
    <t>131</t>
  </si>
  <si>
    <t>135</t>
  </si>
  <si>
    <t>34</t>
  </si>
  <si>
    <t>152480</t>
  </si>
  <si>
    <t>468142</t>
  </si>
  <si>
    <t>73409</t>
  </si>
  <si>
    <t>238291</t>
  </si>
  <si>
    <t>79071</t>
  </si>
  <si>
    <t>229851</t>
  </si>
  <si>
    <t>319701</t>
  </si>
  <si>
    <t>147154</t>
  </si>
  <si>
    <t>172547</t>
  </si>
  <si>
    <t>4474</t>
  </si>
  <si>
    <t>10550</t>
  </si>
  <si>
    <t>652</t>
  </si>
  <si>
    <t>6751</t>
  </si>
  <si>
    <t>8111</t>
  </si>
  <si>
    <t>10619</t>
  </si>
  <si>
    <t>3735</t>
  </si>
  <si>
    <t>5812</t>
  </si>
  <si>
    <t>2520</t>
  </si>
  <si>
    <t>366</t>
  </si>
  <si>
    <t>3630</t>
  </si>
  <si>
    <t>4703</t>
  </si>
  <si>
    <t>6160</t>
  </si>
  <si>
    <t>739</t>
  </si>
  <si>
    <t>4738</t>
  </si>
  <si>
    <t>1829</t>
  </si>
  <si>
    <t>3121</t>
  </si>
  <si>
    <t>3408</t>
  </si>
  <si>
    <t>4459</t>
  </si>
  <si>
    <t>166310</t>
  </si>
  <si>
    <t>153391</t>
  </si>
  <si>
    <t>77370</t>
  </si>
  <si>
    <t>69784</t>
  </si>
  <si>
    <t>88940</t>
  </si>
  <si>
    <t>83607</t>
  </si>
  <si>
    <t>294163</t>
  </si>
  <si>
    <t>137617</t>
  </si>
  <si>
    <t>156546</t>
  </si>
  <si>
    <t>153814</t>
  </si>
  <si>
    <t>72453</t>
  </si>
  <si>
    <t>81361</t>
  </si>
  <si>
    <t>140349</t>
  </si>
  <si>
    <t>65164</t>
  </si>
  <si>
    <t>75185</t>
  </si>
  <si>
    <t>248657</t>
  </si>
  <si>
    <t>110691</t>
  </si>
  <si>
    <t>137966</t>
  </si>
  <si>
    <t>5867</t>
  </si>
  <si>
    <t>0</t>
  </si>
  <si>
    <t>1664454</t>
  </si>
  <si>
    <t>1663234</t>
  </si>
  <si>
    <t>96947</t>
  </si>
  <si>
    <t>89039</t>
  </si>
  <si>
    <t>7484</t>
  </si>
  <si>
    <t>69</t>
  </si>
  <si>
    <t>355</t>
  </si>
  <si>
    <t>1566287</t>
  </si>
  <si>
    <t>1498211</t>
  </si>
  <si>
    <t>68076</t>
  </si>
  <si>
    <t>1220</t>
  </si>
  <si>
    <t>313278.37</t>
  </si>
  <si>
    <t>8748</t>
  </si>
  <si>
    <t>123393</t>
  </si>
  <si>
    <t>161652</t>
  </si>
  <si>
    <t>9489.6</t>
  </si>
  <si>
    <t>354.2</t>
  </si>
  <si>
    <t>6.03</t>
  </si>
  <si>
    <t>15925.76</t>
  </si>
  <si>
    <t>1594.38</t>
  </si>
  <si>
    <t>1197</t>
  </si>
  <si>
    <t>398</t>
  </si>
  <si>
    <t>618366</t>
  </si>
  <si>
    <t>615876</t>
  </si>
  <si>
    <t>27</t>
  </si>
  <si>
    <t>15516</t>
  </si>
  <si>
    <t>4584</t>
  </si>
  <si>
    <t>1004</t>
  </si>
  <si>
    <t>248</t>
  </si>
  <si>
    <t>5188</t>
  </si>
  <si>
    <t>48.25</t>
  </si>
  <si>
    <t>1.26</t>
  </si>
  <si>
    <t>0.09</t>
  </si>
  <si>
    <t>6.04</t>
  </si>
  <si>
    <t>575895</t>
  </si>
  <si>
    <t>9504914</t>
  </si>
  <si>
    <t>610487</t>
  </si>
  <si>
    <t>298187.1</t>
  </si>
  <si>
    <t>7718</t>
  </si>
  <si>
    <t>118749</t>
  </si>
  <si>
    <t>154339</t>
  </si>
  <si>
    <t>855</t>
  </si>
  <si>
    <t>517956</t>
  </si>
  <si>
    <t>15521</t>
  </si>
  <si>
    <t>50.45</t>
  </si>
  <si>
    <r>
      <t>2016</t>
    </r>
    <r>
      <rPr>
        <sz val="9"/>
        <rFont val="宋体"/>
        <charset val="134"/>
      </rPr>
      <t>年比</t>
    </r>
    <r>
      <rPr>
        <sz val="9"/>
        <rFont val="Times New Roman"/>
        <family val="1"/>
      </rPr>
      <t xml:space="preserve">                                                                                                                2015</t>
    </r>
    <r>
      <rPr>
        <sz val="9"/>
        <rFont val="宋体"/>
        <charset val="134"/>
      </rPr>
      <t>年增长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</si>
</sst>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0" formatCode="0.0_ "/>
    <numFmt numFmtId="181" formatCode="0_ "/>
    <numFmt numFmtId="182" formatCode="0;[Red]0"/>
    <numFmt numFmtId="183" formatCode="0.00_ "/>
    <numFmt numFmtId="184" formatCode="0.00;[Red]0.00"/>
    <numFmt numFmtId="185" formatCode="0_);[Red]\(0\)"/>
  </numFmts>
  <fonts count="32" x14ac:knownFonts="1">
    <font>
      <sz val="12"/>
      <name val="宋体"/>
      <charset val="134"/>
    </font>
    <font>
      <b/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b/>
      <sz val="9"/>
      <name val="宋体"/>
      <charset val="134"/>
    </font>
    <font>
      <sz val="10"/>
      <name val="宋体"/>
      <charset val="134"/>
    </font>
    <font>
      <sz val="9"/>
      <color indexed="63"/>
      <name val="Times New Roman"/>
      <family val="1"/>
    </font>
    <font>
      <sz val="12"/>
      <name val="Times New Roman"/>
      <family val="1"/>
    </font>
    <font>
      <sz val="9"/>
      <color indexed="8"/>
      <name val="宋体"/>
      <charset val="134"/>
    </font>
    <font>
      <sz val="18"/>
      <color indexed="54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54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9"/>
      <color indexed="63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8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20" fillId="2" borderId="5" applyNumberFormat="0" applyAlignment="0" applyProtection="0">
      <alignment vertical="center"/>
    </xf>
    <xf numFmtId="0" fontId="27" fillId="4" borderId="9" applyNumberFormat="0" applyFont="0" applyAlignment="0" applyProtection="0">
      <alignment vertical="center"/>
    </xf>
  </cellStyleXfs>
  <cellXfs count="175">
    <xf numFmtId="0" fontId="0" fillId="0" borderId="0" xfId="0"/>
    <xf numFmtId="0" fontId="3" fillId="9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9" borderId="12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vertical="top" wrapText="1"/>
    </xf>
    <xf numFmtId="0" fontId="0" fillId="0" borderId="0" xfId="0" applyNumberFormat="1" applyAlignment="1">
      <alignment horizontal="center" vertical="top" wrapText="1"/>
    </xf>
    <xf numFmtId="0" fontId="0" fillId="0" borderId="14" xfId="0" applyNumberFormat="1" applyBorder="1" applyAlignment="1">
      <alignment vertical="top" wrapText="1"/>
    </xf>
    <xf numFmtId="0" fontId="0" fillId="0" borderId="15" xfId="0" applyNumberFormat="1" applyBorder="1" applyAlignment="1">
      <alignment vertical="top" wrapText="1"/>
    </xf>
    <xf numFmtId="0" fontId="0" fillId="0" borderId="15" xfId="0" applyNumberFormat="1" applyBorder="1" applyAlignment="1">
      <alignment horizontal="center" vertical="top" wrapText="1"/>
    </xf>
    <xf numFmtId="0" fontId="0" fillId="0" borderId="16" xfId="0" applyNumberForma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3" fillId="10" borderId="17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6" fillId="10" borderId="0" xfId="0" applyFont="1" applyFill="1"/>
    <xf numFmtId="0" fontId="3" fillId="10" borderId="0" xfId="0" applyFont="1" applyFill="1"/>
    <xf numFmtId="0" fontId="5" fillId="10" borderId="0" xfId="0" applyFont="1" applyFill="1"/>
    <xf numFmtId="0" fontId="3" fillId="10" borderId="13" xfId="0" applyFont="1" applyFill="1" applyBorder="1"/>
    <xf numFmtId="0" fontId="3" fillId="10" borderId="19" xfId="0" applyFont="1" applyFill="1" applyBorder="1" applyAlignment="1">
      <alignment vertical="center" wrapText="1"/>
    </xf>
    <xf numFmtId="0" fontId="3" fillId="10" borderId="18" xfId="0" applyFont="1" applyFill="1" applyBorder="1" applyAlignment="1">
      <alignment vertical="center" wrapText="1"/>
    </xf>
    <xf numFmtId="0" fontId="0" fillId="0" borderId="0" xfId="0" applyBorder="1"/>
    <xf numFmtId="0" fontId="3" fillId="0" borderId="0" xfId="0" applyFont="1" applyBorder="1"/>
    <xf numFmtId="0" fontId="3" fillId="0" borderId="0" xfId="0" applyFont="1" applyFill="1" applyBorder="1"/>
    <xf numFmtId="0" fontId="3" fillId="10" borderId="12" xfId="0" applyFont="1" applyFill="1" applyBorder="1" applyAlignment="1">
      <alignment vertical="center" wrapText="1"/>
    </xf>
    <xf numFmtId="0" fontId="3" fillId="3" borderId="0" xfId="0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ont="1" applyFill="1" applyAlignment="1">
      <alignment horizontal="center" vertical="center"/>
    </xf>
    <xf numFmtId="180" fontId="3" fillId="0" borderId="0" xfId="0" applyNumberFormat="1" applyFont="1"/>
    <xf numFmtId="0" fontId="8" fillId="10" borderId="0" xfId="0" applyFont="1" applyFill="1"/>
    <xf numFmtId="0" fontId="5" fillId="10" borderId="13" xfId="0" applyFont="1" applyFill="1" applyBorder="1"/>
    <xf numFmtId="0" fontId="5" fillId="10" borderId="17" xfId="0" applyFont="1" applyFill="1" applyBorder="1" applyAlignment="1">
      <alignment horizontal="center" vertical="center" wrapText="1"/>
    </xf>
    <xf numFmtId="181" fontId="3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left"/>
    </xf>
    <xf numFmtId="0" fontId="5" fillId="10" borderId="0" xfId="0" applyFont="1" applyFill="1" applyBorder="1"/>
    <xf numFmtId="0" fontId="3" fillId="0" borderId="0" xfId="0" applyFont="1" applyBorder="1" applyAlignment="1">
      <alignment horizontal="center"/>
    </xf>
    <xf numFmtId="182" fontId="3" fillId="3" borderId="0" xfId="0" applyNumberFormat="1" applyFont="1" applyFill="1" applyBorder="1" applyAlignment="1">
      <alignment horizontal="center"/>
    </xf>
    <xf numFmtId="0" fontId="0" fillId="0" borderId="0" xfId="0" applyFill="1"/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17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0" xfId="0" applyFont="1" applyFill="1"/>
    <xf numFmtId="0" fontId="5" fillId="0" borderId="0" xfId="0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5" fillId="0" borderId="13" xfId="0" applyFont="1" applyFill="1" applyBorder="1"/>
    <xf numFmtId="0" fontId="3" fillId="0" borderId="13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183" fontId="3" fillId="0" borderId="0" xfId="0" applyNumberFormat="1" applyFont="1" applyAlignment="1">
      <alignment horizontal="center"/>
    </xf>
    <xf numFmtId="0" fontId="3" fillId="9" borderId="0" xfId="0" applyFont="1" applyFill="1" applyBorder="1" applyAlignment="1">
      <alignment horizontal="center"/>
    </xf>
    <xf numFmtId="183" fontId="3" fillId="0" borderId="0" xfId="0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183" fontId="3" fillId="3" borderId="0" xfId="0" applyNumberFormat="1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0" fillId="3" borderId="0" xfId="0" applyFill="1"/>
    <xf numFmtId="180" fontId="0" fillId="0" borderId="0" xfId="0" applyNumberFormat="1" applyFill="1"/>
    <xf numFmtId="0" fontId="2" fillId="0" borderId="0" xfId="0" applyFont="1" applyFill="1"/>
    <xf numFmtId="0" fontId="3" fillId="0" borderId="10" xfId="0" applyFont="1" applyFill="1" applyBorder="1" applyAlignment="1">
      <alignment horizontal="center" vertical="center" wrapText="1"/>
    </xf>
    <xf numFmtId="180" fontId="3" fillId="0" borderId="0" xfId="0" applyNumberFormat="1" applyFont="1" applyFill="1"/>
    <xf numFmtId="180" fontId="2" fillId="0" borderId="0" xfId="0" applyNumberFormat="1" applyFont="1" applyFill="1"/>
    <xf numFmtId="0" fontId="3" fillId="0" borderId="0" xfId="0" applyFont="1" applyAlignment="1">
      <alignment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185" fontId="3" fillId="0" borderId="0" xfId="0" applyNumberFormat="1" applyFont="1" applyBorder="1" applyAlignment="1"/>
    <xf numFmtId="185" fontId="10" fillId="0" borderId="0" xfId="0" applyNumberFormat="1" applyFont="1" applyBorder="1" applyAlignment="1">
      <alignment horizontal="right"/>
    </xf>
    <xf numFmtId="185" fontId="3" fillId="0" borderId="0" xfId="0" applyNumberFormat="1" applyFont="1" applyBorder="1" applyAlignment="1">
      <alignment horizontal="right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>
      <alignment horizontal="center"/>
    </xf>
    <xf numFmtId="0" fontId="3" fillId="11" borderId="0" xfId="0" applyFont="1" applyFill="1" applyBorder="1"/>
    <xf numFmtId="0" fontId="3" fillId="0" borderId="20" xfId="0" applyFont="1" applyFill="1" applyBorder="1" applyAlignment="1">
      <alignment horizontal="center"/>
    </xf>
    <xf numFmtId="0" fontId="3" fillId="11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180" fontId="3" fillId="0" borderId="0" xfId="0" applyNumberFormat="1" applyFont="1" applyFill="1" applyAlignment="1">
      <alignment horizontal="center"/>
    </xf>
    <xf numFmtId="180" fontId="3" fillId="0" borderId="0" xfId="0" applyNumberFormat="1" applyFont="1" applyFill="1" applyBorder="1" applyAlignment="1">
      <alignment horizontal="center"/>
    </xf>
    <xf numFmtId="0" fontId="28" fillId="10" borderId="13" xfId="0" applyFont="1" applyFill="1" applyBorder="1"/>
    <xf numFmtId="0" fontId="7" fillId="11" borderId="0" xfId="0" applyFont="1" applyFill="1"/>
    <xf numFmtId="183" fontId="0" fillId="0" borderId="0" xfId="0" applyNumberFormat="1"/>
    <xf numFmtId="183" fontId="3" fillId="0" borderId="0" xfId="0" applyNumberFormat="1" applyFont="1" applyBorder="1"/>
    <xf numFmtId="183" fontId="0" fillId="0" borderId="0" xfId="0" applyNumberFormat="1" applyBorder="1"/>
    <xf numFmtId="183" fontId="3" fillId="0" borderId="0" xfId="0" applyNumberFormat="1" applyFont="1"/>
    <xf numFmtId="180" fontId="0" fillId="0" borderId="0" xfId="0" applyNumberFormat="1"/>
    <xf numFmtId="183" fontId="3" fillId="9" borderId="11" xfId="0" applyNumberFormat="1" applyFont="1" applyFill="1" applyBorder="1" applyAlignment="1">
      <alignment horizontal="center" vertical="center" wrapText="1"/>
    </xf>
    <xf numFmtId="183" fontId="3" fillId="11" borderId="0" xfId="0" applyNumberFormat="1" applyFont="1" applyFill="1" applyAlignment="1">
      <alignment horizontal="center"/>
    </xf>
    <xf numFmtId="181" fontId="2" fillId="0" borderId="0" xfId="0" applyNumberFormat="1" applyFont="1" applyAlignment="1">
      <alignment horizontal="center"/>
    </xf>
    <xf numFmtId="181" fontId="3" fillId="10" borderId="12" xfId="0" applyNumberFormat="1" applyFont="1" applyFill="1" applyBorder="1" applyAlignment="1">
      <alignment horizontal="center" vertical="center" wrapText="1"/>
    </xf>
    <xf numFmtId="181" fontId="3" fillId="0" borderId="0" xfId="0" applyNumberFormat="1" applyFont="1" applyBorder="1"/>
    <xf numFmtId="181" fontId="3" fillId="0" borderId="0" xfId="0" applyNumberFormat="1" applyFont="1"/>
    <xf numFmtId="181" fontId="0" fillId="0" borderId="0" xfId="0" applyNumberFormat="1"/>
    <xf numFmtId="0" fontId="3" fillId="12" borderId="0" xfId="0" applyFont="1" applyFill="1" applyAlignment="1">
      <alignment horizontal="center"/>
    </xf>
    <xf numFmtId="0" fontId="30" fillId="12" borderId="0" xfId="0" applyFont="1" applyFill="1" applyAlignment="1">
      <alignment horizontal="center"/>
    </xf>
    <xf numFmtId="0" fontId="30" fillId="12" borderId="12" xfId="0" applyFont="1" applyFill="1" applyBorder="1" applyAlignment="1">
      <alignment horizontal="center"/>
    </xf>
    <xf numFmtId="182" fontId="30" fillId="12" borderId="12" xfId="0" applyNumberFormat="1" applyFont="1" applyFill="1" applyBorder="1" applyAlignment="1">
      <alignment horizontal="center"/>
    </xf>
    <xf numFmtId="0" fontId="30" fillId="12" borderId="11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180" fontId="3" fillId="12" borderId="12" xfId="0" applyNumberFormat="1" applyFont="1" applyFill="1" applyBorder="1" applyAlignment="1">
      <alignment horizontal="center"/>
    </xf>
    <xf numFmtId="183" fontId="3" fillId="12" borderId="0" xfId="0" applyNumberFormat="1" applyFont="1" applyFill="1" applyAlignment="1">
      <alignment horizontal="center"/>
    </xf>
    <xf numFmtId="0" fontId="0" fillId="12" borderId="0" xfId="0" applyFill="1"/>
    <xf numFmtId="0" fontId="0" fillId="12" borderId="12" xfId="0" applyFill="1" applyBorder="1" applyAlignment="1">
      <alignment horizontal="center" vertical="center" wrapText="1"/>
    </xf>
    <xf numFmtId="181" fontId="3" fillId="12" borderId="0" xfId="0" applyNumberFormat="1" applyFont="1" applyFill="1" applyAlignment="1">
      <alignment horizontal="center"/>
    </xf>
    <xf numFmtId="181" fontId="7" fillId="12" borderId="0" xfId="0" applyNumberFormat="1" applyFont="1" applyFill="1"/>
    <xf numFmtId="180" fontId="3" fillId="12" borderId="0" xfId="0" applyNumberFormat="1" applyFont="1" applyFill="1"/>
    <xf numFmtId="0" fontId="7" fillId="12" borderId="0" xfId="0" applyFont="1" applyFill="1"/>
    <xf numFmtId="0" fontId="31" fillId="12" borderId="22" xfId="0" applyFont="1" applyFill="1" applyBorder="1" applyAlignment="1">
      <alignment horizontal="center" vertical="center"/>
    </xf>
    <xf numFmtId="0" fontId="31" fillId="12" borderId="20" xfId="0" applyFont="1" applyFill="1" applyBorder="1" applyAlignment="1">
      <alignment horizontal="center" vertical="center"/>
    </xf>
    <xf numFmtId="0" fontId="31" fillId="12" borderId="23" xfId="0" applyFont="1" applyFill="1" applyBorder="1" applyAlignment="1">
      <alignment horizontal="center" vertical="center"/>
    </xf>
    <xf numFmtId="0" fontId="31" fillId="12" borderId="24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/>
    </xf>
    <xf numFmtId="0" fontId="3" fillId="12" borderId="0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 vertical="center"/>
    </xf>
    <xf numFmtId="180" fontId="3" fillId="12" borderId="0" xfId="0" applyNumberFormat="1" applyFont="1" applyFill="1" applyAlignment="1">
      <alignment horizontal="center"/>
    </xf>
    <xf numFmtId="181" fontId="7" fillId="1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right"/>
    </xf>
    <xf numFmtId="0" fontId="3" fillId="9" borderId="17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9" borderId="21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180" fontId="3" fillId="0" borderId="12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5" fillId="0" borderId="13" xfId="0" applyFont="1" applyFill="1" applyBorder="1" applyAlignment="1"/>
    <xf numFmtId="0" fontId="3" fillId="0" borderId="17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right"/>
    </xf>
    <xf numFmtId="0" fontId="3" fillId="9" borderId="10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10" borderId="25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0" fillId="10" borderId="23" xfId="0" applyFill="1" applyBorder="1"/>
    <xf numFmtId="0" fontId="3" fillId="10" borderId="2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3" fillId="10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10" borderId="22" xfId="0" applyFill="1" applyBorder="1"/>
    <xf numFmtId="0" fontId="29" fillId="10" borderId="18" xfId="0" applyFont="1" applyFill="1" applyBorder="1" applyAlignment="1">
      <alignment horizontal="center" vertical="center" wrapText="1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tabSelected="1" topLeftCell="A16" workbookViewId="0">
      <selection activeCell="J34" sqref="J34"/>
    </sheetView>
  </sheetViews>
  <sheetFormatPr defaultColWidth="8.7109375" defaultRowHeight="15" x14ac:dyDescent="0.3"/>
  <cols>
    <col min="2" max="2" width="8.140625" customWidth="1"/>
    <col min="3" max="4" width="6.7109375" customWidth="1"/>
    <col min="5" max="5" width="7.85546875" customWidth="1"/>
    <col min="6" max="6" width="6.7109375" customWidth="1"/>
    <col min="7" max="7" width="15.5" customWidth="1"/>
  </cols>
  <sheetData>
    <row r="1" spans="1:12" s="17" customFormat="1" ht="35.15" customHeight="1" x14ac:dyDescent="0.5">
      <c r="A1" s="129" t="s">
        <v>0</v>
      </c>
      <c r="B1" s="130"/>
      <c r="C1" s="130"/>
      <c r="D1" s="130"/>
      <c r="E1" s="130"/>
      <c r="F1" s="130"/>
      <c r="G1" s="130"/>
    </row>
    <row r="2" spans="1:12" s="18" customFormat="1" ht="15" customHeight="1" x14ac:dyDescent="0.3">
      <c r="A2" s="131" t="s">
        <v>1</v>
      </c>
      <c r="B2" s="131"/>
      <c r="C2" s="131"/>
      <c r="D2" s="131"/>
      <c r="E2" s="131"/>
      <c r="F2" s="131"/>
      <c r="G2" s="131"/>
    </row>
    <row r="3" spans="1:12" ht="28.5" customHeight="1" x14ac:dyDescent="0.3">
      <c r="A3" s="132"/>
      <c r="B3" s="133" t="s">
        <v>2</v>
      </c>
      <c r="C3" s="1"/>
      <c r="D3" s="1"/>
      <c r="E3" s="1"/>
      <c r="F3" s="1"/>
      <c r="G3" s="1"/>
      <c r="H3" s="75"/>
      <c r="I3" s="18"/>
      <c r="J3" s="18"/>
      <c r="K3" s="18"/>
      <c r="L3" s="18"/>
    </row>
    <row r="4" spans="1:12" ht="24" x14ac:dyDescent="0.3">
      <c r="A4" s="132"/>
      <c r="B4" s="134"/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75"/>
      <c r="I4" s="18"/>
      <c r="J4" s="18"/>
      <c r="K4" s="18"/>
      <c r="L4" s="18"/>
    </row>
    <row r="5" spans="1:12" x14ac:dyDescent="0.3">
      <c r="A5" s="62">
        <v>1982</v>
      </c>
      <c r="B5" s="18">
        <v>30989</v>
      </c>
      <c r="C5" s="18">
        <v>12718</v>
      </c>
      <c r="D5" s="18">
        <v>562</v>
      </c>
      <c r="E5" s="18">
        <v>17696</v>
      </c>
      <c r="F5" s="18">
        <v>13</v>
      </c>
      <c r="G5" s="18"/>
      <c r="H5" s="18"/>
      <c r="I5" s="18"/>
      <c r="J5" s="18"/>
      <c r="K5" s="18"/>
      <c r="L5" s="18"/>
    </row>
    <row r="6" spans="1:12" x14ac:dyDescent="0.3">
      <c r="A6" s="62">
        <v>1983</v>
      </c>
      <c r="B6" s="18">
        <v>26158</v>
      </c>
      <c r="C6" s="18">
        <v>7118</v>
      </c>
      <c r="D6" s="18">
        <v>817</v>
      </c>
      <c r="E6" s="18">
        <v>18215</v>
      </c>
      <c r="F6" s="18">
        <v>8</v>
      </c>
      <c r="G6" s="18"/>
      <c r="H6" s="18"/>
      <c r="I6" s="18"/>
      <c r="J6" s="18"/>
      <c r="K6" s="18"/>
      <c r="L6" s="18"/>
    </row>
    <row r="7" spans="1:12" x14ac:dyDescent="0.3">
      <c r="A7" s="62">
        <v>1984</v>
      </c>
      <c r="B7" s="18">
        <v>39304</v>
      </c>
      <c r="C7" s="18">
        <v>13805</v>
      </c>
      <c r="D7" s="18">
        <v>1119</v>
      </c>
      <c r="E7" s="18">
        <v>24352</v>
      </c>
      <c r="F7" s="18">
        <v>28</v>
      </c>
      <c r="G7" s="18"/>
      <c r="H7" s="18"/>
      <c r="I7" s="18"/>
      <c r="J7" s="18"/>
      <c r="K7" s="18"/>
      <c r="L7" s="18"/>
    </row>
    <row r="8" spans="1:12" x14ac:dyDescent="0.3">
      <c r="A8" s="62">
        <v>1985</v>
      </c>
      <c r="B8" s="18">
        <v>45738</v>
      </c>
      <c r="C8" s="18">
        <v>15022</v>
      </c>
      <c r="D8" s="18">
        <v>1173</v>
      </c>
      <c r="E8" s="18">
        <v>29509</v>
      </c>
      <c r="F8" s="18">
        <v>34</v>
      </c>
      <c r="G8" s="18"/>
      <c r="H8" s="18"/>
      <c r="I8" s="18"/>
      <c r="J8" s="18"/>
      <c r="K8" s="18"/>
      <c r="L8" s="18"/>
    </row>
    <row r="9" spans="1:12" x14ac:dyDescent="0.3">
      <c r="A9" s="62">
        <v>1986</v>
      </c>
      <c r="B9" s="18">
        <v>40910</v>
      </c>
      <c r="C9" s="18">
        <v>10666</v>
      </c>
      <c r="D9" s="18">
        <v>892</v>
      </c>
      <c r="E9" s="18">
        <v>29295</v>
      </c>
      <c r="F9" s="18">
        <v>57</v>
      </c>
      <c r="G9" s="18"/>
      <c r="H9" s="18"/>
      <c r="I9" s="18"/>
      <c r="J9" s="18"/>
      <c r="K9" s="18"/>
      <c r="L9" s="18"/>
    </row>
    <row r="10" spans="1:12" x14ac:dyDescent="0.3">
      <c r="A10" s="62">
        <v>1987</v>
      </c>
      <c r="B10" s="18">
        <v>47376</v>
      </c>
      <c r="C10" s="18">
        <v>10794</v>
      </c>
      <c r="D10" s="18">
        <v>674</v>
      </c>
      <c r="E10" s="18">
        <v>35845</v>
      </c>
      <c r="F10" s="18">
        <v>63</v>
      </c>
      <c r="G10" s="18"/>
      <c r="H10" s="18"/>
      <c r="I10" s="18"/>
      <c r="J10" s="18"/>
      <c r="K10" s="18"/>
      <c r="L10" s="18"/>
    </row>
    <row r="11" spans="1:12" x14ac:dyDescent="0.3">
      <c r="A11" s="62">
        <v>1988</v>
      </c>
      <c r="B11" s="18">
        <v>83711</v>
      </c>
      <c r="C11" s="18">
        <v>21329</v>
      </c>
      <c r="D11" s="18">
        <v>512</v>
      </c>
      <c r="E11" s="18">
        <v>61810</v>
      </c>
      <c r="F11" s="18">
        <v>60</v>
      </c>
      <c r="G11" s="18"/>
      <c r="H11" s="18"/>
      <c r="I11" s="18"/>
      <c r="J11" s="18"/>
      <c r="K11" s="18"/>
      <c r="L11" s="18"/>
    </row>
    <row r="12" spans="1:12" x14ac:dyDescent="0.3">
      <c r="A12" s="62">
        <v>1989</v>
      </c>
      <c r="B12" s="18">
        <v>73960</v>
      </c>
      <c r="C12" s="18">
        <v>16765</v>
      </c>
      <c r="D12" s="18">
        <v>356</v>
      </c>
      <c r="E12" s="18">
        <v>56759</v>
      </c>
      <c r="F12" s="18">
        <v>80</v>
      </c>
      <c r="G12" s="18"/>
      <c r="H12" s="18"/>
      <c r="I12" s="18"/>
      <c r="J12" s="18"/>
      <c r="K12" s="18"/>
      <c r="L12" s="18"/>
    </row>
    <row r="13" spans="1:12" x14ac:dyDescent="0.3">
      <c r="A13" s="62">
        <v>1990</v>
      </c>
      <c r="B13" s="18">
        <v>87250</v>
      </c>
      <c r="C13" s="18">
        <v>31642</v>
      </c>
      <c r="D13" s="18">
        <v>550</v>
      </c>
      <c r="E13" s="18">
        <v>54912</v>
      </c>
      <c r="F13" s="18">
        <v>146</v>
      </c>
      <c r="G13" s="18"/>
      <c r="H13" s="18"/>
      <c r="I13" s="18"/>
      <c r="J13" s="18"/>
      <c r="K13" s="18"/>
      <c r="L13" s="18"/>
    </row>
    <row r="14" spans="1:12" x14ac:dyDescent="0.3">
      <c r="A14" s="62">
        <v>1991</v>
      </c>
      <c r="B14" s="18">
        <v>92281</v>
      </c>
      <c r="C14" s="18">
        <v>32549</v>
      </c>
      <c r="D14" s="18">
        <v>913</v>
      </c>
      <c r="E14" s="18">
        <v>58627</v>
      </c>
      <c r="F14" s="18">
        <v>192</v>
      </c>
      <c r="G14" s="18"/>
      <c r="H14" s="18"/>
      <c r="I14" s="18"/>
      <c r="J14" s="18"/>
      <c r="K14" s="18"/>
      <c r="L14" s="18"/>
    </row>
    <row r="15" spans="1:12" x14ac:dyDescent="0.3">
      <c r="A15" s="62">
        <v>1992</v>
      </c>
      <c r="B15" s="18">
        <v>107341</v>
      </c>
      <c r="C15" s="18">
        <v>33925</v>
      </c>
      <c r="D15" s="18">
        <v>1232</v>
      </c>
      <c r="E15" s="18">
        <v>71955</v>
      </c>
      <c r="F15" s="18">
        <v>229</v>
      </c>
      <c r="G15" s="18"/>
    </row>
    <row r="16" spans="1:12" x14ac:dyDescent="0.3">
      <c r="A16" s="62">
        <v>1993</v>
      </c>
      <c r="B16" s="18">
        <v>127224</v>
      </c>
      <c r="C16" s="18">
        <v>35834</v>
      </c>
      <c r="D16" s="18">
        <v>1430</v>
      </c>
      <c r="E16" s="18">
        <v>89727</v>
      </c>
      <c r="F16" s="18">
        <v>233</v>
      </c>
      <c r="G16" s="18"/>
      <c r="H16" s="18"/>
      <c r="I16" s="18"/>
      <c r="J16" s="18"/>
      <c r="K16" s="18"/>
      <c r="L16" s="18"/>
    </row>
    <row r="17" spans="1:12" x14ac:dyDescent="0.3">
      <c r="A17" s="62">
        <v>1994</v>
      </c>
      <c r="B17" s="18">
        <v>189708</v>
      </c>
      <c r="C17" s="18">
        <v>52412</v>
      </c>
      <c r="D17" s="18">
        <v>1829</v>
      </c>
      <c r="E17" s="18">
        <v>135287</v>
      </c>
      <c r="F17" s="18">
        <v>180</v>
      </c>
      <c r="G17" s="18"/>
      <c r="H17" s="18"/>
      <c r="I17" s="18"/>
      <c r="J17" s="18"/>
      <c r="K17" s="18"/>
      <c r="L17" s="18"/>
    </row>
    <row r="18" spans="1:12" x14ac:dyDescent="0.3">
      <c r="A18" s="62">
        <v>1995</v>
      </c>
      <c r="B18" s="18">
        <v>239900</v>
      </c>
      <c r="C18" s="18">
        <v>69726</v>
      </c>
      <c r="D18" s="18">
        <v>1799</v>
      </c>
      <c r="E18" s="18">
        <v>168187</v>
      </c>
      <c r="F18" s="18">
        <v>188</v>
      </c>
      <c r="G18" s="18"/>
      <c r="H18" s="18"/>
      <c r="I18" s="18"/>
      <c r="J18" s="18"/>
      <c r="K18" s="18"/>
      <c r="L18" s="18"/>
    </row>
    <row r="19" spans="1:12" x14ac:dyDescent="0.3">
      <c r="A19" s="62">
        <v>1996</v>
      </c>
      <c r="B19" s="18">
        <v>249523</v>
      </c>
      <c r="C19" s="18">
        <v>79279</v>
      </c>
      <c r="D19" s="18">
        <v>1877</v>
      </c>
      <c r="E19" s="18">
        <v>168072</v>
      </c>
      <c r="F19" s="18">
        <v>295</v>
      </c>
      <c r="G19" s="18"/>
      <c r="H19" s="18"/>
      <c r="I19" s="18"/>
      <c r="J19" s="18"/>
      <c r="K19" s="18"/>
      <c r="L19" s="18"/>
    </row>
    <row r="20" spans="1:12" x14ac:dyDescent="0.3">
      <c r="A20" s="62">
        <v>1997</v>
      </c>
      <c r="B20" s="18">
        <v>263522</v>
      </c>
      <c r="C20" s="18">
        <v>76436</v>
      </c>
      <c r="D20" s="18">
        <v>2635</v>
      </c>
      <c r="E20" s="18">
        <v>184125</v>
      </c>
      <c r="F20" s="18">
        <v>326</v>
      </c>
      <c r="G20" s="18"/>
      <c r="H20" s="18"/>
      <c r="I20" s="18"/>
      <c r="J20" s="18"/>
      <c r="K20" s="18"/>
      <c r="L20" s="18"/>
    </row>
    <row r="21" spans="1:12" x14ac:dyDescent="0.3">
      <c r="A21" s="62">
        <v>1998</v>
      </c>
      <c r="B21" s="18">
        <v>309977</v>
      </c>
      <c r="C21" s="18">
        <v>98199</v>
      </c>
      <c r="D21" s="18">
        <v>3301</v>
      </c>
      <c r="E21" s="18">
        <v>208120</v>
      </c>
      <c r="F21" s="18">
        <v>357</v>
      </c>
      <c r="G21" s="18"/>
      <c r="H21" s="18"/>
      <c r="I21" s="18"/>
      <c r="J21" s="18"/>
      <c r="K21" s="18"/>
      <c r="L21" s="18"/>
    </row>
    <row r="22" spans="1:12" x14ac:dyDescent="0.3">
      <c r="A22" s="62">
        <v>1999</v>
      </c>
      <c r="B22" s="18">
        <v>337795</v>
      </c>
      <c r="C22" s="18">
        <v>109746</v>
      </c>
      <c r="D22" s="18">
        <v>3481</v>
      </c>
      <c r="E22" s="18">
        <v>224112</v>
      </c>
      <c r="F22" s="18">
        <v>456</v>
      </c>
      <c r="G22" s="18"/>
      <c r="H22" s="18"/>
      <c r="I22" s="18"/>
      <c r="J22" s="18"/>
      <c r="K22" s="18"/>
      <c r="L22" s="18"/>
    </row>
    <row r="23" spans="1:12" x14ac:dyDescent="0.3">
      <c r="A23" s="62">
        <v>2000</v>
      </c>
      <c r="B23" s="18">
        <v>349569</v>
      </c>
      <c r="C23" s="18">
        <v>107388</v>
      </c>
      <c r="D23" s="18">
        <v>6668</v>
      </c>
      <c r="E23" s="18">
        <v>234868</v>
      </c>
      <c r="F23" s="18">
        <v>645</v>
      </c>
      <c r="G23" s="18"/>
      <c r="H23" s="18"/>
      <c r="I23" s="18"/>
      <c r="J23" s="18"/>
      <c r="K23" s="18"/>
      <c r="L23" s="18"/>
    </row>
    <row r="24" spans="1:12" x14ac:dyDescent="0.3">
      <c r="A24" s="62">
        <v>2001</v>
      </c>
      <c r="B24" s="18">
        <v>326866</v>
      </c>
      <c r="C24" s="18">
        <v>94828</v>
      </c>
      <c r="D24" s="18">
        <v>7793</v>
      </c>
      <c r="E24" s="18">
        <v>223782</v>
      </c>
      <c r="F24" s="18">
        <v>463</v>
      </c>
      <c r="G24" s="18"/>
      <c r="H24" s="18"/>
      <c r="I24" s="18"/>
      <c r="J24" s="18"/>
      <c r="K24" s="18"/>
      <c r="L24" s="18"/>
    </row>
    <row r="25" spans="1:12" x14ac:dyDescent="0.3">
      <c r="A25" s="62">
        <v>2002</v>
      </c>
      <c r="B25" s="18">
        <v>339740</v>
      </c>
      <c r="C25" s="18">
        <v>104983</v>
      </c>
      <c r="D25" s="18">
        <v>8852</v>
      </c>
      <c r="E25" s="18">
        <v>225405</v>
      </c>
      <c r="F25" s="18">
        <v>500</v>
      </c>
      <c r="G25" s="18"/>
      <c r="H25" s="18"/>
      <c r="I25" s="18"/>
      <c r="J25" s="18"/>
      <c r="K25" s="18"/>
      <c r="L25" s="18"/>
    </row>
    <row r="26" spans="1:12" x14ac:dyDescent="0.3">
      <c r="A26" s="62">
        <v>2003</v>
      </c>
      <c r="B26" s="18">
        <v>442407</v>
      </c>
      <c r="C26" s="18">
        <v>110867</v>
      </c>
      <c r="D26" s="18">
        <v>14069</v>
      </c>
      <c r="E26" s="18">
        <v>308534</v>
      </c>
      <c r="F26" s="18">
        <v>398</v>
      </c>
      <c r="G26" s="18">
        <v>8539</v>
      </c>
      <c r="H26" s="18"/>
      <c r="I26" s="18"/>
      <c r="J26" s="18"/>
      <c r="K26" s="18"/>
      <c r="L26" s="18"/>
    </row>
    <row r="27" spans="1:12" x14ac:dyDescent="0.3">
      <c r="A27" s="62">
        <v>2004</v>
      </c>
      <c r="B27" s="18">
        <v>562341</v>
      </c>
      <c r="C27" s="18">
        <v>177587</v>
      </c>
      <c r="D27" s="18">
        <v>16983</v>
      </c>
      <c r="E27" s="18">
        <v>357255</v>
      </c>
      <c r="F27" s="18">
        <v>506</v>
      </c>
      <c r="G27" s="18">
        <v>10010</v>
      </c>
      <c r="H27" s="18"/>
      <c r="I27" s="18"/>
      <c r="J27" s="18"/>
      <c r="K27" s="18"/>
      <c r="L27" s="18"/>
    </row>
    <row r="28" spans="1:12" x14ac:dyDescent="0.3">
      <c r="A28" s="62">
        <v>2005</v>
      </c>
      <c r="B28" s="18">
        <v>589131</v>
      </c>
      <c r="C28" s="18">
        <v>162164</v>
      </c>
      <c r="D28" s="18">
        <v>14621</v>
      </c>
      <c r="E28" s="18">
        <v>400996</v>
      </c>
      <c r="F28" s="18">
        <v>1493</v>
      </c>
      <c r="G28" s="18">
        <v>9857</v>
      </c>
      <c r="H28" s="18"/>
      <c r="I28" s="18"/>
      <c r="J28" s="18"/>
      <c r="K28" s="18"/>
      <c r="L28" s="18"/>
    </row>
    <row r="29" spans="1:12" x14ac:dyDescent="0.3">
      <c r="A29" s="64">
        <v>2006</v>
      </c>
      <c r="B29" s="30">
        <v>626785</v>
      </c>
      <c r="C29" s="30">
        <v>201210</v>
      </c>
      <c r="D29" s="30">
        <v>10505</v>
      </c>
      <c r="E29" s="30">
        <v>402267</v>
      </c>
      <c r="F29" s="30">
        <v>2003</v>
      </c>
      <c r="G29" s="30">
        <v>10800</v>
      </c>
      <c r="H29" s="18"/>
      <c r="I29" s="18"/>
      <c r="J29" s="18"/>
      <c r="K29" s="18"/>
      <c r="L29" s="18"/>
    </row>
    <row r="30" spans="1:12" x14ac:dyDescent="0.3">
      <c r="A30" s="64">
        <v>2007</v>
      </c>
      <c r="B30" s="30">
        <v>733110</v>
      </c>
      <c r="C30" s="30">
        <v>158395</v>
      </c>
      <c r="D30" s="30">
        <v>18235</v>
      </c>
      <c r="E30" s="30">
        <v>542063</v>
      </c>
      <c r="F30" s="30">
        <v>2476</v>
      </c>
      <c r="G30" s="30">
        <v>11941</v>
      </c>
      <c r="H30" s="18"/>
      <c r="I30" s="18"/>
      <c r="J30" s="18"/>
      <c r="K30" s="18"/>
      <c r="L30" s="18"/>
    </row>
    <row r="31" spans="1:12" x14ac:dyDescent="0.3">
      <c r="A31" s="64">
        <v>2008</v>
      </c>
      <c r="B31" s="30">
        <v>815400</v>
      </c>
      <c r="C31" s="30">
        <v>207236</v>
      </c>
      <c r="D31" s="30">
        <v>16556</v>
      </c>
      <c r="E31" s="30">
        <v>574082</v>
      </c>
      <c r="F31" s="30">
        <v>2904</v>
      </c>
      <c r="G31" s="30">
        <v>14622</v>
      </c>
      <c r="H31" s="18"/>
      <c r="I31" s="18"/>
      <c r="J31" s="18"/>
      <c r="K31" s="18"/>
      <c r="L31" s="18"/>
    </row>
    <row r="32" spans="1:12" x14ac:dyDescent="0.3">
      <c r="A32" s="64">
        <v>2009</v>
      </c>
      <c r="B32" s="80">
        <v>926273.51878587285</v>
      </c>
      <c r="C32" s="81">
        <v>263329.11568003194</v>
      </c>
      <c r="D32" s="82">
        <v>14352.3093582246</v>
      </c>
      <c r="E32" s="82">
        <v>630186.02920778713</v>
      </c>
      <c r="F32" s="82">
        <v>789.50194780703055</v>
      </c>
      <c r="G32" s="82">
        <v>17616.562592022077</v>
      </c>
      <c r="H32" s="18"/>
      <c r="I32" s="18"/>
      <c r="J32" s="18"/>
      <c r="K32" s="18"/>
      <c r="L32" s="18"/>
    </row>
    <row r="33" spans="1:12" x14ac:dyDescent="0.3">
      <c r="A33" s="64">
        <v>2010</v>
      </c>
      <c r="B33" s="30">
        <v>1055324</v>
      </c>
      <c r="C33" s="30">
        <v>216274</v>
      </c>
      <c r="D33" s="30">
        <v>23006</v>
      </c>
      <c r="E33" s="30">
        <v>791561</v>
      </c>
      <c r="F33" s="30">
        <v>2638</v>
      </c>
      <c r="G33" s="30">
        <v>21845</v>
      </c>
      <c r="H33" s="18"/>
      <c r="I33" s="18"/>
      <c r="J33" s="18"/>
      <c r="K33" s="18"/>
      <c r="L33" s="18"/>
    </row>
    <row r="34" spans="1:12" x14ac:dyDescent="0.3">
      <c r="A34" s="64">
        <v>2011</v>
      </c>
      <c r="B34" s="30">
        <v>1287614</v>
      </c>
      <c r="C34" s="30">
        <v>318790</v>
      </c>
      <c r="D34" s="30">
        <v>27941</v>
      </c>
      <c r="E34" s="30">
        <v>911268</v>
      </c>
      <c r="F34" s="30">
        <v>3090</v>
      </c>
      <c r="G34" s="30">
        <v>26525</v>
      </c>
      <c r="H34" s="18"/>
      <c r="I34" s="18"/>
      <c r="J34" s="18"/>
      <c r="K34" s="18"/>
      <c r="L34" s="18"/>
    </row>
    <row r="35" spans="1:12" x14ac:dyDescent="0.3">
      <c r="A35" s="64">
        <v>2012</v>
      </c>
      <c r="B35" s="79">
        <v>1464676</v>
      </c>
      <c r="C35" s="79">
        <v>349798</v>
      </c>
      <c r="D35" s="79">
        <v>17519</v>
      </c>
      <c r="E35" s="79">
        <v>1072450</v>
      </c>
      <c r="F35" s="79">
        <v>1672</v>
      </c>
      <c r="G35" s="79">
        <v>23237</v>
      </c>
      <c r="H35" s="18"/>
      <c r="I35" s="18"/>
      <c r="J35" s="18"/>
      <c r="K35" s="18"/>
      <c r="L35" s="18"/>
    </row>
    <row r="36" spans="1:12" x14ac:dyDescent="0.3">
      <c r="A36" s="68">
        <v>2013</v>
      </c>
      <c r="B36" s="79">
        <v>1689245</v>
      </c>
      <c r="C36" s="79">
        <v>373517</v>
      </c>
      <c r="D36" s="79">
        <v>20404</v>
      </c>
      <c r="E36" s="79">
        <v>1267950</v>
      </c>
      <c r="F36" s="79">
        <v>2069</v>
      </c>
      <c r="G36" s="79">
        <v>25305</v>
      </c>
      <c r="H36" s="18"/>
      <c r="I36" s="18"/>
      <c r="J36" s="18"/>
      <c r="K36" s="18"/>
      <c r="L36" s="18"/>
    </row>
    <row r="37" spans="1:12" x14ac:dyDescent="0.3">
      <c r="A37" s="68">
        <v>2014</v>
      </c>
      <c r="B37" s="30">
        <v>1819218</v>
      </c>
      <c r="C37" s="30">
        <v>395013</v>
      </c>
      <c r="D37" s="30">
        <v>23350</v>
      </c>
      <c r="E37" s="30">
        <v>1371032</v>
      </c>
      <c r="F37" s="30">
        <v>2873</v>
      </c>
      <c r="G37" s="30">
        <v>26950</v>
      </c>
      <c r="H37" s="18"/>
      <c r="I37" s="18"/>
      <c r="J37" s="18"/>
      <c r="K37" s="18"/>
      <c r="L37" s="18"/>
    </row>
    <row r="38" spans="1:12" x14ac:dyDescent="0.3">
      <c r="A38" s="83">
        <v>2015</v>
      </c>
      <c r="B38" s="85">
        <v>1915861</v>
      </c>
      <c r="C38" s="85">
        <v>518850</v>
      </c>
      <c r="D38" s="85">
        <v>24119</v>
      </c>
      <c r="E38" s="85">
        <v>1341563</v>
      </c>
      <c r="F38" s="85">
        <v>3031</v>
      </c>
      <c r="G38" s="85">
        <v>28298</v>
      </c>
      <c r="H38" s="18"/>
      <c r="I38" s="18"/>
      <c r="J38" s="18"/>
      <c r="K38" s="18"/>
      <c r="L38" s="18"/>
    </row>
    <row r="39" spans="1:12" x14ac:dyDescent="0.3">
      <c r="A39" s="106">
        <v>2016</v>
      </c>
      <c r="B39" s="107">
        <v>2086786</v>
      </c>
      <c r="C39" s="107">
        <v>610610</v>
      </c>
      <c r="D39" s="107">
        <v>23937</v>
      </c>
      <c r="E39" s="108">
        <v>1419255</v>
      </c>
      <c r="F39" s="107">
        <v>3112</v>
      </c>
      <c r="G39" s="109">
        <v>29872</v>
      </c>
      <c r="H39" s="18"/>
      <c r="I39" s="18"/>
      <c r="J39" s="18"/>
      <c r="K39" s="18"/>
      <c r="L39" s="18"/>
    </row>
    <row r="40" spans="1:12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2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</sheetData>
  <mergeCells count="4">
    <mergeCell ref="A1:G1"/>
    <mergeCell ref="A2:G2"/>
    <mergeCell ref="A3:A4"/>
    <mergeCell ref="B3:B4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opLeftCell="A22" workbookViewId="0">
      <selection activeCell="I44" sqref="I44"/>
    </sheetView>
  </sheetViews>
  <sheetFormatPr defaultColWidth="8.7109375" defaultRowHeight="15" x14ac:dyDescent="0.3"/>
  <cols>
    <col min="2" max="2" width="8.7109375" customWidth="1"/>
    <col min="3" max="5" width="7.5" customWidth="1"/>
    <col min="6" max="7" width="10.5" customWidth="1"/>
  </cols>
  <sheetData>
    <row r="1" spans="1:12" s="17" customFormat="1" ht="35.15" customHeight="1" x14ac:dyDescent="0.5">
      <c r="A1" s="129" t="s">
        <v>8</v>
      </c>
      <c r="B1" s="130"/>
      <c r="C1" s="130"/>
      <c r="D1" s="130"/>
      <c r="E1" s="130"/>
      <c r="F1" s="130"/>
      <c r="G1" s="130"/>
    </row>
    <row r="2" spans="1:12" s="18" customFormat="1" ht="15" customHeight="1" x14ac:dyDescent="0.3">
      <c r="A2" s="135"/>
      <c r="B2" s="136"/>
      <c r="C2" s="136"/>
      <c r="D2" s="136"/>
      <c r="E2" s="136"/>
      <c r="F2" s="136"/>
      <c r="G2" s="136"/>
    </row>
    <row r="3" spans="1:12" ht="28.5" customHeight="1" x14ac:dyDescent="0.3">
      <c r="A3" s="132"/>
      <c r="B3" s="133" t="s">
        <v>9</v>
      </c>
      <c r="C3" s="1"/>
      <c r="D3" s="1"/>
      <c r="E3" s="1"/>
      <c r="F3" s="137" t="s">
        <v>10</v>
      </c>
      <c r="G3" s="137" t="s">
        <v>11</v>
      </c>
      <c r="H3" s="75"/>
      <c r="I3" s="18"/>
      <c r="J3" s="18"/>
      <c r="K3" s="18"/>
      <c r="L3" s="18"/>
    </row>
    <row r="4" spans="1:12" x14ac:dyDescent="0.3">
      <c r="A4" s="132"/>
      <c r="B4" s="134"/>
      <c r="C4" s="76" t="s">
        <v>12</v>
      </c>
      <c r="D4" s="76" t="s">
        <v>13</v>
      </c>
      <c r="E4" s="77" t="s">
        <v>14</v>
      </c>
      <c r="F4" s="138"/>
      <c r="G4" s="138"/>
      <c r="H4" s="75"/>
      <c r="I4" s="18"/>
      <c r="J4" s="18"/>
      <c r="K4" s="18"/>
      <c r="L4" s="18"/>
    </row>
    <row r="5" spans="1:12" x14ac:dyDescent="0.3">
      <c r="A5" s="62">
        <v>1949</v>
      </c>
      <c r="B5" s="18">
        <v>78511</v>
      </c>
      <c r="C5" s="18">
        <v>7964</v>
      </c>
      <c r="D5" s="18">
        <v>37300</v>
      </c>
      <c r="E5" s="18">
        <v>8560</v>
      </c>
      <c r="F5" s="18">
        <v>2179</v>
      </c>
      <c r="G5" s="18"/>
      <c r="H5" s="18"/>
      <c r="I5" s="18"/>
      <c r="J5" s="18"/>
      <c r="K5" s="18"/>
      <c r="L5" s="18"/>
    </row>
    <row r="6" spans="1:12" x14ac:dyDescent="0.3">
      <c r="A6" s="62">
        <v>1952</v>
      </c>
      <c r="B6" s="18">
        <v>119281</v>
      </c>
      <c r="C6" s="18">
        <v>8934</v>
      </c>
      <c r="D6" s="18">
        <v>50123</v>
      </c>
      <c r="E6" s="18">
        <v>29226</v>
      </c>
      <c r="F6" s="18">
        <v>6001</v>
      </c>
      <c r="G6" s="18"/>
      <c r="H6" s="18"/>
      <c r="I6" s="18"/>
      <c r="J6" s="18"/>
      <c r="K6" s="18"/>
      <c r="L6" s="18"/>
    </row>
    <row r="7" spans="1:12" x14ac:dyDescent="0.3">
      <c r="A7" s="62">
        <v>1957</v>
      </c>
      <c r="B7" s="18">
        <v>74727</v>
      </c>
      <c r="C7" s="18">
        <v>12892</v>
      </c>
      <c r="D7" s="18">
        <v>40517</v>
      </c>
      <c r="E7" s="18">
        <v>10937</v>
      </c>
      <c r="F7" s="18">
        <v>7327</v>
      </c>
      <c r="G7" s="18"/>
      <c r="H7" s="18"/>
      <c r="I7" s="18"/>
      <c r="J7" s="18"/>
      <c r="K7" s="18"/>
      <c r="L7" s="18"/>
    </row>
    <row r="8" spans="1:12" x14ac:dyDescent="0.3">
      <c r="A8" s="62">
        <v>1962</v>
      </c>
      <c r="B8" s="18">
        <v>92030</v>
      </c>
      <c r="C8" s="18">
        <v>19078</v>
      </c>
      <c r="D8" s="18">
        <v>50894</v>
      </c>
      <c r="E8" s="18">
        <v>9015</v>
      </c>
      <c r="F8" s="18">
        <v>2506</v>
      </c>
      <c r="G8" s="18"/>
      <c r="H8" s="18"/>
      <c r="I8" s="18"/>
      <c r="J8" s="18"/>
      <c r="K8" s="18"/>
      <c r="L8" s="18"/>
    </row>
    <row r="9" spans="1:12" x14ac:dyDescent="0.3">
      <c r="A9" s="62">
        <v>1965</v>
      </c>
      <c r="B9" s="18">
        <v>117492</v>
      </c>
      <c r="C9" s="18">
        <v>24479</v>
      </c>
      <c r="D9" s="18">
        <v>66853</v>
      </c>
      <c r="E9" s="18">
        <v>10506</v>
      </c>
      <c r="F9" s="18">
        <v>9461</v>
      </c>
      <c r="G9" s="18">
        <v>18713</v>
      </c>
      <c r="H9" s="18"/>
      <c r="I9" s="18"/>
      <c r="J9" s="18"/>
      <c r="K9" s="18"/>
      <c r="L9" s="18"/>
    </row>
    <row r="10" spans="1:12" x14ac:dyDescent="0.3">
      <c r="A10" s="62">
        <v>1970</v>
      </c>
      <c r="B10" s="18">
        <v>130697</v>
      </c>
      <c r="C10" s="18">
        <v>22139</v>
      </c>
      <c r="D10" s="18">
        <v>73610</v>
      </c>
      <c r="E10" s="18">
        <v>11292</v>
      </c>
      <c r="F10" s="18">
        <v>13459</v>
      </c>
      <c r="G10" s="18">
        <v>24795</v>
      </c>
      <c r="H10" s="18"/>
      <c r="I10" s="18"/>
      <c r="J10" s="18"/>
      <c r="K10" s="18"/>
      <c r="L10" s="18"/>
    </row>
    <row r="11" spans="1:12" x14ac:dyDescent="0.3">
      <c r="A11" s="62">
        <v>1975</v>
      </c>
      <c r="B11" s="18">
        <v>133847</v>
      </c>
      <c r="C11" s="18">
        <v>55277</v>
      </c>
      <c r="D11" s="18">
        <v>45420</v>
      </c>
      <c r="E11" s="18">
        <v>15740</v>
      </c>
      <c r="F11" s="18">
        <v>8985</v>
      </c>
      <c r="G11" s="18">
        <v>28503</v>
      </c>
      <c r="H11" s="18"/>
      <c r="I11" s="18"/>
      <c r="J11" s="18"/>
      <c r="K11" s="18"/>
      <c r="L11" s="18"/>
    </row>
    <row r="12" spans="1:12" x14ac:dyDescent="0.3">
      <c r="A12" s="62">
        <v>1978</v>
      </c>
      <c r="B12" s="18">
        <v>127640</v>
      </c>
      <c r="C12" s="18">
        <v>57130</v>
      </c>
      <c r="D12" s="18">
        <v>35609</v>
      </c>
      <c r="E12" s="18">
        <v>18016</v>
      </c>
      <c r="F12" s="18">
        <v>17786</v>
      </c>
      <c r="G12" s="18">
        <v>39365</v>
      </c>
      <c r="H12" s="18"/>
      <c r="I12" s="18"/>
      <c r="J12" s="18"/>
      <c r="K12" s="18"/>
      <c r="L12" s="18"/>
    </row>
    <row r="13" spans="1:12" x14ac:dyDescent="0.3">
      <c r="A13" s="62">
        <v>1979</v>
      </c>
      <c r="B13" s="18">
        <v>154600</v>
      </c>
      <c r="C13" s="18">
        <v>68321</v>
      </c>
      <c r="D13" s="18">
        <v>58591</v>
      </c>
      <c r="E13" s="18">
        <v>13961</v>
      </c>
      <c r="F13" s="18">
        <v>18759</v>
      </c>
      <c r="G13" s="18">
        <v>39812</v>
      </c>
      <c r="H13" s="18"/>
      <c r="I13" s="18"/>
      <c r="J13" s="18"/>
      <c r="K13" s="18"/>
      <c r="L13" s="18"/>
    </row>
    <row r="14" spans="1:12" x14ac:dyDescent="0.3">
      <c r="A14" s="62">
        <v>1980</v>
      </c>
      <c r="B14" s="18">
        <v>66911</v>
      </c>
      <c r="C14" s="18">
        <v>36576</v>
      </c>
      <c r="D14" s="18">
        <v>19711</v>
      </c>
      <c r="E14" s="18">
        <v>6066</v>
      </c>
      <c r="F14" s="18">
        <v>7478</v>
      </c>
      <c r="G14" s="18">
        <v>40796</v>
      </c>
      <c r="H14" s="18"/>
      <c r="I14" s="18"/>
      <c r="J14" s="18"/>
      <c r="K14" s="18"/>
      <c r="L14" s="18"/>
    </row>
    <row r="15" spans="1:12" x14ac:dyDescent="0.3">
      <c r="A15" s="62">
        <v>1981</v>
      </c>
      <c r="B15" s="18">
        <v>56709</v>
      </c>
      <c r="C15" s="18">
        <v>27819</v>
      </c>
      <c r="D15" s="18">
        <v>16882</v>
      </c>
      <c r="E15" s="18">
        <v>5929</v>
      </c>
      <c r="F15" s="18">
        <v>6526</v>
      </c>
      <c r="G15" s="18">
        <v>36919</v>
      </c>
      <c r="H15" s="18"/>
      <c r="I15" s="18"/>
      <c r="J15" s="18"/>
      <c r="K15" s="18"/>
      <c r="L15" s="18"/>
    </row>
    <row r="16" spans="1:12" x14ac:dyDescent="0.3">
      <c r="A16" s="62">
        <v>1982</v>
      </c>
      <c r="B16" s="18">
        <v>150852</v>
      </c>
      <c r="C16" s="18">
        <v>73788</v>
      </c>
      <c r="D16" s="18">
        <v>49528</v>
      </c>
      <c r="E16" s="18">
        <v>13283</v>
      </c>
      <c r="F16" s="18">
        <v>17160</v>
      </c>
      <c r="G16" s="18">
        <v>43919</v>
      </c>
      <c r="H16" s="18"/>
      <c r="I16" s="18"/>
      <c r="J16" s="18"/>
      <c r="K16" s="18"/>
      <c r="L16" s="18"/>
    </row>
    <row r="17" spans="1:12" x14ac:dyDescent="0.3">
      <c r="A17" s="62">
        <v>1983</v>
      </c>
      <c r="B17" s="18">
        <v>65183</v>
      </c>
      <c r="C17" s="18">
        <v>29342</v>
      </c>
      <c r="D17" s="18">
        <v>16113</v>
      </c>
      <c r="E17" s="18">
        <v>11389</v>
      </c>
      <c r="F17" s="18">
        <v>9789</v>
      </c>
      <c r="G17" s="18">
        <v>31082</v>
      </c>
      <c r="H17" s="18"/>
      <c r="I17" s="18"/>
      <c r="J17" s="18"/>
      <c r="K17" s="18"/>
      <c r="L17" s="18"/>
    </row>
    <row r="18" spans="1:12" x14ac:dyDescent="0.3">
      <c r="A18" s="62">
        <v>1984</v>
      </c>
      <c r="B18" s="18">
        <v>145976</v>
      </c>
      <c r="C18" s="18">
        <v>74281</v>
      </c>
      <c r="D18" s="18">
        <v>40705</v>
      </c>
      <c r="E18" s="18">
        <v>22429</v>
      </c>
      <c r="F18" s="18">
        <v>19191</v>
      </c>
      <c r="G18" s="18">
        <v>50540</v>
      </c>
      <c r="H18" s="18"/>
      <c r="I18" s="18"/>
      <c r="J18" s="18"/>
      <c r="K18" s="18"/>
      <c r="L18" s="18"/>
    </row>
    <row r="19" spans="1:12" x14ac:dyDescent="0.3">
      <c r="A19" s="62">
        <v>1985</v>
      </c>
      <c r="B19" s="18">
        <v>145967</v>
      </c>
      <c r="C19" s="18">
        <v>73463</v>
      </c>
      <c r="D19" s="18">
        <v>37433</v>
      </c>
      <c r="E19" s="18">
        <v>29034</v>
      </c>
      <c r="F19" s="18">
        <v>25251</v>
      </c>
      <c r="G19" s="18">
        <v>41614</v>
      </c>
      <c r="H19" s="18"/>
      <c r="I19" s="18"/>
      <c r="J19" s="18"/>
      <c r="K19" s="18"/>
      <c r="L19" s="18"/>
    </row>
    <row r="20" spans="1:12" x14ac:dyDescent="0.3">
      <c r="A20" s="62">
        <v>1986</v>
      </c>
      <c r="B20" s="18">
        <v>67866</v>
      </c>
      <c r="C20" s="18">
        <v>37842</v>
      </c>
      <c r="D20" s="18">
        <v>10722</v>
      </c>
      <c r="E20" s="18">
        <v>16966</v>
      </c>
      <c r="F20" s="18">
        <v>10288</v>
      </c>
      <c r="G20" s="18">
        <v>28043</v>
      </c>
      <c r="H20" s="18"/>
      <c r="I20" s="18"/>
      <c r="J20" s="18"/>
      <c r="K20" s="18"/>
      <c r="L20" s="18"/>
    </row>
    <row r="21" spans="1:12" x14ac:dyDescent="0.3">
      <c r="A21" s="62">
        <v>1987</v>
      </c>
      <c r="B21" s="18">
        <v>57842</v>
      </c>
      <c r="C21" s="18">
        <v>35312</v>
      </c>
      <c r="D21" s="18">
        <v>7608</v>
      </c>
      <c r="E21" s="18">
        <v>11997</v>
      </c>
      <c r="F21" s="18">
        <v>8977</v>
      </c>
      <c r="G21" s="18">
        <v>34718</v>
      </c>
      <c r="H21" s="18"/>
      <c r="I21" s="18"/>
      <c r="J21" s="18"/>
      <c r="K21" s="18"/>
      <c r="L21" s="18"/>
    </row>
    <row r="22" spans="1:12" x14ac:dyDescent="0.3">
      <c r="A22" s="62">
        <v>1988</v>
      </c>
      <c r="B22" s="18">
        <v>117907</v>
      </c>
      <c r="C22" s="18">
        <v>64954</v>
      </c>
      <c r="D22" s="18">
        <v>19143</v>
      </c>
      <c r="E22" s="18">
        <v>28183</v>
      </c>
      <c r="F22" s="18">
        <v>17064</v>
      </c>
      <c r="G22" s="18">
        <v>41731</v>
      </c>
      <c r="H22" s="18"/>
      <c r="I22" s="18"/>
      <c r="J22" s="18"/>
      <c r="K22" s="18"/>
      <c r="L22" s="18"/>
    </row>
    <row r="23" spans="1:12" x14ac:dyDescent="0.3">
      <c r="A23" s="62">
        <v>1989</v>
      </c>
      <c r="B23" s="18">
        <v>78516</v>
      </c>
      <c r="C23" s="18">
        <v>50735</v>
      </c>
      <c r="D23" s="18">
        <v>8484</v>
      </c>
      <c r="E23" s="18">
        <v>13873</v>
      </c>
      <c r="F23" s="18">
        <v>9009</v>
      </c>
      <c r="G23" s="18">
        <v>48125</v>
      </c>
      <c r="H23" s="18"/>
      <c r="I23" s="18"/>
      <c r="J23" s="18"/>
      <c r="K23" s="18"/>
      <c r="L23" s="18"/>
    </row>
    <row r="24" spans="1:12" x14ac:dyDescent="0.3">
      <c r="A24" s="62">
        <v>1990</v>
      </c>
      <c r="B24" s="18">
        <v>189756</v>
      </c>
      <c r="C24" s="18">
        <v>113301</v>
      </c>
      <c r="D24" s="18">
        <v>29132</v>
      </c>
      <c r="E24" s="18">
        <v>30482</v>
      </c>
      <c r="F24" s="18">
        <v>23085</v>
      </c>
      <c r="G24" s="18">
        <v>81573</v>
      </c>
      <c r="H24" s="18"/>
      <c r="I24" s="18"/>
      <c r="J24" s="18"/>
      <c r="K24" s="18"/>
      <c r="L24" s="18"/>
    </row>
    <row r="25" spans="1:12" x14ac:dyDescent="0.3">
      <c r="A25" s="62">
        <v>1991</v>
      </c>
      <c r="B25" s="18">
        <v>183306</v>
      </c>
      <c r="C25" s="18">
        <v>119846</v>
      </c>
      <c r="D25" s="18">
        <v>27408</v>
      </c>
      <c r="E25" s="18">
        <v>23729</v>
      </c>
      <c r="F25" s="18">
        <v>27073</v>
      </c>
      <c r="G25" s="18">
        <v>49933</v>
      </c>
      <c r="H25" s="18"/>
      <c r="I25" s="18"/>
      <c r="J25" s="18"/>
      <c r="K25" s="18"/>
      <c r="L25" s="18"/>
    </row>
    <row r="26" spans="1:12" x14ac:dyDescent="0.3">
      <c r="A26" s="62">
        <v>1992</v>
      </c>
      <c r="B26" s="18">
        <v>200226</v>
      </c>
      <c r="C26" s="18">
        <v>127351</v>
      </c>
      <c r="D26" s="18">
        <v>26502</v>
      </c>
      <c r="E26" s="18">
        <v>30073</v>
      </c>
      <c r="F26" s="18">
        <v>27684</v>
      </c>
      <c r="G26" s="18">
        <v>61823</v>
      </c>
      <c r="H26" s="18"/>
      <c r="I26" s="18"/>
      <c r="J26" s="18"/>
      <c r="K26" s="18"/>
      <c r="L26" s="18"/>
    </row>
    <row r="27" spans="1:12" x14ac:dyDescent="0.3">
      <c r="A27" s="62">
        <v>1993</v>
      </c>
      <c r="B27" s="18">
        <v>188078</v>
      </c>
      <c r="C27" s="18">
        <v>107298</v>
      </c>
      <c r="D27" s="18">
        <v>19990</v>
      </c>
      <c r="E27" s="18">
        <v>27918</v>
      </c>
      <c r="F27" s="18">
        <v>15439</v>
      </c>
      <c r="G27" s="18">
        <v>79987</v>
      </c>
      <c r="H27" s="18"/>
      <c r="I27" s="18"/>
      <c r="J27" s="18"/>
      <c r="K27" s="18"/>
      <c r="L27" s="18"/>
    </row>
    <row r="28" spans="1:12" x14ac:dyDescent="0.3">
      <c r="A28" s="62">
        <v>1994</v>
      </c>
      <c r="B28" s="18">
        <v>181665</v>
      </c>
      <c r="C28" s="18">
        <v>92674</v>
      </c>
      <c r="D28" s="18">
        <v>20258</v>
      </c>
      <c r="E28" s="18">
        <v>31678</v>
      </c>
      <c r="F28" s="18">
        <v>18787</v>
      </c>
      <c r="G28" s="18">
        <v>48930</v>
      </c>
      <c r="H28" s="18"/>
      <c r="I28" s="18"/>
      <c r="J28" s="18"/>
      <c r="K28" s="18"/>
      <c r="L28" s="18"/>
    </row>
    <row r="29" spans="1:12" x14ac:dyDescent="0.3">
      <c r="A29" s="64">
        <v>1995</v>
      </c>
      <c r="B29" s="30">
        <v>234958</v>
      </c>
      <c r="C29" s="30">
        <v>132510</v>
      </c>
      <c r="D29" s="30">
        <v>28507</v>
      </c>
      <c r="E29" s="30">
        <v>40954</v>
      </c>
      <c r="F29" s="30">
        <v>22145</v>
      </c>
      <c r="G29" s="30">
        <v>76482</v>
      </c>
      <c r="H29" s="18"/>
      <c r="I29" s="18"/>
      <c r="J29" s="18"/>
      <c r="K29" s="18"/>
      <c r="L29" s="18"/>
    </row>
    <row r="30" spans="1:12" x14ac:dyDescent="0.3">
      <c r="A30" s="62">
        <v>1996</v>
      </c>
      <c r="B30" s="18">
        <v>254169</v>
      </c>
      <c r="C30" s="18">
        <v>152175</v>
      </c>
      <c r="D30" s="18">
        <v>29773</v>
      </c>
      <c r="E30" s="18">
        <v>41859</v>
      </c>
      <c r="F30" s="18">
        <v>21674</v>
      </c>
      <c r="G30" s="18">
        <v>83185</v>
      </c>
      <c r="H30" s="18"/>
      <c r="I30" s="18"/>
      <c r="J30" s="18"/>
      <c r="K30" s="18"/>
      <c r="L30" s="18"/>
    </row>
    <row r="31" spans="1:12" x14ac:dyDescent="0.3">
      <c r="A31" s="62">
        <v>1997</v>
      </c>
      <c r="B31" s="18">
        <v>163671</v>
      </c>
      <c r="C31" s="18">
        <v>96834</v>
      </c>
      <c r="D31" s="18">
        <v>19410</v>
      </c>
      <c r="E31" s="18">
        <v>24433</v>
      </c>
      <c r="F31" s="18">
        <v>9087</v>
      </c>
      <c r="G31" s="18">
        <v>103455</v>
      </c>
      <c r="H31" s="18"/>
      <c r="I31" s="18"/>
      <c r="J31" s="18"/>
      <c r="K31" s="18"/>
      <c r="L31" s="18"/>
    </row>
    <row r="32" spans="1:12" x14ac:dyDescent="0.3">
      <c r="A32" s="62">
        <v>1998</v>
      </c>
      <c r="B32" s="18">
        <v>272973</v>
      </c>
      <c r="C32" s="18">
        <v>138800</v>
      </c>
      <c r="D32" s="18">
        <v>38504</v>
      </c>
      <c r="E32" s="18">
        <v>43346</v>
      </c>
      <c r="F32" s="18">
        <v>30028</v>
      </c>
      <c r="G32" s="18">
        <v>182239</v>
      </c>
      <c r="H32" s="18"/>
      <c r="I32" s="18"/>
      <c r="J32" s="18"/>
      <c r="K32" s="18"/>
      <c r="L32" s="18"/>
    </row>
    <row r="33" spans="1:12" x14ac:dyDescent="0.3">
      <c r="A33" s="62">
        <v>1999</v>
      </c>
      <c r="B33" s="18">
        <v>238746</v>
      </c>
      <c r="C33" s="18">
        <v>88797</v>
      </c>
      <c r="D33" s="18">
        <v>23828</v>
      </c>
      <c r="E33" s="18">
        <v>67469</v>
      </c>
      <c r="F33" s="18">
        <v>38145</v>
      </c>
      <c r="G33" s="18">
        <v>516873</v>
      </c>
      <c r="H33" s="18"/>
      <c r="I33" s="18"/>
      <c r="J33" s="18"/>
      <c r="K33" s="18"/>
      <c r="L33" s="18"/>
    </row>
    <row r="34" spans="1:12" x14ac:dyDescent="0.3">
      <c r="A34" s="62">
        <v>2000</v>
      </c>
      <c r="B34" s="18">
        <v>81888</v>
      </c>
      <c r="C34" s="18">
        <v>34532</v>
      </c>
      <c r="D34" s="18">
        <v>1430</v>
      </c>
      <c r="E34" s="18">
        <v>30197</v>
      </c>
      <c r="F34" s="18">
        <v>10616</v>
      </c>
      <c r="G34" s="18">
        <v>843967</v>
      </c>
      <c r="H34" s="18"/>
      <c r="I34" s="18"/>
      <c r="J34" s="18"/>
      <c r="K34" s="18"/>
      <c r="L34" s="18"/>
    </row>
    <row r="35" spans="1:12" x14ac:dyDescent="0.3">
      <c r="A35" s="62">
        <v>2001</v>
      </c>
      <c r="B35" s="18">
        <v>54946</v>
      </c>
      <c r="C35" s="18">
        <v>16834</v>
      </c>
      <c r="D35" s="18">
        <v>773</v>
      </c>
      <c r="E35" s="18">
        <v>27882</v>
      </c>
      <c r="F35" s="18">
        <v>5093</v>
      </c>
      <c r="G35" s="18">
        <v>620722</v>
      </c>
      <c r="H35" s="18"/>
      <c r="I35" s="18"/>
      <c r="J35" s="18"/>
      <c r="K35" s="18"/>
      <c r="L35" s="18"/>
    </row>
    <row r="36" spans="1:12" x14ac:dyDescent="0.3">
      <c r="A36" s="62">
        <v>2002</v>
      </c>
      <c r="B36" s="18">
        <v>102186</v>
      </c>
      <c r="C36" s="18">
        <v>15418</v>
      </c>
      <c r="D36" s="18">
        <v>2839</v>
      </c>
      <c r="E36" s="18">
        <v>40845</v>
      </c>
      <c r="F36" s="18">
        <v>9472</v>
      </c>
      <c r="G36" s="18">
        <v>695942</v>
      </c>
      <c r="H36" s="18"/>
      <c r="I36" s="18"/>
      <c r="J36" s="18"/>
      <c r="K36" s="18"/>
      <c r="L36" s="18"/>
    </row>
    <row r="37" spans="1:12" x14ac:dyDescent="0.3">
      <c r="A37" s="62">
        <v>2003</v>
      </c>
      <c r="B37" s="18">
        <v>146149</v>
      </c>
      <c r="C37" s="18">
        <v>9236</v>
      </c>
      <c r="D37" s="18">
        <v>7097</v>
      </c>
      <c r="E37" s="18">
        <v>73249</v>
      </c>
      <c r="F37" s="18">
        <v>12692</v>
      </c>
      <c r="G37" s="18">
        <v>645112</v>
      </c>
      <c r="H37" s="18"/>
      <c r="I37" s="18"/>
      <c r="J37" s="18"/>
      <c r="K37" s="18"/>
      <c r="L37" s="18"/>
    </row>
    <row r="38" spans="1:12" x14ac:dyDescent="0.3">
      <c r="A38" s="62">
        <v>2004</v>
      </c>
      <c r="B38" s="18">
        <v>204485</v>
      </c>
      <c r="C38" s="18">
        <v>33369</v>
      </c>
      <c r="D38" s="18">
        <v>14454</v>
      </c>
      <c r="E38" s="18">
        <v>83203</v>
      </c>
      <c r="F38" s="18">
        <v>13478</v>
      </c>
      <c r="G38" s="18">
        <v>710565</v>
      </c>
      <c r="H38" s="18"/>
      <c r="I38" s="18"/>
      <c r="J38" s="18"/>
      <c r="K38" s="18"/>
      <c r="L38" s="18"/>
    </row>
    <row r="39" spans="1:12" x14ac:dyDescent="0.3">
      <c r="A39" s="62">
        <v>2005</v>
      </c>
      <c r="B39" s="18">
        <v>173831</v>
      </c>
      <c r="C39" s="18">
        <v>46918</v>
      </c>
      <c r="D39" s="18">
        <v>10780</v>
      </c>
      <c r="E39" s="18">
        <v>77058</v>
      </c>
      <c r="F39" s="18">
        <v>14043</v>
      </c>
      <c r="G39" s="18">
        <v>634137</v>
      </c>
      <c r="H39" s="18"/>
      <c r="I39" s="18"/>
      <c r="J39" s="18"/>
      <c r="K39" s="18"/>
      <c r="L39" s="18"/>
    </row>
    <row r="40" spans="1:12" x14ac:dyDescent="0.3">
      <c r="A40" s="64">
        <v>2006</v>
      </c>
      <c r="B40" s="30">
        <v>230000</v>
      </c>
      <c r="C40" s="30">
        <v>68547</v>
      </c>
      <c r="D40" s="30">
        <v>26801</v>
      </c>
      <c r="E40" s="30">
        <v>86918</v>
      </c>
      <c r="F40" s="30">
        <v>14477</v>
      </c>
      <c r="G40" s="30">
        <v>784495</v>
      </c>
      <c r="H40" s="18"/>
      <c r="I40" s="18"/>
      <c r="J40" s="18"/>
      <c r="K40" s="18"/>
      <c r="L40" s="18"/>
    </row>
    <row r="41" spans="1:12" ht="14.25" customHeight="1" x14ac:dyDescent="0.3">
      <c r="A41" s="64">
        <v>2007</v>
      </c>
      <c r="B41" s="30">
        <v>114148</v>
      </c>
      <c r="C41" s="30">
        <v>19051</v>
      </c>
      <c r="D41" s="30">
        <v>7039</v>
      </c>
      <c r="E41" s="30">
        <v>70346</v>
      </c>
      <c r="F41" s="30">
        <v>2514</v>
      </c>
      <c r="G41" s="30">
        <v>714903</v>
      </c>
      <c r="H41" s="18"/>
      <c r="I41" s="18"/>
      <c r="J41" s="18"/>
      <c r="K41" s="18"/>
      <c r="L41" s="18"/>
    </row>
    <row r="42" spans="1:12" ht="14.25" customHeight="1" x14ac:dyDescent="0.3">
      <c r="A42" s="64">
        <v>2008</v>
      </c>
      <c r="B42" s="30">
        <v>275535</v>
      </c>
      <c r="C42" s="30">
        <v>54546</v>
      </c>
      <c r="D42" s="30">
        <v>12887</v>
      </c>
      <c r="E42" s="30">
        <v>154051</v>
      </c>
      <c r="F42" s="30">
        <v>6332</v>
      </c>
      <c r="G42" s="30">
        <v>822574</v>
      </c>
      <c r="H42" s="18"/>
      <c r="I42" s="18"/>
      <c r="J42" s="18"/>
      <c r="K42" s="18"/>
      <c r="L42" s="18"/>
    </row>
    <row r="43" spans="1:12" x14ac:dyDescent="0.3">
      <c r="A43" s="64">
        <v>2009</v>
      </c>
      <c r="B43" s="30">
        <v>260595</v>
      </c>
      <c r="C43" s="30">
        <v>45462</v>
      </c>
      <c r="D43" s="30">
        <v>801</v>
      </c>
      <c r="E43" s="30">
        <v>172443</v>
      </c>
      <c r="F43" s="30">
        <v>7846</v>
      </c>
      <c r="G43" s="30">
        <v>890744</v>
      </c>
      <c r="H43" s="18"/>
      <c r="I43" s="18"/>
      <c r="J43" s="18"/>
      <c r="K43" s="18"/>
      <c r="L43" s="18"/>
    </row>
    <row r="44" spans="1:12" s="29" customFormat="1" x14ac:dyDescent="0.3">
      <c r="A44" s="64">
        <v>2010</v>
      </c>
      <c r="B44" s="30">
        <v>265449</v>
      </c>
      <c r="C44" s="30">
        <v>37818</v>
      </c>
      <c r="D44" s="30"/>
      <c r="E44" s="30">
        <v>195879</v>
      </c>
      <c r="F44" s="30">
        <v>9048</v>
      </c>
      <c r="G44" s="30">
        <v>921295</v>
      </c>
      <c r="H44" s="30"/>
      <c r="I44" s="30"/>
      <c r="J44" s="30"/>
      <c r="K44" s="30"/>
      <c r="L44" s="30"/>
    </row>
    <row r="45" spans="1:12" x14ac:dyDescent="0.3">
      <c r="A45" s="64">
        <v>2011</v>
      </c>
      <c r="B45" s="30">
        <v>301505</v>
      </c>
      <c r="C45" s="30">
        <v>54721</v>
      </c>
      <c r="D45" s="30">
        <v>2121</v>
      </c>
      <c r="E45" s="30">
        <v>200896</v>
      </c>
      <c r="F45" s="30">
        <v>14028</v>
      </c>
      <c r="G45" s="30">
        <v>925593</v>
      </c>
      <c r="H45" s="18"/>
      <c r="I45" s="18"/>
      <c r="J45" s="18"/>
      <c r="K45" s="18"/>
      <c r="L45" s="18"/>
    </row>
    <row r="46" spans="1:12" x14ac:dyDescent="0.3">
      <c r="A46" s="78">
        <v>2012</v>
      </c>
      <c r="B46" s="79">
        <v>326506</v>
      </c>
      <c r="C46" s="79">
        <v>84414</v>
      </c>
      <c r="D46" s="79">
        <v>12376</v>
      </c>
      <c r="E46" s="79">
        <v>209463</v>
      </c>
      <c r="F46" s="79">
        <v>12323</v>
      </c>
      <c r="G46" s="79">
        <v>903395</v>
      </c>
      <c r="H46" s="18"/>
      <c r="I46" s="18"/>
      <c r="J46" s="18"/>
      <c r="K46" s="18"/>
      <c r="L46" s="18"/>
    </row>
    <row r="47" spans="1:12" x14ac:dyDescent="0.3">
      <c r="A47" s="64">
        <v>2013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3">
      <c r="A48" s="64">
        <v>2014</v>
      </c>
      <c r="B48" s="18">
        <v>360000</v>
      </c>
      <c r="C48" s="18">
        <v>90678</v>
      </c>
      <c r="D48" s="18">
        <v>38017</v>
      </c>
      <c r="E48" s="18">
        <v>221236</v>
      </c>
      <c r="F48" s="18">
        <v>20122</v>
      </c>
      <c r="G48" s="18">
        <v>1029709</v>
      </c>
      <c r="H48" s="18"/>
      <c r="I48" s="18"/>
      <c r="J48" s="18"/>
      <c r="K48" s="18"/>
      <c r="L48" s="18"/>
    </row>
    <row r="49" spans="1:12" x14ac:dyDescent="0.3">
      <c r="A49" s="83">
        <v>2015</v>
      </c>
      <c r="B49" s="83">
        <v>370000</v>
      </c>
      <c r="C49" s="83">
        <v>85689</v>
      </c>
      <c r="D49" s="83">
        <v>20116</v>
      </c>
      <c r="E49" s="83">
        <v>238217</v>
      </c>
      <c r="F49" s="83">
        <v>23478</v>
      </c>
      <c r="G49" s="83">
        <v>1133343</v>
      </c>
      <c r="H49" s="18"/>
      <c r="I49" s="18"/>
      <c r="J49" s="18"/>
      <c r="K49" s="18"/>
      <c r="L49" s="18"/>
    </row>
    <row r="50" spans="1:12" x14ac:dyDescent="0.3">
      <c r="A50" s="105">
        <v>2016</v>
      </c>
      <c r="B50" s="105">
        <v>368492</v>
      </c>
      <c r="C50" s="105">
        <v>54949</v>
      </c>
      <c r="D50" s="105">
        <v>24784</v>
      </c>
      <c r="E50" s="105">
        <v>24800</v>
      </c>
      <c r="F50" s="105">
        <v>24421.5</v>
      </c>
      <c r="G50" s="105">
        <v>1134086.8</v>
      </c>
      <c r="H50" s="18"/>
      <c r="I50" s="18"/>
      <c r="J50" s="18"/>
      <c r="K50" s="18"/>
      <c r="L50" s="18"/>
    </row>
    <row r="51" spans="1:12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</sheetData>
  <mergeCells count="6">
    <mergeCell ref="A1:G1"/>
    <mergeCell ref="A2:G2"/>
    <mergeCell ref="A3:A4"/>
    <mergeCell ref="B3:B4"/>
    <mergeCell ref="F3:F4"/>
    <mergeCell ref="G3:G4"/>
  </mergeCells>
  <phoneticPr fontId="3" type="noConversion"/>
  <printOptions horizontalCentered="1"/>
  <pageMargins left="0.6692913385826772" right="0.62992125984251968" top="0" bottom="0.6692913385826772" header="0.51181102362204722" footer="0.51181102362204722"/>
  <pageSetup paperSize="256" orientation="portrait" horizontalDpi="3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opLeftCell="A13" workbookViewId="0">
      <selection activeCell="K41" sqref="K41"/>
    </sheetView>
  </sheetViews>
  <sheetFormatPr defaultColWidth="8.7109375" defaultRowHeight="15" x14ac:dyDescent="0.3"/>
  <cols>
    <col min="1" max="1" width="8.7109375" style="49"/>
    <col min="2" max="2" width="8.7109375" style="49" customWidth="1"/>
    <col min="3" max="5" width="6.5" style="49" customWidth="1"/>
    <col min="6" max="8" width="6.640625" style="49" customWidth="1"/>
    <col min="9" max="9" width="6.640625" style="70" customWidth="1"/>
    <col min="10" max="10" width="6.640625" style="49" customWidth="1"/>
  </cols>
  <sheetData>
    <row r="1" spans="1:12" s="17" customFormat="1" ht="35.15" customHeight="1" x14ac:dyDescent="0.5">
      <c r="A1" s="142"/>
      <c r="B1" s="143"/>
      <c r="C1" s="143"/>
      <c r="D1" s="143"/>
      <c r="E1" s="143"/>
      <c r="F1" s="143"/>
      <c r="G1" s="143"/>
      <c r="H1" s="71"/>
      <c r="I1" s="74"/>
      <c r="J1" s="71"/>
    </row>
    <row r="2" spans="1:12" s="18" customFormat="1" ht="15" customHeight="1" x14ac:dyDescent="0.3">
      <c r="A2" s="144" t="s">
        <v>15</v>
      </c>
      <c r="B2" s="144"/>
      <c r="C2" s="144"/>
      <c r="D2" s="144"/>
      <c r="E2" s="144"/>
      <c r="F2" s="144"/>
      <c r="G2" s="144"/>
      <c r="H2" s="55"/>
      <c r="I2" s="73"/>
      <c r="J2" s="55"/>
    </row>
    <row r="3" spans="1:12" ht="19.5" customHeight="1" x14ac:dyDescent="0.3">
      <c r="A3" s="145"/>
      <c r="B3" s="146" t="s">
        <v>16</v>
      </c>
      <c r="C3" s="72"/>
      <c r="D3" s="72"/>
      <c r="E3" s="72"/>
      <c r="F3" s="146" t="s">
        <v>17</v>
      </c>
      <c r="G3" s="146" t="s">
        <v>18</v>
      </c>
      <c r="H3" s="139" t="s">
        <v>19</v>
      </c>
      <c r="I3" s="140" t="s">
        <v>20</v>
      </c>
      <c r="J3" s="141" t="s">
        <v>21</v>
      </c>
      <c r="K3" s="18"/>
      <c r="L3" s="18"/>
    </row>
    <row r="4" spans="1:12" x14ac:dyDescent="0.3">
      <c r="A4" s="145"/>
      <c r="B4" s="147"/>
      <c r="C4" s="3" t="s">
        <v>22</v>
      </c>
      <c r="D4" s="3" t="s">
        <v>23</v>
      </c>
      <c r="E4" s="2" t="s">
        <v>24</v>
      </c>
      <c r="F4" s="147"/>
      <c r="G4" s="147"/>
      <c r="H4" s="139"/>
      <c r="I4" s="140"/>
      <c r="J4" s="141"/>
      <c r="K4" s="18"/>
      <c r="L4" s="18"/>
    </row>
    <row r="5" spans="1:12" x14ac:dyDescent="0.3">
      <c r="A5" s="57">
        <v>1981</v>
      </c>
      <c r="B5" s="88">
        <v>22301</v>
      </c>
      <c r="C5" s="57">
        <v>1754</v>
      </c>
      <c r="D5" s="57">
        <v>6007</v>
      </c>
      <c r="E5" s="57">
        <v>14540</v>
      </c>
      <c r="F5" s="57">
        <v>7525</v>
      </c>
      <c r="G5" s="57">
        <v>172</v>
      </c>
      <c r="H5" s="89">
        <v>5.2</v>
      </c>
      <c r="I5" s="89">
        <v>65.599999999999994</v>
      </c>
      <c r="J5" s="57">
        <v>11555</v>
      </c>
      <c r="K5" s="18"/>
      <c r="L5" s="18"/>
    </row>
    <row r="6" spans="1:12" x14ac:dyDescent="0.3">
      <c r="A6" s="57">
        <v>1982</v>
      </c>
      <c r="B6" s="86">
        <v>33040</v>
      </c>
      <c r="C6" s="57">
        <v>3223</v>
      </c>
      <c r="D6" s="57">
        <v>10886</v>
      </c>
      <c r="E6" s="57">
        <v>18931</v>
      </c>
      <c r="F6" s="57">
        <v>9360</v>
      </c>
      <c r="G6" s="57">
        <v>152</v>
      </c>
      <c r="H6" s="89">
        <v>4.3</v>
      </c>
      <c r="I6" s="89">
        <v>78.5</v>
      </c>
      <c r="J6" s="57">
        <v>21343</v>
      </c>
      <c r="K6" s="18"/>
      <c r="L6" s="18"/>
    </row>
    <row r="7" spans="1:12" x14ac:dyDescent="0.3">
      <c r="A7" s="57">
        <v>1983</v>
      </c>
      <c r="B7" s="86">
        <v>41390</v>
      </c>
      <c r="C7" s="57">
        <v>4159</v>
      </c>
      <c r="D7" s="57">
        <v>15860</v>
      </c>
      <c r="E7" s="57">
        <v>21371</v>
      </c>
      <c r="F7" s="57">
        <v>10075</v>
      </c>
      <c r="G7" s="57">
        <v>177</v>
      </c>
      <c r="H7" s="89">
        <v>4.5999999999999996</v>
      </c>
      <c r="I7" s="89">
        <v>73</v>
      </c>
      <c r="J7" s="57">
        <v>24145</v>
      </c>
      <c r="K7" s="18"/>
      <c r="L7" s="18"/>
    </row>
    <row r="8" spans="1:12" x14ac:dyDescent="0.3">
      <c r="A8" s="57">
        <v>1984</v>
      </c>
      <c r="B8" s="86">
        <v>45021</v>
      </c>
      <c r="C8" s="57">
        <v>4886</v>
      </c>
      <c r="D8" s="57">
        <v>15927</v>
      </c>
      <c r="E8" s="57">
        <v>24208</v>
      </c>
      <c r="F8" s="57">
        <v>11013</v>
      </c>
      <c r="G8" s="57">
        <v>172</v>
      </c>
      <c r="H8" s="89">
        <v>3.8</v>
      </c>
      <c r="I8" s="89">
        <v>64.7</v>
      </c>
      <c r="J8" s="57">
        <v>29906</v>
      </c>
      <c r="K8" s="18"/>
      <c r="L8" s="18"/>
    </row>
    <row r="9" spans="1:12" x14ac:dyDescent="0.3">
      <c r="A9" s="57">
        <v>1985</v>
      </c>
      <c r="B9" s="86">
        <v>49650</v>
      </c>
      <c r="C9" s="57">
        <v>4694</v>
      </c>
      <c r="D9" s="57">
        <v>17013</v>
      </c>
      <c r="E9" s="57">
        <v>27943</v>
      </c>
      <c r="F9" s="57">
        <v>11054</v>
      </c>
      <c r="G9" s="57">
        <v>157</v>
      </c>
      <c r="H9" s="89">
        <v>5.8</v>
      </c>
      <c r="I9" s="89">
        <v>89.7</v>
      </c>
      <c r="J9" s="57">
        <v>41422</v>
      </c>
      <c r="K9" s="18"/>
      <c r="L9" s="18"/>
    </row>
    <row r="10" spans="1:12" x14ac:dyDescent="0.3">
      <c r="A10" s="57">
        <v>1986</v>
      </c>
      <c r="B10" s="86">
        <v>42476</v>
      </c>
      <c r="C10" s="57">
        <v>4117</v>
      </c>
      <c r="D10" s="57">
        <v>15544</v>
      </c>
      <c r="E10" s="57">
        <v>22815</v>
      </c>
      <c r="F10" s="57">
        <v>10066</v>
      </c>
      <c r="G10" s="57">
        <v>165</v>
      </c>
      <c r="H10" s="89">
        <v>11.7</v>
      </c>
      <c r="I10" s="89">
        <v>96</v>
      </c>
      <c r="J10" s="57">
        <v>36827</v>
      </c>
      <c r="K10" s="18"/>
      <c r="L10" s="18"/>
    </row>
    <row r="11" spans="1:12" x14ac:dyDescent="0.3">
      <c r="A11" s="57">
        <v>1987</v>
      </c>
      <c r="B11" s="86">
        <v>48626</v>
      </c>
      <c r="C11" s="57">
        <v>4852</v>
      </c>
      <c r="D11" s="57">
        <v>20318</v>
      </c>
      <c r="E11" s="57">
        <v>23456</v>
      </c>
      <c r="F11" s="57">
        <v>11106</v>
      </c>
      <c r="G11" s="57">
        <v>195</v>
      </c>
      <c r="H11" s="89">
        <v>14.2</v>
      </c>
      <c r="I11" s="89">
        <v>113.3</v>
      </c>
      <c r="J11" s="57">
        <v>46866</v>
      </c>
      <c r="K11" s="18"/>
      <c r="L11" s="18"/>
    </row>
    <row r="12" spans="1:12" x14ac:dyDescent="0.3">
      <c r="A12" s="57">
        <v>1988</v>
      </c>
      <c r="B12" s="86">
        <v>42195</v>
      </c>
      <c r="C12" s="57">
        <v>3869</v>
      </c>
      <c r="D12" s="57">
        <v>17742</v>
      </c>
      <c r="E12" s="57">
        <v>20584</v>
      </c>
      <c r="F12" s="57">
        <v>11569</v>
      </c>
      <c r="G12" s="57">
        <v>227</v>
      </c>
      <c r="H12" s="89">
        <v>13.1</v>
      </c>
      <c r="I12" s="89">
        <v>107.1</v>
      </c>
      <c r="J12" s="57">
        <v>56888</v>
      </c>
      <c r="K12" s="18"/>
      <c r="L12" s="18"/>
    </row>
    <row r="13" spans="1:12" x14ac:dyDescent="0.3">
      <c r="A13" s="57">
        <v>1989</v>
      </c>
      <c r="B13" s="86">
        <v>61614</v>
      </c>
      <c r="C13" s="57">
        <v>3931</v>
      </c>
      <c r="D13" s="57">
        <v>25178</v>
      </c>
      <c r="E13" s="57">
        <v>32505</v>
      </c>
      <c r="F13" s="57">
        <v>12445</v>
      </c>
      <c r="G13" s="57">
        <v>282</v>
      </c>
      <c r="H13" s="89">
        <v>15.8</v>
      </c>
      <c r="I13" s="89">
        <v>168.5</v>
      </c>
      <c r="J13" s="57">
        <v>68046</v>
      </c>
      <c r="K13" s="18"/>
      <c r="L13" s="18"/>
    </row>
    <row r="14" spans="1:12" x14ac:dyDescent="0.3">
      <c r="A14" s="57">
        <v>1990</v>
      </c>
      <c r="B14" s="86">
        <v>63981</v>
      </c>
      <c r="C14" s="57">
        <v>4235</v>
      </c>
      <c r="D14" s="57">
        <v>24849</v>
      </c>
      <c r="E14" s="57">
        <v>34897</v>
      </c>
      <c r="F14" s="57">
        <v>12253</v>
      </c>
      <c r="G14" s="57">
        <v>366</v>
      </c>
      <c r="H14" s="89">
        <v>18.600000000000001</v>
      </c>
      <c r="I14" s="89">
        <v>181.1</v>
      </c>
      <c r="J14" s="57">
        <v>89158</v>
      </c>
      <c r="K14" s="18"/>
      <c r="L14" s="18"/>
    </row>
    <row r="15" spans="1:12" x14ac:dyDescent="0.3">
      <c r="A15" s="57">
        <v>1991</v>
      </c>
      <c r="B15" s="86">
        <v>79049</v>
      </c>
      <c r="C15" s="57">
        <v>5256</v>
      </c>
      <c r="D15" s="57">
        <v>27534</v>
      </c>
      <c r="E15" s="57">
        <v>46259</v>
      </c>
      <c r="F15" s="57">
        <v>12971</v>
      </c>
      <c r="G15" s="57">
        <v>414</v>
      </c>
      <c r="H15" s="89">
        <v>16.3</v>
      </c>
      <c r="I15" s="89">
        <v>201.7</v>
      </c>
      <c r="J15" s="57">
        <v>92135</v>
      </c>
      <c r="K15" s="18"/>
      <c r="L15" s="18"/>
    </row>
    <row r="16" spans="1:12" x14ac:dyDescent="0.3">
      <c r="A16" s="57">
        <v>1992</v>
      </c>
      <c r="B16" s="86">
        <v>76111</v>
      </c>
      <c r="C16" s="57">
        <v>5649</v>
      </c>
      <c r="D16" s="57">
        <v>25688</v>
      </c>
      <c r="E16" s="57">
        <v>44774</v>
      </c>
      <c r="F16" s="57">
        <v>13207</v>
      </c>
      <c r="G16" s="57">
        <v>428</v>
      </c>
      <c r="H16" s="89">
        <v>17</v>
      </c>
      <c r="I16" s="89">
        <v>198.8</v>
      </c>
      <c r="J16" s="57">
        <v>96336</v>
      </c>
      <c r="K16" s="18"/>
      <c r="L16" s="18"/>
    </row>
    <row r="17" spans="1:12" x14ac:dyDescent="0.3">
      <c r="A17" s="57">
        <v>1993</v>
      </c>
      <c r="B17" s="86">
        <v>80747</v>
      </c>
      <c r="C17" s="57">
        <v>6820</v>
      </c>
      <c r="D17" s="57">
        <v>31099</v>
      </c>
      <c r="E17" s="57">
        <v>42828</v>
      </c>
      <c r="F17" s="57">
        <v>12583</v>
      </c>
      <c r="G17" s="57">
        <v>472</v>
      </c>
      <c r="H17" s="89">
        <v>17.899999999999999</v>
      </c>
      <c r="I17" s="89">
        <v>157.1</v>
      </c>
      <c r="J17" s="57">
        <v>99746</v>
      </c>
      <c r="K17" s="18"/>
      <c r="L17" s="18"/>
    </row>
    <row r="18" spans="1:12" x14ac:dyDescent="0.3">
      <c r="A18" s="57">
        <v>1994</v>
      </c>
      <c r="B18" s="86">
        <v>82616</v>
      </c>
      <c r="C18" s="57">
        <v>7710</v>
      </c>
      <c r="D18" s="57">
        <v>31535</v>
      </c>
      <c r="E18" s="57">
        <v>43371</v>
      </c>
      <c r="F18" s="57">
        <v>13234</v>
      </c>
      <c r="G18" s="57">
        <v>518</v>
      </c>
      <c r="H18" s="89">
        <v>18.3</v>
      </c>
      <c r="I18" s="89">
        <v>169.8</v>
      </c>
      <c r="J18" s="57">
        <v>109702</v>
      </c>
      <c r="K18" s="18"/>
      <c r="L18" s="18"/>
    </row>
    <row r="19" spans="1:12" x14ac:dyDescent="0.3">
      <c r="A19" s="57">
        <v>1995</v>
      </c>
      <c r="B19" s="86">
        <v>91944</v>
      </c>
      <c r="C19" s="57">
        <v>9388</v>
      </c>
      <c r="D19" s="57">
        <v>28445</v>
      </c>
      <c r="E19" s="57">
        <v>54111</v>
      </c>
      <c r="F19" s="57">
        <v>14034</v>
      </c>
      <c r="G19" s="57">
        <v>612</v>
      </c>
      <c r="H19" s="89">
        <v>18.7</v>
      </c>
      <c r="I19" s="89">
        <v>218.7</v>
      </c>
      <c r="J19" s="57">
        <v>122031</v>
      </c>
      <c r="K19" s="18"/>
      <c r="L19" s="18"/>
    </row>
    <row r="20" spans="1:12" x14ac:dyDescent="0.3">
      <c r="A20" s="57">
        <v>1996</v>
      </c>
      <c r="B20" s="86">
        <v>115714</v>
      </c>
      <c r="C20" s="57">
        <v>8091</v>
      </c>
      <c r="D20" s="57">
        <v>34915</v>
      </c>
      <c r="E20" s="57">
        <v>66144</v>
      </c>
      <c r="F20" s="57">
        <v>14940</v>
      </c>
      <c r="G20" s="57">
        <v>732</v>
      </c>
      <c r="H20" s="89">
        <v>23.4</v>
      </c>
      <c r="I20" s="89">
        <v>267.39999999999998</v>
      </c>
      <c r="J20" s="57">
        <v>135525</v>
      </c>
      <c r="K20" s="18"/>
      <c r="L20" s="18"/>
    </row>
    <row r="21" spans="1:12" x14ac:dyDescent="0.3">
      <c r="A21" s="57">
        <v>1997</v>
      </c>
      <c r="B21" s="86">
        <v>152516</v>
      </c>
      <c r="C21" s="57">
        <v>7350</v>
      </c>
      <c r="D21" s="57">
        <v>49089</v>
      </c>
      <c r="E21" s="57">
        <v>85052</v>
      </c>
      <c r="F21" s="57">
        <v>15197</v>
      </c>
      <c r="G21" s="57">
        <v>832</v>
      </c>
      <c r="H21" s="89">
        <v>32.200000000000003</v>
      </c>
      <c r="I21" s="89">
        <v>329.6</v>
      </c>
      <c r="J21" s="57">
        <v>141744</v>
      </c>
      <c r="K21" s="18"/>
      <c r="L21" s="18"/>
    </row>
    <row r="22" spans="1:12" x14ac:dyDescent="0.3">
      <c r="A22" s="57">
        <v>1998</v>
      </c>
      <c r="B22" s="86">
        <v>158530</v>
      </c>
      <c r="C22" s="57">
        <v>9174</v>
      </c>
      <c r="D22" s="57">
        <v>46329</v>
      </c>
      <c r="E22" s="57">
        <v>91579</v>
      </c>
      <c r="F22" s="57">
        <v>14699</v>
      </c>
      <c r="G22" s="57">
        <v>898</v>
      </c>
      <c r="H22" s="89">
        <v>35.700000000000003</v>
      </c>
      <c r="I22" s="89">
        <v>405.1</v>
      </c>
      <c r="J22" s="57">
        <v>162202</v>
      </c>
      <c r="K22" s="18"/>
      <c r="L22" s="18"/>
    </row>
    <row r="23" spans="1:12" x14ac:dyDescent="0.3">
      <c r="A23" s="57">
        <v>1999</v>
      </c>
      <c r="B23" s="86">
        <v>168164</v>
      </c>
      <c r="C23" s="57">
        <v>9601</v>
      </c>
      <c r="D23" s="57">
        <v>46163</v>
      </c>
      <c r="E23" s="57">
        <v>103574</v>
      </c>
      <c r="F23" s="57">
        <v>15633</v>
      </c>
      <c r="G23" s="57">
        <v>924</v>
      </c>
      <c r="H23" s="89">
        <v>35.299999999999997</v>
      </c>
      <c r="I23" s="89">
        <v>458.9</v>
      </c>
      <c r="J23" s="57">
        <v>167990</v>
      </c>
      <c r="K23" s="18"/>
      <c r="L23" s="18"/>
    </row>
    <row r="24" spans="1:12" x14ac:dyDescent="0.3">
      <c r="A24" s="57">
        <v>2000</v>
      </c>
      <c r="B24" s="86">
        <v>208116</v>
      </c>
      <c r="C24" s="57">
        <v>8304</v>
      </c>
      <c r="D24" s="57">
        <v>68164</v>
      </c>
      <c r="E24" s="57">
        <v>120072</v>
      </c>
      <c r="F24" s="57">
        <v>15602</v>
      </c>
      <c r="G24" s="57">
        <v>893</v>
      </c>
      <c r="H24" s="89">
        <v>54.5</v>
      </c>
      <c r="I24" s="89">
        <v>581.6</v>
      </c>
      <c r="J24" s="57">
        <v>142887</v>
      </c>
      <c r="K24" s="18"/>
      <c r="L24" s="18"/>
    </row>
    <row r="25" spans="1:12" x14ac:dyDescent="0.3">
      <c r="A25" s="57">
        <v>2001</v>
      </c>
      <c r="B25" s="86">
        <v>185344</v>
      </c>
      <c r="C25" s="57">
        <v>6929</v>
      </c>
      <c r="D25" s="57">
        <v>54235</v>
      </c>
      <c r="E25" s="57">
        <v>111921</v>
      </c>
      <c r="F25" s="57">
        <v>12845</v>
      </c>
      <c r="G25" s="57">
        <v>844</v>
      </c>
      <c r="H25" s="89">
        <v>48.5</v>
      </c>
      <c r="I25" s="89">
        <v>550.6</v>
      </c>
      <c r="J25" s="57">
        <v>125535</v>
      </c>
      <c r="K25" s="18"/>
      <c r="L25" s="18"/>
    </row>
    <row r="26" spans="1:12" x14ac:dyDescent="0.3">
      <c r="A26" s="57">
        <v>2002</v>
      </c>
      <c r="B26" s="86">
        <v>141400</v>
      </c>
      <c r="C26" s="57">
        <v>6959</v>
      </c>
      <c r="D26" s="57">
        <v>25785</v>
      </c>
      <c r="E26" s="57">
        <v>102155</v>
      </c>
      <c r="F26" s="57">
        <v>11529</v>
      </c>
      <c r="G26" s="57">
        <v>934</v>
      </c>
      <c r="H26" s="89">
        <v>19.8</v>
      </c>
      <c r="I26" s="89">
        <v>409.3</v>
      </c>
      <c r="J26" s="57">
        <v>113072</v>
      </c>
      <c r="K26" s="18"/>
      <c r="L26" s="18"/>
    </row>
    <row r="27" spans="1:12" x14ac:dyDescent="0.3">
      <c r="A27" s="57">
        <v>2003</v>
      </c>
      <c r="B27" s="86">
        <v>164993</v>
      </c>
      <c r="C27" s="57">
        <v>5022</v>
      </c>
      <c r="D27" s="57">
        <v>28425</v>
      </c>
      <c r="E27" s="57">
        <v>125817</v>
      </c>
      <c r="F27" s="57">
        <v>12756</v>
      </c>
      <c r="G27" s="57">
        <v>1036</v>
      </c>
      <c r="H27" s="89">
        <v>20.5</v>
      </c>
      <c r="I27" s="89">
        <v>533.70000000000005</v>
      </c>
      <c r="J27" s="57">
        <v>128338</v>
      </c>
      <c r="K27" s="18"/>
      <c r="L27" s="18"/>
    </row>
    <row r="28" spans="1:12" x14ac:dyDescent="0.3">
      <c r="A28" s="57">
        <v>2004</v>
      </c>
      <c r="B28" s="86">
        <v>170755</v>
      </c>
      <c r="C28" s="57">
        <v>4033</v>
      </c>
      <c r="D28" s="57">
        <v>32901</v>
      </c>
      <c r="E28" s="57">
        <v>128500</v>
      </c>
      <c r="F28" s="57">
        <v>12790</v>
      </c>
      <c r="G28" s="57">
        <v>892</v>
      </c>
      <c r="H28" s="89">
        <v>23.8</v>
      </c>
      <c r="I28" s="89">
        <v>589.9</v>
      </c>
      <c r="J28" s="57">
        <v>193764</v>
      </c>
      <c r="K28" s="18"/>
      <c r="L28" s="18"/>
    </row>
    <row r="29" spans="1:12" x14ac:dyDescent="0.3">
      <c r="A29" s="57">
        <v>2005</v>
      </c>
      <c r="B29" s="86">
        <v>177296</v>
      </c>
      <c r="C29" s="58">
        <v>5907</v>
      </c>
      <c r="D29" s="58">
        <v>44906</v>
      </c>
      <c r="E29" s="58">
        <v>122210</v>
      </c>
      <c r="F29" s="58">
        <v>12505</v>
      </c>
      <c r="G29" s="58">
        <v>739</v>
      </c>
      <c r="H29" s="89">
        <v>30</v>
      </c>
      <c r="I29" s="89">
        <v>591.5</v>
      </c>
      <c r="J29" s="57">
        <v>266837</v>
      </c>
      <c r="K29" s="18"/>
      <c r="L29" s="18"/>
    </row>
    <row r="30" spans="1:12" x14ac:dyDescent="0.3">
      <c r="A30" s="57">
        <v>2006</v>
      </c>
      <c r="B30" s="86">
        <v>186425</v>
      </c>
      <c r="C30" s="57">
        <v>6583</v>
      </c>
      <c r="D30" s="57">
        <v>44819</v>
      </c>
      <c r="E30" s="57">
        <v>130932</v>
      </c>
      <c r="F30" s="57">
        <v>12700</v>
      </c>
      <c r="G30" s="57">
        <v>671</v>
      </c>
      <c r="H30" s="89">
        <v>28.9</v>
      </c>
      <c r="I30" s="89">
        <v>580.1</v>
      </c>
      <c r="J30" s="57">
        <v>338700</v>
      </c>
      <c r="K30" s="18"/>
      <c r="L30" s="18"/>
    </row>
    <row r="31" spans="1:12" x14ac:dyDescent="0.3">
      <c r="A31" s="58">
        <v>2007</v>
      </c>
      <c r="B31" s="86">
        <v>192113</v>
      </c>
      <c r="C31" s="58">
        <v>5499</v>
      </c>
      <c r="D31" s="58">
        <v>52654</v>
      </c>
      <c r="E31" s="58">
        <v>128983</v>
      </c>
      <c r="F31" s="58">
        <v>11144</v>
      </c>
      <c r="G31" s="58">
        <v>736</v>
      </c>
      <c r="H31" s="90">
        <v>32.9</v>
      </c>
      <c r="I31" s="90">
        <v>603.9</v>
      </c>
      <c r="J31" s="58">
        <v>396475</v>
      </c>
      <c r="K31" s="18"/>
      <c r="L31" s="18"/>
    </row>
    <row r="32" spans="1:12" x14ac:dyDescent="0.3">
      <c r="A32" s="58">
        <v>2008</v>
      </c>
      <c r="B32" s="86">
        <v>178101</v>
      </c>
      <c r="C32" s="58">
        <v>4753</v>
      </c>
      <c r="D32" s="58">
        <v>58296</v>
      </c>
      <c r="E32" s="58">
        <v>108634</v>
      </c>
      <c r="F32" s="58">
        <v>9089</v>
      </c>
      <c r="G32" s="58">
        <v>748</v>
      </c>
      <c r="H32" s="58">
        <v>35.770000000000003</v>
      </c>
      <c r="I32" s="90">
        <v>401.49</v>
      </c>
      <c r="J32" s="58">
        <v>468441</v>
      </c>
      <c r="K32" s="18"/>
      <c r="L32" s="18"/>
    </row>
    <row r="33" spans="1:12" ht="12" customHeight="1" x14ac:dyDescent="0.3">
      <c r="A33" s="58">
        <v>2009</v>
      </c>
      <c r="B33" s="86">
        <v>210164</v>
      </c>
      <c r="C33" s="58">
        <v>4823</v>
      </c>
      <c r="D33" s="58">
        <v>76007</v>
      </c>
      <c r="E33" s="58">
        <v>121826</v>
      </c>
      <c r="F33" s="58">
        <v>10468</v>
      </c>
      <c r="G33" s="58">
        <v>806</v>
      </c>
      <c r="H33" s="58">
        <v>36.880000000000003</v>
      </c>
      <c r="I33" s="90">
        <v>482.98</v>
      </c>
      <c r="J33" s="58">
        <v>525020</v>
      </c>
      <c r="K33" s="18"/>
      <c r="L33" s="18"/>
    </row>
    <row r="34" spans="1:12" ht="12" customHeight="1" x14ac:dyDescent="0.3">
      <c r="A34" s="58">
        <v>2010</v>
      </c>
      <c r="B34" s="86">
        <v>240241</v>
      </c>
      <c r="C34" s="58">
        <v>8225</v>
      </c>
      <c r="D34" s="58">
        <v>110801</v>
      </c>
      <c r="E34" s="58">
        <v>113161</v>
      </c>
      <c r="F34" s="58">
        <v>11967</v>
      </c>
      <c r="G34" s="58">
        <v>812</v>
      </c>
      <c r="H34" s="58">
        <v>62.48</v>
      </c>
      <c r="I34" s="90">
        <v>570.29</v>
      </c>
      <c r="J34" s="58">
        <v>555896</v>
      </c>
      <c r="K34" s="18"/>
      <c r="L34" s="18"/>
    </row>
    <row r="35" spans="1:12" x14ac:dyDescent="0.3">
      <c r="A35" s="58">
        <v>2011</v>
      </c>
      <c r="B35" s="86">
        <v>244822</v>
      </c>
      <c r="C35" s="58">
        <v>8225</v>
      </c>
      <c r="D35" s="58">
        <v>111375</v>
      </c>
      <c r="E35" s="58">
        <v>115694</v>
      </c>
      <c r="F35" s="58">
        <v>12043</v>
      </c>
      <c r="G35" s="58">
        <v>737</v>
      </c>
      <c r="H35" s="58">
        <v>63.85</v>
      </c>
      <c r="I35" s="90">
        <v>500.39</v>
      </c>
      <c r="J35" s="58">
        <v>564717</v>
      </c>
      <c r="K35" s="18"/>
      <c r="L35" s="18"/>
    </row>
    <row r="36" spans="1:12" ht="14.25" customHeight="1" x14ac:dyDescent="0.3">
      <c r="A36" s="58">
        <v>2012</v>
      </c>
      <c r="B36" s="86">
        <v>256847</v>
      </c>
      <c r="C36" s="58">
        <v>8136</v>
      </c>
      <c r="D36" s="58">
        <v>120578</v>
      </c>
      <c r="E36" s="58">
        <v>117612</v>
      </c>
      <c r="F36" s="58">
        <v>8299</v>
      </c>
      <c r="G36" s="58">
        <v>342</v>
      </c>
      <c r="H36" s="58">
        <v>7.04</v>
      </c>
      <c r="I36" s="90">
        <v>548.92999999999995</v>
      </c>
      <c r="J36" s="58">
        <v>577036</v>
      </c>
      <c r="K36" s="18"/>
      <c r="L36" s="18"/>
    </row>
    <row r="37" spans="1:12" x14ac:dyDescent="0.3">
      <c r="A37" s="58">
        <v>2013</v>
      </c>
      <c r="B37" s="86">
        <v>263542</v>
      </c>
      <c r="C37" s="58">
        <v>10206</v>
      </c>
      <c r="D37" s="58">
        <v>118122</v>
      </c>
      <c r="E37" s="58">
        <v>125962</v>
      </c>
      <c r="F37" s="58">
        <v>10134</v>
      </c>
      <c r="G37" s="58">
        <v>177</v>
      </c>
      <c r="H37" s="58">
        <v>59.72</v>
      </c>
      <c r="I37" s="90">
        <v>557.97</v>
      </c>
      <c r="J37" s="58">
        <v>601683</v>
      </c>
      <c r="K37" s="30"/>
      <c r="L37" s="18"/>
    </row>
    <row r="38" spans="1:12" x14ac:dyDescent="0.3">
      <c r="A38" s="58">
        <v>2014</v>
      </c>
      <c r="B38" s="86">
        <v>269526</v>
      </c>
      <c r="C38" s="58">
        <v>10413</v>
      </c>
      <c r="D38" s="58">
        <v>105774</v>
      </c>
      <c r="E38" s="58">
        <v>145579</v>
      </c>
      <c r="F38" s="58">
        <v>12053</v>
      </c>
      <c r="G38" s="58">
        <v>234</v>
      </c>
      <c r="H38" s="58">
        <v>44.69</v>
      </c>
      <c r="I38" s="58">
        <v>741</v>
      </c>
      <c r="J38" s="58">
        <v>613605</v>
      </c>
      <c r="K38" s="30"/>
      <c r="L38" s="18"/>
    </row>
    <row r="39" spans="1:12" x14ac:dyDescent="0.3">
      <c r="A39" s="83">
        <v>2015</v>
      </c>
      <c r="B39" s="87">
        <v>266097</v>
      </c>
      <c r="C39" s="83">
        <v>8136</v>
      </c>
      <c r="D39" s="83">
        <v>116137</v>
      </c>
      <c r="E39" s="83">
        <v>133124</v>
      </c>
      <c r="F39" s="83">
        <v>13084</v>
      </c>
      <c r="G39" s="83">
        <v>240</v>
      </c>
      <c r="H39" s="83">
        <v>54.84</v>
      </c>
      <c r="I39" s="84">
        <v>625.4</v>
      </c>
      <c r="J39" s="83">
        <v>624742</v>
      </c>
      <c r="K39" s="18"/>
      <c r="L39" s="18"/>
    </row>
    <row r="40" spans="1:12" x14ac:dyDescent="0.3">
      <c r="A40" s="110">
        <v>2016</v>
      </c>
      <c r="B40" s="110">
        <v>313278.37</v>
      </c>
      <c r="C40" s="110">
        <v>8748</v>
      </c>
      <c r="D40" s="110">
        <v>123393</v>
      </c>
      <c r="E40" s="110">
        <v>161652</v>
      </c>
      <c r="F40" s="110">
        <v>15516</v>
      </c>
      <c r="G40" s="110">
        <v>248</v>
      </c>
      <c r="H40" s="110">
        <v>57.59</v>
      </c>
      <c r="I40" s="111">
        <v>950.49</v>
      </c>
      <c r="J40" s="110">
        <v>618366</v>
      </c>
      <c r="K40" s="18"/>
      <c r="L40" s="18"/>
    </row>
    <row r="41" spans="1:12" x14ac:dyDescent="0.3">
      <c r="A41" s="55"/>
      <c r="B41" s="55"/>
      <c r="C41" s="55"/>
      <c r="D41" s="55"/>
      <c r="E41" s="55"/>
      <c r="F41" s="55"/>
      <c r="G41" s="55"/>
      <c r="H41" s="55"/>
      <c r="I41" s="73"/>
      <c r="J41" s="55"/>
      <c r="K41" s="18"/>
      <c r="L41" s="18"/>
    </row>
    <row r="42" spans="1:12" x14ac:dyDescent="0.3">
      <c r="A42" s="55"/>
      <c r="B42" s="55"/>
      <c r="C42" s="55"/>
      <c r="D42" s="55"/>
      <c r="E42" s="55"/>
      <c r="F42" s="55"/>
      <c r="G42" s="55"/>
      <c r="H42" s="55"/>
      <c r="I42" s="73"/>
      <c r="J42" s="55"/>
      <c r="K42" s="18"/>
      <c r="L42" s="18"/>
    </row>
    <row r="43" spans="1:12" x14ac:dyDescent="0.3">
      <c r="A43" s="55"/>
      <c r="B43" s="55"/>
      <c r="C43" s="55"/>
      <c r="D43" s="55"/>
      <c r="E43" s="55"/>
      <c r="F43" s="55"/>
      <c r="G43" s="55"/>
      <c r="H43" s="55"/>
      <c r="I43" s="73"/>
      <c r="J43" s="55"/>
      <c r="K43" s="18"/>
      <c r="L43" s="18"/>
    </row>
    <row r="44" spans="1:12" x14ac:dyDescent="0.3">
      <c r="A44" s="55"/>
      <c r="B44" s="55"/>
      <c r="C44" s="55"/>
      <c r="D44" s="55"/>
      <c r="E44" s="55"/>
      <c r="F44" s="55"/>
      <c r="G44" s="55"/>
      <c r="H44" s="55"/>
      <c r="I44" s="73"/>
      <c r="J44" s="55"/>
      <c r="K44" s="18"/>
      <c r="L44" s="18"/>
    </row>
    <row r="45" spans="1:12" x14ac:dyDescent="0.3">
      <c r="A45" s="55"/>
      <c r="B45" s="55"/>
      <c r="C45" s="55"/>
      <c r="D45" s="55"/>
      <c r="E45" s="55"/>
      <c r="F45" s="55"/>
      <c r="G45" s="55"/>
      <c r="H45" s="55"/>
      <c r="I45" s="73"/>
      <c r="J45" s="55"/>
      <c r="K45" s="18"/>
      <c r="L45" s="18"/>
    </row>
    <row r="46" spans="1:12" x14ac:dyDescent="0.3">
      <c r="A46" s="55"/>
      <c r="B46" s="55"/>
      <c r="C46" s="55"/>
      <c r="D46" s="55"/>
      <c r="E46" s="55"/>
      <c r="F46" s="55"/>
      <c r="G46" s="55"/>
      <c r="H46" s="55"/>
      <c r="I46" s="73"/>
      <c r="J46" s="55"/>
      <c r="K46" s="18"/>
      <c r="L46" s="18"/>
    </row>
    <row r="47" spans="1:12" x14ac:dyDescent="0.3">
      <c r="A47" s="55"/>
      <c r="B47" s="55"/>
      <c r="C47" s="55"/>
      <c r="D47" s="55"/>
      <c r="E47" s="55"/>
      <c r="F47" s="55"/>
      <c r="G47" s="55"/>
      <c r="H47" s="55"/>
      <c r="I47" s="73"/>
      <c r="J47" s="55"/>
      <c r="K47" s="18"/>
      <c r="L47" s="18"/>
    </row>
    <row r="48" spans="1:12" x14ac:dyDescent="0.3">
      <c r="A48" s="55"/>
      <c r="B48" s="55"/>
      <c r="C48" s="55"/>
      <c r="D48" s="55"/>
      <c r="E48" s="55"/>
      <c r="F48" s="55"/>
      <c r="G48" s="55"/>
      <c r="H48" s="55"/>
      <c r="I48" s="73"/>
      <c r="J48" s="55"/>
      <c r="K48" s="18"/>
      <c r="L48" s="18"/>
    </row>
    <row r="49" spans="1:12" x14ac:dyDescent="0.3">
      <c r="A49" s="55"/>
      <c r="B49" s="55"/>
      <c r="C49" s="55"/>
      <c r="D49" s="55"/>
      <c r="E49" s="55"/>
      <c r="F49" s="55"/>
      <c r="G49" s="55"/>
      <c r="H49" s="55"/>
      <c r="I49" s="73"/>
      <c r="J49" s="55"/>
      <c r="K49" s="18"/>
      <c r="L49" s="18"/>
    </row>
    <row r="50" spans="1:12" x14ac:dyDescent="0.3">
      <c r="A50" s="55"/>
      <c r="B50" s="55"/>
      <c r="C50" s="55"/>
      <c r="D50" s="55"/>
      <c r="E50" s="55"/>
      <c r="F50" s="55"/>
      <c r="G50" s="55"/>
      <c r="H50" s="55"/>
      <c r="I50" s="73"/>
      <c r="J50" s="55"/>
      <c r="K50" s="18"/>
      <c r="L50" s="18"/>
    </row>
    <row r="51" spans="1:12" x14ac:dyDescent="0.3">
      <c r="A51" s="55"/>
      <c r="B51" s="55"/>
      <c r="C51" s="55"/>
      <c r="D51" s="55"/>
      <c r="E51" s="55"/>
      <c r="F51" s="55"/>
      <c r="G51" s="55"/>
      <c r="H51" s="55"/>
      <c r="I51" s="73"/>
      <c r="J51" s="55"/>
      <c r="K51" s="18"/>
      <c r="L51" s="18"/>
    </row>
    <row r="52" spans="1:12" x14ac:dyDescent="0.3">
      <c r="A52" s="55"/>
      <c r="B52" s="55"/>
      <c r="C52" s="55"/>
      <c r="D52" s="55"/>
      <c r="E52" s="55"/>
      <c r="F52" s="55"/>
      <c r="G52" s="55"/>
      <c r="H52" s="55"/>
      <c r="I52" s="73"/>
      <c r="J52" s="55"/>
      <c r="K52" s="18"/>
      <c r="L52" s="18"/>
    </row>
    <row r="53" spans="1:12" x14ac:dyDescent="0.3">
      <c r="A53" s="55"/>
      <c r="B53" s="55"/>
      <c r="C53" s="55"/>
      <c r="D53" s="55"/>
      <c r="E53" s="55"/>
      <c r="F53" s="55"/>
      <c r="G53" s="55"/>
      <c r="H53" s="55"/>
      <c r="I53" s="73"/>
      <c r="J53" s="55"/>
      <c r="K53" s="18"/>
      <c r="L53" s="18"/>
    </row>
    <row r="54" spans="1:12" x14ac:dyDescent="0.3">
      <c r="A54" s="55"/>
      <c r="B54" s="55"/>
      <c r="C54" s="55"/>
      <c r="D54" s="55"/>
      <c r="E54" s="55"/>
      <c r="F54" s="55"/>
      <c r="G54" s="55"/>
      <c r="H54" s="55"/>
      <c r="I54" s="73"/>
      <c r="J54" s="55"/>
      <c r="K54" s="18"/>
      <c r="L54" s="18"/>
    </row>
    <row r="55" spans="1:12" x14ac:dyDescent="0.3">
      <c r="A55" s="55"/>
      <c r="B55" s="55"/>
      <c r="C55" s="55"/>
      <c r="D55" s="55"/>
      <c r="E55" s="55"/>
      <c r="F55" s="55"/>
      <c r="G55" s="55"/>
      <c r="H55" s="55"/>
      <c r="I55" s="73"/>
      <c r="J55" s="55"/>
      <c r="K55" s="18"/>
      <c r="L55" s="18"/>
    </row>
    <row r="56" spans="1:12" x14ac:dyDescent="0.3">
      <c r="A56" s="55"/>
      <c r="B56" s="55"/>
      <c r="C56" s="55"/>
      <c r="D56" s="55"/>
      <c r="E56" s="55"/>
      <c r="F56" s="55"/>
      <c r="G56" s="55"/>
      <c r="H56" s="55"/>
      <c r="I56" s="73"/>
      <c r="J56" s="55"/>
      <c r="K56" s="18"/>
      <c r="L56" s="18"/>
    </row>
    <row r="57" spans="1:12" x14ac:dyDescent="0.3">
      <c r="A57" s="55"/>
      <c r="B57" s="55"/>
      <c r="C57" s="55"/>
      <c r="D57" s="55"/>
      <c r="E57" s="55"/>
      <c r="F57" s="55"/>
      <c r="G57" s="55"/>
      <c r="H57" s="55"/>
      <c r="I57" s="73"/>
      <c r="J57" s="55"/>
      <c r="K57" s="18"/>
      <c r="L57" s="18"/>
    </row>
    <row r="58" spans="1:12" x14ac:dyDescent="0.3">
      <c r="A58" s="55"/>
      <c r="B58" s="55"/>
      <c r="C58" s="55"/>
      <c r="D58" s="55"/>
      <c r="E58" s="55"/>
      <c r="F58" s="55"/>
      <c r="G58" s="55"/>
      <c r="H58" s="55"/>
      <c r="I58" s="73"/>
      <c r="J58" s="55"/>
      <c r="K58" s="18"/>
      <c r="L58" s="18"/>
    </row>
    <row r="59" spans="1:12" x14ac:dyDescent="0.3">
      <c r="A59" s="55"/>
      <c r="B59" s="55"/>
      <c r="C59" s="55"/>
      <c r="D59" s="55"/>
      <c r="E59" s="55"/>
      <c r="F59" s="55"/>
      <c r="G59" s="55"/>
      <c r="H59" s="55"/>
      <c r="I59" s="73"/>
      <c r="J59" s="55"/>
      <c r="K59" s="18"/>
      <c r="L59" s="18"/>
    </row>
    <row r="60" spans="1:12" x14ac:dyDescent="0.3">
      <c r="A60" s="55"/>
      <c r="B60" s="55"/>
      <c r="C60" s="55"/>
      <c r="D60" s="55"/>
      <c r="E60" s="55"/>
      <c r="F60" s="55"/>
      <c r="G60" s="55"/>
      <c r="H60" s="55"/>
      <c r="I60" s="73"/>
      <c r="J60" s="55"/>
      <c r="K60" s="18"/>
      <c r="L60" s="18"/>
    </row>
    <row r="61" spans="1:12" x14ac:dyDescent="0.3">
      <c r="A61" s="55"/>
      <c r="B61" s="55"/>
      <c r="C61" s="55"/>
      <c r="D61" s="55"/>
      <c r="E61" s="55"/>
      <c r="F61" s="55"/>
      <c r="G61" s="55"/>
      <c r="H61" s="55"/>
      <c r="I61" s="73"/>
      <c r="J61" s="55"/>
      <c r="K61" s="18"/>
      <c r="L61" s="18"/>
    </row>
    <row r="62" spans="1:12" x14ac:dyDescent="0.3">
      <c r="A62" s="55"/>
      <c r="B62" s="55"/>
      <c r="C62" s="55"/>
      <c r="D62" s="55"/>
      <c r="E62" s="55"/>
      <c r="F62" s="55"/>
      <c r="G62" s="55"/>
      <c r="H62" s="55"/>
      <c r="I62" s="73"/>
      <c r="J62" s="55"/>
      <c r="K62" s="18"/>
      <c r="L62" s="18"/>
    </row>
    <row r="63" spans="1:12" x14ac:dyDescent="0.3">
      <c r="A63" s="55"/>
      <c r="B63" s="55"/>
      <c r="C63" s="55"/>
      <c r="D63" s="55"/>
      <c r="E63" s="55"/>
      <c r="F63" s="55"/>
      <c r="G63" s="55"/>
      <c r="H63" s="55"/>
      <c r="I63" s="73"/>
      <c r="J63" s="55"/>
      <c r="K63" s="18"/>
      <c r="L63" s="18"/>
    </row>
    <row r="64" spans="1:12" x14ac:dyDescent="0.3">
      <c r="A64" s="55"/>
      <c r="B64" s="55"/>
      <c r="C64" s="55"/>
      <c r="D64" s="55"/>
      <c r="E64" s="55"/>
      <c r="F64" s="55"/>
      <c r="G64" s="55"/>
      <c r="H64" s="55"/>
      <c r="I64" s="73"/>
      <c r="J64" s="55"/>
      <c r="K64" s="18"/>
      <c r="L64" s="18"/>
    </row>
    <row r="65" spans="1:12" x14ac:dyDescent="0.3">
      <c r="A65" s="55"/>
      <c r="B65" s="55"/>
      <c r="C65" s="55"/>
      <c r="D65" s="55"/>
      <c r="E65" s="55"/>
      <c r="F65" s="55"/>
      <c r="G65" s="55"/>
      <c r="H65" s="55"/>
      <c r="I65" s="73"/>
      <c r="J65" s="55"/>
      <c r="K65" s="18"/>
      <c r="L65" s="18"/>
    </row>
    <row r="66" spans="1:12" x14ac:dyDescent="0.3">
      <c r="A66" s="55"/>
      <c r="B66" s="55"/>
      <c r="C66" s="55"/>
      <c r="D66" s="55"/>
      <c r="E66" s="55"/>
      <c r="F66" s="55"/>
      <c r="G66" s="55"/>
      <c r="H66" s="55"/>
      <c r="I66" s="73"/>
      <c r="J66" s="55"/>
      <c r="K66" s="18"/>
      <c r="L66" s="18"/>
    </row>
    <row r="67" spans="1:12" x14ac:dyDescent="0.3">
      <c r="A67" s="55"/>
      <c r="B67" s="55"/>
      <c r="C67" s="55"/>
      <c r="D67" s="55"/>
      <c r="E67" s="55"/>
      <c r="F67" s="55"/>
      <c r="G67" s="55"/>
      <c r="H67" s="55"/>
      <c r="I67" s="73"/>
      <c r="J67" s="55"/>
      <c r="K67" s="18"/>
      <c r="L67" s="18"/>
    </row>
    <row r="68" spans="1:12" x14ac:dyDescent="0.3">
      <c r="A68" s="55"/>
      <c r="B68" s="55"/>
      <c r="C68" s="55"/>
      <c r="D68" s="55"/>
      <c r="E68" s="55"/>
      <c r="F68" s="55"/>
      <c r="G68" s="55"/>
      <c r="H68" s="55"/>
      <c r="I68" s="73"/>
      <c r="J68" s="55"/>
      <c r="K68" s="18"/>
      <c r="L68" s="18"/>
    </row>
    <row r="69" spans="1:12" x14ac:dyDescent="0.3">
      <c r="A69" s="55"/>
      <c r="B69" s="55"/>
      <c r="C69" s="55"/>
      <c r="D69" s="55"/>
      <c r="E69" s="55"/>
      <c r="F69" s="55"/>
      <c r="G69" s="55"/>
      <c r="H69" s="55"/>
      <c r="I69" s="73"/>
      <c r="J69" s="55"/>
      <c r="K69" s="18"/>
      <c r="L69" s="18"/>
    </row>
    <row r="70" spans="1:12" x14ac:dyDescent="0.3">
      <c r="A70" s="55"/>
      <c r="B70" s="55"/>
      <c r="C70" s="55"/>
      <c r="D70" s="55"/>
      <c r="E70" s="55"/>
      <c r="F70" s="55"/>
      <c r="G70" s="55"/>
      <c r="H70" s="55"/>
      <c r="I70" s="73"/>
      <c r="J70" s="55"/>
      <c r="K70" s="18"/>
      <c r="L70" s="18"/>
    </row>
    <row r="71" spans="1:12" x14ac:dyDescent="0.3">
      <c r="A71" s="55"/>
      <c r="B71" s="55"/>
      <c r="C71" s="55"/>
      <c r="D71" s="55"/>
      <c r="E71" s="55"/>
      <c r="F71" s="55"/>
      <c r="G71" s="55"/>
      <c r="H71" s="55"/>
      <c r="I71" s="73"/>
      <c r="J71" s="55"/>
      <c r="K71" s="18"/>
      <c r="L71" s="18"/>
    </row>
    <row r="72" spans="1:12" x14ac:dyDescent="0.3">
      <c r="A72" s="55"/>
      <c r="B72" s="55"/>
      <c r="C72" s="55"/>
      <c r="D72" s="55"/>
      <c r="E72" s="55"/>
      <c r="F72" s="55"/>
      <c r="G72" s="55"/>
      <c r="H72" s="55"/>
      <c r="I72" s="73"/>
      <c r="J72" s="55"/>
      <c r="K72" s="18"/>
      <c r="L72" s="18"/>
    </row>
    <row r="73" spans="1:12" x14ac:dyDescent="0.3">
      <c r="A73" s="55"/>
      <c r="B73" s="55"/>
      <c r="C73" s="55"/>
      <c r="D73" s="55"/>
      <c r="E73" s="55"/>
      <c r="F73" s="55"/>
      <c r="G73" s="55"/>
      <c r="H73" s="55"/>
      <c r="I73" s="73"/>
      <c r="J73" s="55"/>
      <c r="K73" s="18"/>
      <c r="L73" s="18"/>
    </row>
    <row r="74" spans="1:12" x14ac:dyDescent="0.3">
      <c r="A74" s="55"/>
      <c r="B74" s="55"/>
      <c r="C74" s="55"/>
      <c r="D74" s="55"/>
      <c r="E74" s="55"/>
      <c r="F74" s="55"/>
      <c r="G74" s="55"/>
      <c r="H74" s="55"/>
      <c r="I74" s="73"/>
      <c r="J74" s="55"/>
      <c r="K74" s="18"/>
      <c r="L74" s="18"/>
    </row>
    <row r="75" spans="1:12" x14ac:dyDescent="0.3">
      <c r="A75" s="55"/>
      <c r="B75" s="55"/>
      <c r="C75" s="55"/>
      <c r="D75" s="55"/>
      <c r="E75" s="55"/>
      <c r="F75" s="55"/>
      <c r="G75" s="55"/>
      <c r="H75" s="55"/>
      <c r="I75" s="73"/>
      <c r="J75" s="55"/>
      <c r="K75" s="18"/>
      <c r="L75" s="18"/>
    </row>
    <row r="76" spans="1:12" x14ac:dyDescent="0.3">
      <c r="A76" s="55"/>
      <c r="B76" s="55"/>
      <c r="C76" s="55"/>
      <c r="D76" s="55"/>
      <c r="E76" s="55"/>
      <c r="F76" s="55"/>
      <c r="G76" s="55"/>
      <c r="H76" s="55"/>
      <c r="I76" s="73"/>
      <c r="J76" s="55"/>
      <c r="K76" s="18"/>
      <c r="L76" s="18"/>
    </row>
    <row r="77" spans="1:12" x14ac:dyDescent="0.3">
      <c r="A77" s="55"/>
      <c r="B77" s="55"/>
      <c r="C77" s="55"/>
      <c r="D77" s="55"/>
      <c r="E77" s="55"/>
      <c r="F77" s="55"/>
      <c r="G77" s="55"/>
      <c r="H77" s="55"/>
      <c r="I77" s="73"/>
      <c r="J77" s="55"/>
      <c r="K77" s="18"/>
      <c r="L77" s="18"/>
    </row>
    <row r="78" spans="1:12" x14ac:dyDescent="0.3">
      <c r="A78" s="55"/>
      <c r="B78" s="55"/>
      <c r="C78" s="55"/>
      <c r="D78" s="55"/>
      <c r="E78" s="55"/>
      <c r="F78" s="55"/>
      <c r="G78" s="55"/>
      <c r="H78" s="55"/>
      <c r="I78" s="73"/>
      <c r="J78" s="55"/>
      <c r="K78" s="18"/>
      <c r="L78" s="18"/>
    </row>
    <row r="79" spans="1:12" x14ac:dyDescent="0.3">
      <c r="A79" s="55"/>
      <c r="B79" s="55"/>
      <c r="C79" s="55"/>
      <c r="D79" s="55"/>
      <c r="E79" s="55"/>
      <c r="F79" s="55"/>
      <c r="G79" s="55"/>
      <c r="H79" s="55"/>
      <c r="I79" s="73"/>
      <c r="J79" s="55"/>
      <c r="K79" s="18"/>
      <c r="L79" s="18"/>
    </row>
    <row r="80" spans="1:12" x14ac:dyDescent="0.3">
      <c r="A80" s="55"/>
      <c r="B80" s="55"/>
      <c r="C80" s="55"/>
      <c r="D80" s="55"/>
      <c r="E80" s="55"/>
      <c r="F80" s="55"/>
      <c r="G80" s="55"/>
      <c r="H80" s="55"/>
      <c r="I80" s="73"/>
      <c r="J80" s="55"/>
      <c r="K80" s="18"/>
      <c r="L80" s="18"/>
    </row>
    <row r="81" spans="1:12" x14ac:dyDescent="0.3">
      <c r="A81" s="55"/>
      <c r="B81" s="55"/>
      <c r="C81" s="55"/>
      <c r="D81" s="55"/>
      <c r="E81" s="55"/>
      <c r="F81" s="55"/>
      <c r="G81" s="55"/>
      <c r="H81" s="55"/>
      <c r="I81" s="73"/>
      <c r="J81" s="55"/>
      <c r="K81" s="18"/>
      <c r="L81" s="18"/>
    </row>
    <row r="82" spans="1:12" x14ac:dyDescent="0.3">
      <c r="A82" s="55"/>
      <c r="B82" s="55"/>
      <c r="C82" s="55"/>
      <c r="D82" s="55"/>
      <c r="E82" s="55"/>
      <c r="F82" s="55"/>
      <c r="G82" s="55"/>
      <c r="H82" s="55"/>
      <c r="I82" s="73"/>
      <c r="J82" s="55"/>
      <c r="K82" s="18"/>
      <c r="L82" s="18"/>
    </row>
    <row r="83" spans="1:12" x14ac:dyDescent="0.3">
      <c r="A83" s="55"/>
      <c r="B83" s="55"/>
      <c r="C83" s="55"/>
      <c r="D83" s="55"/>
      <c r="E83" s="55"/>
      <c r="F83" s="55"/>
      <c r="G83" s="55"/>
      <c r="H83" s="55"/>
      <c r="I83" s="73"/>
      <c r="J83" s="55"/>
      <c r="K83" s="18"/>
      <c r="L83" s="18"/>
    </row>
    <row r="84" spans="1:12" x14ac:dyDescent="0.3">
      <c r="A84" s="55"/>
      <c r="B84" s="55"/>
      <c r="C84" s="55"/>
      <c r="D84" s="55"/>
      <c r="E84" s="55"/>
      <c r="F84" s="55"/>
      <c r="G84" s="55"/>
      <c r="H84" s="55"/>
      <c r="I84" s="73"/>
      <c r="J84" s="55"/>
      <c r="K84" s="18"/>
      <c r="L84" s="18"/>
    </row>
    <row r="85" spans="1:12" x14ac:dyDescent="0.3">
      <c r="A85" s="55"/>
      <c r="B85" s="55"/>
      <c r="C85" s="55"/>
      <c r="D85" s="55"/>
      <c r="E85" s="55"/>
      <c r="F85" s="55"/>
      <c r="G85" s="55"/>
      <c r="H85" s="55"/>
      <c r="I85" s="73"/>
      <c r="J85" s="55"/>
      <c r="K85" s="18"/>
      <c r="L85" s="18"/>
    </row>
    <row r="86" spans="1:12" x14ac:dyDescent="0.3">
      <c r="A86" s="55"/>
      <c r="B86" s="55"/>
      <c r="C86" s="55"/>
      <c r="D86" s="55"/>
      <c r="E86" s="55"/>
      <c r="F86" s="55"/>
      <c r="G86" s="55"/>
      <c r="H86" s="55"/>
      <c r="I86" s="73"/>
      <c r="J86" s="55"/>
      <c r="K86" s="18"/>
      <c r="L86" s="18"/>
    </row>
    <row r="87" spans="1:12" x14ac:dyDescent="0.3">
      <c r="A87" s="55"/>
      <c r="B87" s="55"/>
      <c r="C87" s="55"/>
      <c r="D87" s="55"/>
      <c r="E87" s="55"/>
      <c r="F87" s="55"/>
      <c r="G87" s="55"/>
      <c r="H87" s="55"/>
      <c r="I87" s="73"/>
      <c r="J87" s="55"/>
      <c r="K87" s="18"/>
      <c r="L87" s="18"/>
    </row>
    <row r="88" spans="1:12" x14ac:dyDescent="0.3">
      <c r="A88" s="55"/>
      <c r="B88" s="55"/>
      <c r="C88" s="55"/>
      <c r="D88" s="55"/>
      <c r="E88" s="55"/>
      <c r="F88" s="55"/>
      <c r="G88" s="55"/>
      <c r="H88" s="55"/>
      <c r="I88" s="73"/>
      <c r="J88" s="55"/>
      <c r="K88" s="18"/>
      <c r="L88" s="18"/>
    </row>
    <row r="89" spans="1:12" x14ac:dyDescent="0.3">
      <c r="A89" s="55"/>
      <c r="B89" s="55"/>
      <c r="C89" s="55"/>
      <c r="D89" s="55"/>
      <c r="E89" s="55"/>
      <c r="F89" s="55"/>
      <c r="G89" s="55"/>
      <c r="H89" s="55"/>
      <c r="I89" s="73"/>
      <c r="J89" s="55"/>
      <c r="K89" s="18"/>
      <c r="L89" s="18"/>
    </row>
    <row r="90" spans="1:12" x14ac:dyDescent="0.3">
      <c r="A90" s="55"/>
      <c r="B90" s="55"/>
      <c r="C90" s="55"/>
      <c r="D90" s="55"/>
      <c r="E90" s="55"/>
      <c r="F90" s="55"/>
      <c r="G90" s="55"/>
      <c r="H90" s="55"/>
      <c r="I90" s="73"/>
      <c r="J90" s="55"/>
      <c r="K90" s="18"/>
      <c r="L90" s="18"/>
    </row>
    <row r="91" spans="1:12" x14ac:dyDescent="0.3">
      <c r="A91" s="55"/>
      <c r="B91" s="55"/>
      <c r="C91" s="55"/>
      <c r="D91" s="55"/>
      <c r="E91" s="55"/>
      <c r="F91" s="55"/>
      <c r="G91" s="55"/>
      <c r="H91" s="55"/>
      <c r="I91" s="73"/>
      <c r="J91" s="55"/>
      <c r="K91" s="18"/>
      <c r="L91" s="18"/>
    </row>
    <row r="92" spans="1:12" x14ac:dyDescent="0.3">
      <c r="A92" s="55"/>
      <c r="B92" s="55"/>
      <c r="C92" s="55"/>
      <c r="D92" s="55"/>
      <c r="E92" s="55"/>
      <c r="F92" s="55"/>
      <c r="G92" s="55"/>
      <c r="H92" s="55"/>
      <c r="I92" s="73"/>
      <c r="J92" s="55"/>
      <c r="K92" s="18"/>
      <c r="L92" s="18"/>
    </row>
    <row r="93" spans="1:12" x14ac:dyDescent="0.3">
      <c r="A93" s="55"/>
      <c r="B93" s="55"/>
      <c r="C93" s="55"/>
      <c r="D93" s="55"/>
      <c r="E93" s="55"/>
      <c r="F93" s="55"/>
      <c r="G93" s="55"/>
      <c r="H93" s="55"/>
      <c r="I93" s="73"/>
      <c r="J93" s="55"/>
      <c r="K93" s="18"/>
      <c r="L93" s="18"/>
    </row>
    <row r="94" spans="1:12" x14ac:dyDescent="0.3">
      <c r="A94" s="55"/>
      <c r="B94" s="55"/>
      <c r="C94" s="55"/>
      <c r="D94" s="55"/>
      <c r="E94" s="55"/>
      <c r="F94" s="55"/>
      <c r="G94" s="55"/>
      <c r="H94" s="55"/>
      <c r="I94" s="73"/>
      <c r="J94" s="55"/>
      <c r="K94" s="18"/>
      <c r="L94" s="18"/>
    </row>
    <row r="95" spans="1:12" x14ac:dyDescent="0.3">
      <c r="A95" s="55"/>
      <c r="B95" s="55"/>
      <c r="C95" s="55"/>
      <c r="D95" s="55"/>
      <c r="E95" s="55"/>
      <c r="F95" s="55"/>
      <c r="G95" s="55"/>
      <c r="H95" s="55"/>
      <c r="I95" s="73"/>
      <c r="J95" s="55"/>
      <c r="K95" s="18"/>
      <c r="L95" s="18"/>
    </row>
    <row r="96" spans="1:12" x14ac:dyDescent="0.3">
      <c r="A96" s="55"/>
      <c r="B96" s="55"/>
      <c r="C96" s="55"/>
      <c r="D96" s="55"/>
      <c r="E96" s="55"/>
      <c r="F96" s="55"/>
      <c r="G96" s="55"/>
      <c r="H96" s="55"/>
      <c r="I96" s="73"/>
      <c r="J96" s="55"/>
      <c r="K96" s="18"/>
      <c r="L96" s="18"/>
    </row>
    <row r="97" spans="1:12" x14ac:dyDescent="0.3">
      <c r="A97" s="55"/>
      <c r="B97" s="55"/>
      <c r="C97" s="55"/>
      <c r="D97" s="55"/>
      <c r="E97" s="55"/>
      <c r="F97" s="55"/>
      <c r="G97" s="55"/>
      <c r="H97" s="55"/>
      <c r="I97" s="73"/>
      <c r="J97" s="55"/>
      <c r="K97" s="18"/>
      <c r="L97" s="18"/>
    </row>
    <row r="98" spans="1:12" x14ac:dyDescent="0.3">
      <c r="A98" s="55"/>
      <c r="B98" s="55"/>
      <c r="C98" s="55"/>
      <c r="D98" s="55"/>
      <c r="E98" s="55"/>
      <c r="F98" s="55"/>
      <c r="G98" s="55"/>
      <c r="H98" s="55"/>
      <c r="I98" s="73"/>
      <c r="J98" s="55"/>
      <c r="K98" s="18"/>
      <c r="L98" s="18"/>
    </row>
    <row r="99" spans="1:12" x14ac:dyDescent="0.3">
      <c r="A99" s="55"/>
      <c r="B99" s="55"/>
      <c r="C99" s="55"/>
      <c r="D99" s="55"/>
      <c r="E99" s="55"/>
      <c r="F99" s="55"/>
      <c r="G99" s="55"/>
      <c r="H99" s="55"/>
      <c r="I99" s="73"/>
      <c r="J99" s="55"/>
      <c r="K99" s="18"/>
      <c r="L99" s="18"/>
    </row>
    <row r="100" spans="1:12" x14ac:dyDescent="0.3">
      <c r="A100" s="55"/>
      <c r="B100" s="55"/>
      <c r="C100" s="55"/>
      <c r="D100" s="55"/>
      <c r="E100" s="55"/>
      <c r="F100" s="55"/>
      <c r="G100" s="55"/>
      <c r="H100" s="55"/>
      <c r="I100" s="73"/>
      <c r="J100" s="55"/>
      <c r="K100" s="18"/>
      <c r="L100" s="18"/>
    </row>
    <row r="101" spans="1:12" x14ac:dyDescent="0.3">
      <c r="A101" s="55"/>
      <c r="B101" s="55"/>
      <c r="C101" s="55"/>
      <c r="D101" s="55"/>
      <c r="E101" s="55"/>
      <c r="F101" s="55"/>
      <c r="G101" s="55"/>
      <c r="H101" s="55"/>
      <c r="I101" s="73"/>
      <c r="J101" s="55"/>
      <c r="K101" s="18"/>
      <c r="L101" s="18"/>
    </row>
    <row r="102" spans="1:12" x14ac:dyDescent="0.3">
      <c r="A102" s="55"/>
      <c r="B102" s="55"/>
      <c r="C102" s="55"/>
      <c r="D102" s="55"/>
      <c r="E102" s="55"/>
      <c r="F102" s="55"/>
      <c r="G102" s="55"/>
      <c r="H102" s="55"/>
      <c r="I102" s="73"/>
      <c r="J102" s="55"/>
      <c r="K102" s="18"/>
      <c r="L102" s="18"/>
    </row>
    <row r="103" spans="1:12" x14ac:dyDescent="0.3">
      <c r="A103" s="55"/>
      <c r="B103" s="55"/>
      <c r="C103" s="55"/>
      <c r="D103" s="55"/>
      <c r="E103" s="55"/>
      <c r="F103" s="55"/>
      <c r="G103" s="55"/>
      <c r="H103" s="55"/>
      <c r="I103" s="73"/>
      <c r="J103" s="55"/>
      <c r="K103" s="18"/>
      <c r="L103" s="18"/>
    </row>
    <row r="104" spans="1:12" x14ac:dyDescent="0.3">
      <c r="A104" s="55"/>
      <c r="B104" s="55"/>
      <c r="C104" s="55"/>
      <c r="D104" s="55"/>
      <c r="E104" s="55"/>
      <c r="F104" s="55"/>
      <c r="G104" s="55"/>
      <c r="H104" s="55"/>
      <c r="I104" s="73"/>
      <c r="J104" s="55"/>
      <c r="K104" s="18"/>
      <c r="L104" s="18"/>
    </row>
    <row r="105" spans="1:12" x14ac:dyDescent="0.3">
      <c r="A105" s="55"/>
      <c r="B105" s="55"/>
      <c r="C105" s="55"/>
      <c r="D105" s="55"/>
      <c r="E105" s="55"/>
      <c r="F105" s="55"/>
      <c r="G105" s="55"/>
      <c r="H105" s="55"/>
      <c r="I105" s="73"/>
      <c r="J105" s="55"/>
      <c r="K105" s="18"/>
      <c r="L105" s="18"/>
    </row>
    <row r="106" spans="1:12" x14ac:dyDescent="0.3">
      <c r="A106" s="55"/>
      <c r="B106" s="55"/>
      <c r="C106" s="55"/>
      <c r="D106" s="55"/>
      <c r="E106" s="55"/>
      <c r="F106" s="55"/>
      <c r="G106" s="55"/>
      <c r="H106" s="55"/>
      <c r="I106" s="73"/>
      <c r="J106" s="55"/>
      <c r="K106" s="18"/>
      <c r="L106" s="18"/>
    </row>
  </sheetData>
  <mergeCells count="9">
    <mergeCell ref="H3:H4"/>
    <mergeCell ref="I3:I4"/>
    <mergeCell ref="J3:J4"/>
    <mergeCell ref="A1:G1"/>
    <mergeCell ref="A2:G2"/>
    <mergeCell ref="A3:A4"/>
    <mergeCell ref="B3:B4"/>
    <mergeCell ref="F3:F4"/>
    <mergeCell ref="G3:G4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topLeftCell="A37" workbookViewId="0">
      <selection activeCell="I50" sqref="I50"/>
    </sheetView>
  </sheetViews>
  <sheetFormatPr defaultColWidth="8.7109375" defaultRowHeight="15" x14ac:dyDescent="0.3"/>
  <cols>
    <col min="2" max="2" width="8.5" customWidth="1"/>
    <col min="3" max="3" width="6.5" customWidth="1"/>
    <col min="4" max="4" width="7.640625" customWidth="1"/>
    <col min="5" max="5" width="6.5" style="93" customWidth="1"/>
    <col min="6" max="6" width="7.85546875" customWidth="1"/>
    <col min="7" max="7" width="6.5" customWidth="1"/>
    <col min="8" max="8" width="8" customWidth="1"/>
    <col min="9" max="9" width="6.5" customWidth="1"/>
  </cols>
  <sheetData>
    <row r="1" spans="1:12" s="17" customFormat="1" ht="35.15" customHeight="1" x14ac:dyDescent="0.5">
      <c r="A1" s="129" t="s">
        <v>25</v>
      </c>
      <c r="B1" s="129"/>
      <c r="C1" s="129"/>
      <c r="D1" s="129"/>
      <c r="E1" s="129"/>
      <c r="F1" s="129"/>
      <c r="G1" s="129"/>
      <c r="H1" s="129"/>
      <c r="I1" s="129"/>
    </row>
    <row r="2" spans="1:12" s="18" customFormat="1" ht="15" customHeight="1" x14ac:dyDescent="0.3">
      <c r="A2" s="148" t="s">
        <v>26</v>
      </c>
      <c r="B2" s="131"/>
      <c r="C2" s="131"/>
      <c r="D2" s="131"/>
      <c r="E2" s="131"/>
      <c r="F2" s="131"/>
      <c r="G2" s="131"/>
      <c r="H2" s="131"/>
      <c r="I2" s="131"/>
    </row>
    <row r="3" spans="1:12" ht="28.5" customHeight="1" x14ac:dyDescent="0.3">
      <c r="A3" s="132"/>
      <c r="B3" s="133" t="s">
        <v>27</v>
      </c>
      <c r="C3" s="149"/>
      <c r="D3" s="149"/>
      <c r="E3" s="150"/>
      <c r="F3" s="133" t="s">
        <v>28</v>
      </c>
      <c r="G3" s="149"/>
      <c r="H3" s="149"/>
      <c r="I3" s="150"/>
      <c r="J3" s="18"/>
      <c r="K3" s="18"/>
      <c r="L3" s="18"/>
    </row>
    <row r="4" spans="1:12" x14ac:dyDescent="0.3">
      <c r="A4" s="132"/>
      <c r="B4" s="5" t="s">
        <v>29</v>
      </c>
      <c r="C4" s="5" t="s">
        <v>30</v>
      </c>
      <c r="D4" s="5" t="s">
        <v>31</v>
      </c>
      <c r="E4" s="98" t="s">
        <v>32</v>
      </c>
      <c r="F4" s="5" t="s">
        <v>29</v>
      </c>
      <c r="G4" s="5" t="s">
        <v>30</v>
      </c>
      <c r="H4" s="5" t="s">
        <v>31</v>
      </c>
      <c r="I4" s="6" t="s">
        <v>32</v>
      </c>
      <c r="J4" s="18"/>
      <c r="K4" s="18"/>
      <c r="L4" s="18"/>
    </row>
    <row r="5" spans="1:12" x14ac:dyDescent="0.3">
      <c r="A5" s="62">
        <v>1949</v>
      </c>
      <c r="B5" s="63">
        <v>166.98</v>
      </c>
      <c r="C5" s="63">
        <v>42.74</v>
      </c>
      <c r="D5" s="63">
        <v>121.59</v>
      </c>
      <c r="E5" s="63">
        <v>2.65</v>
      </c>
      <c r="F5" s="63">
        <v>146.25</v>
      </c>
      <c r="G5" s="63">
        <v>38.04</v>
      </c>
      <c r="H5" s="63">
        <v>108.21</v>
      </c>
      <c r="I5" s="63"/>
      <c r="J5" s="18"/>
      <c r="K5" s="18"/>
      <c r="L5" s="18"/>
    </row>
    <row r="6" spans="1:12" x14ac:dyDescent="0.3">
      <c r="A6" s="62">
        <v>1952</v>
      </c>
      <c r="B6" s="63">
        <v>281.68</v>
      </c>
      <c r="C6" s="63">
        <v>61.16</v>
      </c>
      <c r="D6" s="63">
        <v>217.8</v>
      </c>
      <c r="E6" s="63">
        <v>2.72</v>
      </c>
      <c r="F6" s="63">
        <v>248.27</v>
      </c>
      <c r="G6" s="63">
        <v>54.43</v>
      </c>
      <c r="H6" s="63">
        <v>193.84</v>
      </c>
      <c r="I6" s="63"/>
      <c r="J6" s="18"/>
      <c r="K6" s="18"/>
      <c r="L6" s="18"/>
    </row>
    <row r="7" spans="1:12" x14ac:dyDescent="0.3">
      <c r="A7" s="62">
        <v>1957</v>
      </c>
      <c r="B7" s="63">
        <v>435.01</v>
      </c>
      <c r="C7" s="63">
        <v>86.58</v>
      </c>
      <c r="D7" s="63">
        <v>345.69</v>
      </c>
      <c r="E7" s="63">
        <v>2.74</v>
      </c>
      <c r="F7" s="63">
        <v>384.72</v>
      </c>
      <c r="G7" s="63">
        <v>77.05</v>
      </c>
      <c r="H7" s="63">
        <v>307.67</v>
      </c>
      <c r="I7" s="63"/>
      <c r="J7" s="18"/>
      <c r="K7" s="18"/>
      <c r="L7" s="18"/>
    </row>
    <row r="8" spans="1:12" x14ac:dyDescent="0.3">
      <c r="A8" s="62">
        <v>1962</v>
      </c>
      <c r="B8" s="63">
        <v>618.54999999999995</v>
      </c>
      <c r="C8" s="63">
        <v>109.9</v>
      </c>
      <c r="D8" s="63">
        <v>502.85</v>
      </c>
      <c r="E8" s="63">
        <v>5.8</v>
      </c>
      <c r="F8" s="63">
        <v>503.31</v>
      </c>
      <c r="G8" s="63">
        <v>102.91</v>
      </c>
      <c r="H8" s="63">
        <v>400.4</v>
      </c>
      <c r="I8" s="63"/>
      <c r="J8" s="18"/>
      <c r="K8" s="18"/>
      <c r="L8" s="18"/>
    </row>
    <row r="9" spans="1:12" x14ac:dyDescent="0.3">
      <c r="A9" s="62">
        <v>1965</v>
      </c>
      <c r="B9" s="63">
        <v>911.06</v>
      </c>
      <c r="C9" s="63">
        <v>155.13999999999999</v>
      </c>
      <c r="D9" s="63">
        <v>747.83</v>
      </c>
      <c r="E9" s="63">
        <v>8.09</v>
      </c>
      <c r="F9" s="63">
        <v>778.34</v>
      </c>
      <c r="G9" s="63">
        <v>147.29</v>
      </c>
      <c r="H9" s="63">
        <v>624.54999999999995</v>
      </c>
      <c r="I9" s="63">
        <v>6.5</v>
      </c>
      <c r="J9" s="18"/>
      <c r="K9" s="18"/>
      <c r="L9" s="18"/>
    </row>
    <row r="10" spans="1:12" x14ac:dyDescent="0.3">
      <c r="A10" s="62">
        <v>1970</v>
      </c>
      <c r="B10" s="63">
        <v>750.75</v>
      </c>
      <c r="C10" s="63">
        <v>136.11000000000001</v>
      </c>
      <c r="D10" s="63">
        <v>605.77</v>
      </c>
      <c r="E10" s="63">
        <v>8.8699999999999992</v>
      </c>
      <c r="F10" s="63">
        <v>597.35</v>
      </c>
      <c r="G10" s="63">
        <v>128.76</v>
      </c>
      <c r="H10" s="63">
        <v>461.29</v>
      </c>
      <c r="I10" s="63">
        <v>7.3</v>
      </c>
      <c r="J10" s="18"/>
      <c r="K10" s="18"/>
      <c r="L10" s="18"/>
    </row>
    <row r="11" spans="1:12" x14ac:dyDescent="0.3">
      <c r="A11" s="62">
        <v>1975</v>
      </c>
      <c r="B11" s="63">
        <v>929.29</v>
      </c>
      <c r="C11" s="63">
        <v>187.91</v>
      </c>
      <c r="D11" s="63">
        <v>726.72</v>
      </c>
      <c r="E11" s="63">
        <v>14.66</v>
      </c>
      <c r="F11" s="63">
        <v>720.74</v>
      </c>
      <c r="G11" s="63">
        <v>167.66</v>
      </c>
      <c r="H11" s="63">
        <v>541.08000000000004</v>
      </c>
      <c r="I11" s="63">
        <v>12</v>
      </c>
      <c r="J11" s="18"/>
      <c r="K11" s="18"/>
      <c r="L11" s="18"/>
    </row>
    <row r="12" spans="1:12" x14ac:dyDescent="0.3">
      <c r="A12" s="62">
        <v>1978</v>
      </c>
      <c r="B12" s="63">
        <v>523.69000000000005</v>
      </c>
      <c r="C12" s="63">
        <v>110.74</v>
      </c>
      <c r="D12" s="63">
        <v>397.29</v>
      </c>
      <c r="E12" s="63">
        <v>15.66</v>
      </c>
      <c r="F12" s="63">
        <v>463.41</v>
      </c>
      <c r="G12" s="63">
        <v>102.23</v>
      </c>
      <c r="H12" s="63">
        <v>347.61</v>
      </c>
      <c r="I12" s="63">
        <v>13.57</v>
      </c>
      <c r="J12" s="18"/>
      <c r="K12" s="18"/>
      <c r="L12" s="18"/>
    </row>
    <row r="13" spans="1:12" x14ac:dyDescent="0.3">
      <c r="A13" s="62">
        <v>1979</v>
      </c>
      <c r="B13" s="63">
        <v>643.80999999999995</v>
      </c>
      <c r="C13" s="63">
        <v>121.78</v>
      </c>
      <c r="D13" s="63">
        <v>505.25</v>
      </c>
      <c r="E13" s="63">
        <v>16.78</v>
      </c>
      <c r="F13" s="63">
        <v>554.32000000000005</v>
      </c>
      <c r="G13" s="63">
        <v>112.11</v>
      </c>
      <c r="H13" s="63">
        <v>428.43</v>
      </c>
      <c r="I13" s="63">
        <v>13.78</v>
      </c>
      <c r="J13" s="18"/>
      <c r="K13" s="18"/>
      <c r="L13" s="18"/>
    </row>
    <row r="14" spans="1:12" x14ac:dyDescent="0.3">
      <c r="A14" s="62">
        <v>1980</v>
      </c>
      <c r="B14" s="63">
        <v>732.93</v>
      </c>
      <c r="C14" s="63">
        <v>134.74</v>
      </c>
      <c r="D14" s="63">
        <v>581.78</v>
      </c>
      <c r="E14" s="63">
        <v>16.41</v>
      </c>
      <c r="F14" s="63">
        <v>537.6</v>
      </c>
      <c r="G14" s="63">
        <v>116.58</v>
      </c>
      <c r="H14" s="63">
        <v>410.52</v>
      </c>
      <c r="I14" s="63">
        <v>10.5</v>
      </c>
      <c r="J14" s="18"/>
      <c r="K14" s="18"/>
      <c r="L14" s="18"/>
    </row>
    <row r="15" spans="1:12" x14ac:dyDescent="0.3">
      <c r="A15" s="62">
        <v>1981</v>
      </c>
      <c r="B15" s="63">
        <v>725.54</v>
      </c>
      <c r="C15" s="63">
        <v>128.91999999999999</v>
      </c>
      <c r="D15" s="63">
        <v>585.79</v>
      </c>
      <c r="E15" s="63">
        <v>10.83</v>
      </c>
      <c r="F15" s="63">
        <v>578.41999999999996</v>
      </c>
      <c r="G15" s="63">
        <v>116.79</v>
      </c>
      <c r="H15" s="63">
        <v>453.73</v>
      </c>
      <c r="I15" s="63">
        <v>7.9</v>
      </c>
      <c r="J15" s="18"/>
      <c r="K15" s="18"/>
      <c r="L15" s="18"/>
    </row>
    <row r="16" spans="1:12" x14ac:dyDescent="0.3">
      <c r="A16" s="62">
        <v>1982</v>
      </c>
      <c r="B16" s="63">
        <v>791.41</v>
      </c>
      <c r="C16" s="63">
        <v>136.9</v>
      </c>
      <c r="D16" s="63">
        <v>645.04999999999995</v>
      </c>
      <c r="E16" s="63">
        <v>9.4600000000000009</v>
      </c>
      <c r="F16" s="63">
        <v>645.14</v>
      </c>
      <c r="G16" s="63">
        <v>126.87</v>
      </c>
      <c r="H16" s="63">
        <v>509.97</v>
      </c>
      <c r="I16" s="63">
        <v>8.3000000000000007</v>
      </c>
      <c r="J16" s="18"/>
      <c r="K16" s="18"/>
      <c r="L16" s="18"/>
    </row>
    <row r="17" spans="1:15" x14ac:dyDescent="0.3">
      <c r="A17" s="62">
        <v>1983</v>
      </c>
      <c r="B17" s="63">
        <v>822.18</v>
      </c>
      <c r="C17" s="63">
        <v>144.97</v>
      </c>
      <c r="D17" s="63">
        <v>666.84</v>
      </c>
      <c r="E17" s="63">
        <v>10.37</v>
      </c>
      <c r="F17" s="63">
        <v>640.22</v>
      </c>
      <c r="G17" s="63">
        <v>129.83000000000001</v>
      </c>
      <c r="H17" s="63">
        <v>502.39</v>
      </c>
      <c r="I17" s="63">
        <v>8</v>
      </c>
      <c r="J17" s="18"/>
      <c r="K17" s="18"/>
      <c r="L17" s="18"/>
    </row>
    <row r="18" spans="1:15" x14ac:dyDescent="0.3">
      <c r="A18" s="62">
        <v>1984</v>
      </c>
      <c r="B18" s="63">
        <v>839.07</v>
      </c>
      <c r="C18" s="63">
        <v>145.47999999999999</v>
      </c>
      <c r="D18" s="63">
        <v>684.06</v>
      </c>
      <c r="E18" s="63">
        <v>9.5299999999999994</v>
      </c>
      <c r="F18" s="63">
        <v>667.06</v>
      </c>
      <c r="G18" s="63">
        <v>131.29</v>
      </c>
      <c r="H18" s="63">
        <v>528.07000000000005</v>
      </c>
      <c r="I18" s="63">
        <v>7.7</v>
      </c>
      <c r="J18" s="18"/>
      <c r="K18" s="18"/>
      <c r="L18" s="18"/>
    </row>
    <row r="19" spans="1:15" x14ac:dyDescent="0.3">
      <c r="A19" s="62">
        <v>1985</v>
      </c>
      <c r="B19" s="63">
        <v>849.44</v>
      </c>
      <c r="C19" s="63">
        <v>152.32</v>
      </c>
      <c r="D19" s="63">
        <v>687.04</v>
      </c>
      <c r="E19" s="63">
        <v>10.08</v>
      </c>
      <c r="F19" s="63">
        <v>651.53</v>
      </c>
      <c r="G19" s="63">
        <v>135.96</v>
      </c>
      <c r="H19" s="63">
        <v>507.37</v>
      </c>
      <c r="I19" s="63">
        <v>8.1999999999999993</v>
      </c>
      <c r="J19" s="18"/>
      <c r="K19" s="18"/>
      <c r="L19" s="18"/>
    </row>
    <row r="20" spans="1:15" x14ac:dyDescent="0.3">
      <c r="A20" s="62">
        <v>1986</v>
      </c>
      <c r="B20" s="63">
        <v>795.13</v>
      </c>
      <c r="C20" s="63">
        <v>147.83000000000001</v>
      </c>
      <c r="D20" s="63">
        <v>636.29</v>
      </c>
      <c r="E20" s="63">
        <v>11.01</v>
      </c>
      <c r="F20" s="63">
        <v>648.51</v>
      </c>
      <c r="G20" s="63">
        <v>135.01</v>
      </c>
      <c r="H20" s="63">
        <v>506.1</v>
      </c>
      <c r="I20" s="63">
        <v>7.4</v>
      </c>
      <c r="J20" s="18"/>
      <c r="K20" s="18"/>
      <c r="L20" s="18"/>
    </row>
    <row r="21" spans="1:15" x14ac:dyDescent="0.3">
      <c r="A21" s="62">
        <v>1987</v>
      </c>
      <c r="B21" s="63">
        <v>848.82</v>
      </c>
      <c r="C21" s="63">
        <v>154.32</v>
      </c>
      <c r="D21" s="63">
        <v>684.04</v>
      </c>
      <c r="E21" s="63">
        <v>10.46</v>
      </c>
      <c r="F21" s="63">
        <v>669.08</v>
      </c>
      <c r="G21" s="63">
        <v>132.41999999999999</v>
      </c>
      <c r="H21" s="63">
        <v>530.16</v>
      </c>
      <c r="I21" s="63">
        <v>6.5</v>
      </c>
      <c r="J21" s="18"/>
      <c r="K21" s="18"/>
      <c r="L21" s="18"/>
    </row>
    <row r="22" spans="1:15" x14ac:dyDescent="0.3">
      <c r="A22" s="62">
        <v>1988</v>
      </c>
      <c r="B22" s="63">
        <v>907.14</v>
      </c>
      <c r="C22" s="63">
        <v>152.15</v>
      </c>
      <c r="D22" s="63">
        <v>747.85</v>
      </c>
      <c r="E22" s="63">
        <v>7.14</v>
      </c>
      <c r="F22" s="63" t="s">
        <v>33</v>
      </c>
      <c r="G22" s="63">
        <v>134.99</v>
      </c>
      <c r="H22" s="63">
        <v>618.32000000000005</v>
      </c>
      <c r="I22" s="63">
        <v>5.7</v>
      </c>
      <c r="J22" s="18"/>
      <c r="K22" s="18"/>
      <c r="L22" s="18"/>
      <c r="O22" s="69"/>
    </row>
    <row r="23" spans="1:15" x14ac:dyDescent="0.3">
      <c r="A23" s="62">
        <v>1989</v>
      </c>
      <c r="B23" s="63">
        <v>1077.54</v>
      </c>
      <c r="C23" s="63">
        <v>164.17</v>
      </c>
      <c r="D23" s="63">
        <v>905.2</v>
      </c>
      <c r="E23" s="63">
        <v>8.17</v>
      </c>
      <c r="F23" s="63">
        <v>805.2</v>
      </c>
      <c r="G23" s="63">
        <v>137.88</v>
      </c>
      <c r="H23" s="63">
        <v>661.22</v>
      </c>
      <c r="I23" s="63">
        <v>6.1</v>
      </c>
      <c r="J23" s="18"/>
      <c r="K23" s="18"/>
      <c r="L23" s="18"/>
    </row>
    <row r="24" spans="1:15" x14ac:dyDescent="0.3">
      <c r="A24" s="62">
        <v>1990</v>
      </c>
      <c r="B24" s="63">
        <v>1084.3900000000001</v>
      </c>
      <c r="C24" s="63">
        <v>156.12</v>
      </c>
      <c r="D24" s="63">
        <v>920.05</v>
      </c>
      <c r="E24" s="63">
        <v>8.2200000000000006</v>
      </c>
      <c r="F24" s="63">
        <v>820.43</v>
      </c>
      <c r="G24" s="63">
        <v>132.06</v>
      </c>
      <c r="H24" s="63">
        <v>681.68</v>
      </c>
      <c r="I24" s="63">
        <v>6.69</v>
      </c>
      <c r="J24" s="18"/>
      <c r="K24" s="18"/>
      <c r="L24" s="18"/>
    </row>
    <row r="25" spans="1:15" x14ac:dyDescent="0.3">
      <c r="A25" s="62">
        <v>1991</v>
      </c>
      <c r="B25" s="63">
        <v>1173.81</v>
      </c>
      <c r="C25" s="63">
        <v>157.86000000000001</v>
      </c>
      <c r="D25" s="63">
        <v>1005.67</v>
      </c>
      <c r="E25" s="63">
        <v>10.28</v>
      </c>
      <c r="F25" s="63">
        <v>812.64</v>
      </c>
      <c r="G25" s="63">
        <v>132.69999999999999</v>
      </c>
      <c r="H25" s="63">
        <v>671.44</v>
      </c>
      <c r="I25" s="63">
        <v>8.5</v>
      </c>
      <c r="J25" s="18"/>
      <c r="K25" s="18"/>
      <c r="L25" s="18"/>
    </row>
    <row r="26" spans="1:15" x14ac:dyDescent="0.3">
      <c r="A26" s="62">
        <v>1992</v>
      </c>
      <c r="B26" s="63">
        <v>1164.03</v>
      </c>
      <c r="C26" s="63">
        <v>159.69999999999999</v>
      </c>
      <c r="D26" s="63">
        <v>991.17</v>
      </c>
      <c r="E26" s="63">
        <v>13.16</v>
      </c>
      <c r="F26" s="63">
        <v>815.14</v>
      </c>
      <c r="G26" s="63">
        <v>136.36000000000001</v>
      </c>
      <c r="H26" s="63">
        <v>668.88</v>
      </c>
      <c r="I26" s="63">
        <v>9.9</v>
      </c>
      <c r="J26" s="18"/>
      <c r="K26" s="18"/>
      <c r="L26" s="18"/>
    </row>
    <row r="27" spans="1:15" x14ac:dyDescent="0.3">
      <c r="A27" s="62">
        <v>1993</v>
      </c>
      <c r="B27" s="63">
        <v>1165.1300000000001</v>
      </c>
      <c r="C27" s="63">
        <v>162.85</v>
      </c>
      <c r="D27" s="63">
        <v>987.48</v>
      </c>
      <c r="E27" s="63">
        <v>14.8</v>
      </c>
      <c r="F27" s="63">
        <v>832.13</v>
      </c>
      <c r="G27" s="63">
        <v>134.35</v>
      </c>
      <c r="H27" s="63">
        <v>687.98</v>
      </c>
      <c r="I27" s="63">
        <v>9.8000000000000007</v>
      </c>
      <c r="J27" s="18"/>
      <c r="K27" s="18"/>
      <c r="L27" s="18"/>
    </row>
    <row r="28" spans="1:15" x14ac:dyDescent="0.3">
      <c r="A28" s="62">
        <v>1994</v>
      </c>
      <c r="B28" s="63">
        <v>1216.08</v>
      </c>
      <c r="C28" s="63">
        <v>159.28</v>
      </c>
      <c r="D28" s="63">
        <v>1041.3900000000001</v>
      </c>
      <c r="E28" s="63">
        <v>15.41</v>
      </c>
      <c r="F28" s="63">
        <v>896.24</v>
      </c>
      <c r="G28" s="63">
        <v>131.07</v>
      </c>
      <c r="H28" s="63">
        <v>754.2</v>
      </c>
      <c r="I28" s="63">
        <v>10.97</v>
      </c>
      <c r="J28" s="18"/>
      <c r="K28" s="18"/>
      <c r="L28" s="18"/>
    </row>
    <row r="29" spans="1:15" x14ac:dyDescent="0.3">
      <c r="A29" s="64">
        <v>1995</v>
      </c>
      <c r="B29" s="65">
        <v>1356.93</v>
      </c>
      <c r="C29" s="65">
        <v>161.75</v>
      </c>
      <c r="D29" s="65">
        <v>1179.54</v>
      </c>
      <c r="E29" s="65">
        <v>15.64</v>
      </c>
      <c r="F29" s="65">
        <v>1001.04</v>
      </c>
      <c r="G29" s="65">
        <v>135.52000000000001</v>
      </c>
      <c r="H29" s="63">
        <v>855.11</v>
      </c>
      <c r="I29" s="63">
        <v>10.41</v>
      </c>
      <c r="J29" s="18"/>
      <c r="K29" s="18"/>
      <c r="L29" s="18"/>
    </row>
    <row r="30" spans="1:15" x14ac:dyDescent="0.3">
      <c r="A30" s="62">
        <v>1996</v>
      </c>
      <c r="B30" s="63">
        <v>1494.34</v>
      </c>
      <c r="C30" s="63">
        <v>171.93</v>
      </c>
      <c r="D30" s="63">
        <v>1309.44</v>
      </c>
      <c r="E30" s="63">
        <v>12.97</v>
      </c>
      <c r="F30" s="63">
        <v>1075.3800000000001</v>
      </c>
      <c r="G30" s="63">
        <v>141.11000000000001</v>
      </c>
      <c r="H30" s="63">
        <v>925.27</v>
      </c>
      <c r="I30" s="63">
        <v>9</v>
      </c>
      <c r="J30" s="18"/>
      <c r="K30" s="18"/>
      <c r="L30" s="18"/>
    </row>
    <row r="31" spans="1:15" x14ac:dyDescent="0.3">
      <c r="A31" s="62">
        <v>1997</v>
      </c>
      <c r="B31" s="63">
        <v>1601.92</v>
      </c>
      <c r="C31" s="63">
        <v>170.63</v>
      </c>
      <c r="D31" s="63">
        <v>1420.85</v>
      </c>
      <c r="E31" s="63">
        <v>10.44</v>
      </c>
      <c r="F31" s="63">
        <v>1055.94</v>
      </c>
      <c r="G31" s="63">
        <v>128.22</v>
      </c>
      <c r="H31" s="63">
        <v>918.9</v>
      </c>
      <c r="I31" s="63">
        <v>8.82</v>
      </c>
      <c r="J31" s="18"/>
      <c r="K31" s="18"/>
      <c r="L31" s="18"/>
    </row>
    <row r="32" spans="1:15" x14ac:dyDescent="0.3">
      <c r="A32" s="62">
        <v>1998</v>
      </c>
      <c r="B32" s="63">
        <v>1686.76</v>
      </c>
      <c r="C32" s="63">
        <v>155.66999999999999</v>
      </c>
      <c r="D32" s="63">
        <v>1519.45</v>
      </c>
      <c r="E32" s="63">
        <v>11.64</v>
      </c>
      <c r="F32" s="63">
        <v>1117.21</v>
      </c>
      <c r="G32" s="63">
        <v>117.71</v>
      </c>
      <c r="H32" s="63">
        <v>989.8</v>
      </c>
      <c r="I32" s="63">
        <v>9.6999999999999993</v>
      </c>
      <c r="J32" s="18"/>
      <c r="K32" s="18"/>
      <c r="L32" s="18"/>
    </row>
    <row r="33" spans="1:12" x14ac:dyDescent="0.3">
      <c r="A33" s="62">
        <v>1999</v>
      </c>
      <c r="B33" s="63">
        <v>1823.44</v>
      </c>
      <c r="C33" s="63">
        <v>158.78</v>
      </c>
      <c r="D33" s="63">
        <v>1652.17</v>
      </c>
      <c r="E33" s="63">
        <v>12.49</v>
      </c>
      <c r="F33" s="63">
        <v>1187.6099999999999</v>
      </c>
      <c r="G33" s="63">
        <v>125.97</v>
      </c>
      <c r="H33" s="63">
        <v>1052.67</v>
      </c>
      <c r="I33" s="63">
        <v>8.9700000000000006</v>
      </c>
      <c r="J33" s="18"/>
      <c r="K33" s="18"/>
      <c r="L33" s="18"/>
    </row>
    <row r="34" spans="1:12" x14ac:dyDescent="0.3">
      <c r="A34" s="62">
        <v>2000</v>
      </c>
      <c r="B34" s="63">
        <v>1808.34</v>
      </c>
      <c r="C34" s="63">
        <v>155.51</v>
      </c>
      <c r="D34" s="63">
        <v>1641.53</v>
      </c>
      <c r="E34" s="63">
        <v>11.3</v>
      </c>
      <c r="F34" s="63">
        <v>1025.6199999999999</v>
      </c>
      <c r="G34" s="63">
        <v>97.41</v>
      </c>
      <c r="H34" s="63">
        <v>920.61</v>
      </c>
      <c r="I34" s="63">
        <v>7.6</v>
      </c>
      <c r="J34" s="18"/>
      <c r="K34" s="18"/>
      <c r="L34" s="18"/>
    </row>
    <row r="35" spans="1:12" x14ac:dyDescent="0.3">
      <c r="A35" s="62">
        <v>2001</v>
      </c>
      <c r="B35" s="63">
        <v>1618.63</v>
      </c>
      <c r="C35" s="63">
        <v>104.36</v>
      </c>
      <c r="D35" s="63">
        <v>1506.27</v>
      </c>
      <c r="E35" s="63">
        <v>8</v>
      </c>
      <c r="F35" s="63">
        <v>904.58</v>
      </c>
      <c r="G35" s="63">
        <v>58.45</v>
      </c>
      <c r="H35" s="63">
        <v>840.43</v>
      </c>
      <c r="I35" s="63">
        <v>5.7</v>
      </c>
      <c r="J35" s="18"/>
      <c r="K35" s="18"/>
      <c r="L35" s="18"/>
    </row>
    <row r="36" spans="1:12" x14ac:dyDescent="0.3">
      <c r="A36" s="62">
        <v>2002</v>
      </c>
      <c r="B36" s="63">
        <v>1527.74</v>
      </c>
      <c r="C36" s="63">
        <v>73.19</v>
      </c>
      <c r="D36" s="63">
        <v>1448.53</v>
      </c>
      <c r="E36" s="63">
        <v>6.02</v>
      </c>
      <c r="F36" s="63">
        <v>959.89</v>
      </c>
      <c r="G36" s="63">
        <v>54.84</v>
      </c>
      <c r="H36" s="63">
        <v>899.43</v>
      </c>
      <c r="I36" s="63">
        <v>5.62</v>
      </c>
      <c r="J36" s="18"/>
      <c r="K36" s="18"/>
      <c r="L36" s="18"/>
    </row>
    <row r="37" spans="1:12" x14ac:dyDescent="0.3">
      <c r="A37" s="62">
        <v>2003</v>
      </c>
      <c r="B37" s="63">
        <v>1717.94</v>
      </c>
      <c r="C37" s="63">
        <v>81.87</v>
      </c>
      <c r="D37" s="63">
        <v>1629.8</v>
      </c>
      <c r="E37" s="63">
        <v>6.27</v>
      </c>
      <c r="F37" s="63">
        <v>923.53</v>
      </c>
      <c r="G37" s="63">
        <v>58.19</v>
      </c>
      <c r="H37" s="63">
        <v>861.91</v>
      </c>
      <c r="I37" s="63">
        <v>3.43</v>
      </c>
      <c r="J37" s="18"/>
      <c r="K37" s="18"/>
      <c r="L37" s="18"/>
    </row>
    <row r="38" spans="1:12" x14ac:dyDescent="0.3">
      <c r="A38" s="62">
        <v>2004</v>
      </c>
      <c r="B38" s="63">
        <v>1669.75</v>
      </c>
      <c r="C38" s="63">
        <v>87.64</v>
      </c>
      <c r="D38" s="63">
        <v>1576.65</v>
      </c>
      <c r="E38" s="63">
        <v>5.46</v>
      </c>
      <c r="F38" s="63">
        <v>904.76</v>
      </c>
      <c r="G38" s="63">
        <v>63.69</v>
      </c>
      <c r="H38" s="63">
        <v>837.32</v>
      </c>
      <c r="I38" s="63">
        <v>3.75</v>
      </c>
      <c r="J38" s="18"/>
      <c r="K38" s="18"/>
      <c r="L38" s="18"/>
    </row>
    <row r="39" spans="1:12" x14ac:dyDescent="0.3">
      <c r="A39" s="62">
        <v>2005</v>
      </c>
      <c r="B39" s="63">
        <v>1583.25</v>
      </c>
      <c r="C39" s="63">
        <v>91.11</v>
      </c>
      <c r="D39" s="63">
        <v>1486.15</v>
      </c>
      <c r="E39" s="63">
        <v>5.99</v>
      </c>
      <c r="F39" s="63">
        <v>830.72</v>
      </c>
      <c r="G39" s="63">
        <v>61.05</v>
      </c>
      <c r="H39" s="63">
        <v>765.61</v>
      </c>
      <c r="I39" s="63">
        <v>4.0599999999999996</v>
      </c>
      <c r="J39" s="18"/>
      <c r="K39" s="18"/>
      <c r="L39" s="18"/>
    </row>
    <row r="40" spans="1:12" x14ac:dyDescent="0.3">
      <c r="A40" s="64">
        <v>2006</v>
      </c>
      <c r="B40" s="65">
        <v>1460.68</v>
      </c>
      <c r="C40" s="65">
        <v>87.23</v>
      </c>
      <c r="D40" s="65">
        <v>1366.97</v>
      </c>
      <c r="E40" s="65">
        <v>6.48</v>
      </c>
      <c r="F40" s="65">
        <v>810.07</v>
      </c>
      <c r="G40" s="65">
        <v>63.89</v>
      </c>
      <c r="H40" s="63">
        <v>742.33</v>
      </c>
      <c r="I40" s="63">
        <v>3.85</v>
      </c>
      <c r="J40" s="18"/>
      <c r="K40" s="18"/>
      <c r="L40" s="18"/>
    </row>
    <row r="41" spans="1:12" ht="14.25" customHeight="1" x14ac:dyDescent="0.3">
      <c r="A41" s="64">
        <v>2007</v>
      </c>
      <c r="B41" s="65">
        <v>1437.25</v>
      </c>
      <c r="C41" s="65">
        <v>102.62</v>
      </c>
      <c r="D41" s="65">
        <v>1329.71</v>
      </c>
      <c r="E41" s="65">
        <v>4.92</v>
      </c>
      <c r="F41" s="65">
        <v>719.86</v>
      </c>
      <c r="G41" s="65">
        <v>69.45</v>
      </c>
      <c r="H41" s="65">
        <v>646.04999999999995</v>
      </c>
      <c r="I41" s="65">
        <v>4.3600000000000003</v>
      </c>
      <c r="J41" s="18"/>
      <c r="K41" s="18"/>
      <c r="L41" s="18"/>
    </row>
    <row r="42" spans="1:12" ht="14.25" customHeight="1" x14ac:dyDescent="0.3">
      <c r="A42" s="64">
        <v>2008</v>
      </c>
      <c r="B42" s="47">
        <v>1332.02</v>
      </c>
      <c r="C42" s="47">
        <v>111.91</v>
      </c>
      <c r="D42" s="47">
        <v>1212.8800000000001</v>
      </c>
      <c r="E42" s="65">
        <v>7.23</v>
      </c>
      <c r="F42" s="47">
        <v>710.09</v>
      </c>
      <c r="G42" s="47">
        <v>82.84</v>
      </c>
      <c r="H42" s="47">
        <v>622.12</v>
      </c>
      <c r="I42" s="47">
        <v>5.13</v>
      </c>
      <c r="J42" s="18"/>
      <c r="K42" s="18"/>
      <c r="L42" s="18"/>
    </row>
    <row r="43" spans="1:12" x14ac:dyDescent="0.3">
      <c r="A43" s="64">
        <v>2009</v>
      </c>
      <c r="B43" s="47">
        <v>1282.98</v>
      </c>
      <c r="C43" s="47">
        <v>123.33</v>
      </c>
      <c r="D43" s="47">
        <v>1152.08</v>
      </c>
      <c r="E43" s="65">
        <v>7.57</v>
      </c>
      <c r="F43" s="47">
        <v>703.79</v>
      </c>
      <c r="G43" s="47">
        <v>94.52</v>
      </c>
      <c r="H43" s="47">
        <v>603.58000000000004</v>
      </c>
      <c r="I43" s="47">
        <v>5.69</v>
      </c>
      <c r="J43" s="18"/>
      <c r="K43" s="18"/>
      <c r="L43" s="18"/>
    </row>
    <row r="44" spans="1:12" x14ac:dyDescent="0.3">
      <c r="A44" s="64">
        <v>2010</v>
      </c>
      <c r="B44" s="47">
        <v>1223.3599999999999</v>
      </c>
      <c r="C44" s="66">
        <v>129</v>
      </c>
      <c r="D44" s="47">
        <v>1086.6199999999999</v>
      </c>
      <c r="E44" s="65">
        <v>7.74</v>
      </c>
      <c r="F44" s="47">
        <v>640.92999999999995</v>
      </c>
      <c r="G44" s="47">
        <v>90.83</v>
      </c>
      <c r="H44" s="47">
        <v>544.35</v>
      </c>
      <c r="I44" s="47">
        <v>5.75</v>
      </c>
      <c r="J44" s="18"/>
      <c r="K44" s="18"/>
      <c r="L44" s="18"/>
    </row>
    <row r="45" spans="1:12" x14ac:dyDescent="0.3">
      <c r="A45" s="64">
        <v>2011</v>
      </c>
      <c r="B45" s="47">
        <v>1181.24</v>
      </c>
      <c r="C45" s="66">
        <v>124.65</v>
      </c>
      <c r="D45" s="47">
        <v>1049.5</v>
      </c>
      <c r="E45" s="65">
        <v>7.09</v>
      </c>
      <c r="F45" s="47">
        <v>635.07000000000005</v>
      </c>
      <c r="G45" s="47">
        <v>95.04</v>
      </c>
      <c r="H45" s="47">
        <v>534.79999999999995</v>
      </c>
      <c r="I45" s="47">
        <v>5.23</v>
      </c>
      <c r="J45" s="18"/>
      <c r="K45" s="18"/>
      <c r="L45" s="18"/>
    </row>
    <row r="46" spans="1:12" x14ac:dyDescent="0.3">
      <c r="A46" s="64">
        <v>2012</v>
      </c>
      <c r="B46" s="47">
        <v>1178.52</v>
      </c>
      <c r="C46" s="47">
        <v>126.58</v>
      </c>
      <c r="D46" s="65">
        <v>1044.8</v>
      </c>
      <c r="E46" s="65">
        <v>7.15</v>
      </c>
      <c r="F46" s="47">
        <v>657.49</v>
      </c>
      <c r="G46" s="47">
        <v>96.62</v>
      </c>
      <c r="H46" s="67">
        <v>555.87</v>
      </c>
      <c r="I46" s="47">
        <v>5</v>
      </c>
      <c r="J46" s="18"/>
      <c r="K46" s="18"/>
      <c r="L46" s="18"/>
    </row>
    <row r="47" spans="1:12" x14ac:dyDescent="0.3">
      <c r="A47" s="68">
        <v>2013</v>
      </c>
      <c r="B47" s="47">
        <v>1288.19</v>
      </c>
      <c r="C47" s="47">
        <v>136.57</v>
      </c>
      <c r="D47" s="47">
        <v>1144.25</v>
      </c>
      <c r="E47" s="65">
        <v>7.36</v>
      </c>
      <c r="F47" s="47">
        <v>718.79</v>
      </c>
      <c r="G47" s="47">
        <v>103.29</v>
      </c>
      <c r="H47" s="47">
        <v>610.04</v>
      </c>
      <c r="I47" s="47">
        <v>5.46</v>
      </c>
      <c r="J47" s="18"/>
      <c r="K47" s="18"/>
      <c r="L47" s="18"/>
    </row>
    <row r="48" spans="1:12" x14ac:dyDescent="0.3">
      <c r="A48" s="68">
        <v>2014</v>
      </c>
      <c r="B48" s="47">
        <v>1476.89</v>
      </c>
      <c r="C48" s="47">
        <v>148.19999999999999</v>
      </c>
      <c r="D48" s="47">
        <v>1321.25</v>
      </c>
      <c r="E48" s="65">
        <v>7.44</v>
      </c>
      <c r="F48" s="47">
        <v>795.49</v>
      </c>
      <c r="G48" s="47">
        <v>111.08</v>
      </c>
      <c r="H48" s="47">
        <v>678.99</v>
      </c>
      <c r="I48" s="47">
        <v>5.42</v>
      </c>
      <c r="J48" s="18"/>
      <c r="K48" s="18"/>
      <c r="L48" s="18"/>
    </row>
    <row r="49" spans="1:12" x14ac:dyDescent="0.3">
      <c r="A49" s="83">
        <v>2015</v>
      </c>
      <c r="B49" s="83">
        <v>1555.67</v>
      </c>
      <c r="C49" s="83">
        <v>162.12</v>
      </c>
      <c r="D49" s="83">
        <v>1386.45</v>
      </c>
      <c r="E49" s="99">
        <v>7.1</v>
      </c>
      <c r="F49" s="83">
        <v>730.32</v>
      </c>
      <c r="G49" s="83">
        <v>103.37</v>
      </c>
      <c r="H49" s="83">
        <v>622.16</v>
      </c>
      <c r="I49" s="83">
        <v>4.79</v>
      </c>
      <c r="J49" s="18"/>
      <c r="K49" s="18"/>
      <c r="L49" s="18"/>
    </row>
    <row r="50" spans="1:12" x14ac:dyDescent="0.3">
      <c r="A50" s="105">
        <v>2016</v>
      </c>
      <c r="B50" s="105">
        <v>1630.17</v>
      </c>
      <c r="C50" s="105">
        <v>177.84</v>
      </c>
      <c r="D50" s="105">
        <v>1445.76</v>
      </c>
      <c r="E50" s="112">
        <v>6.57</v>
      </c>
      <c r="F50" s="105">
        <v>794.51</v>
      </c>
      <c r="G50" s="105">
        <v>102.3</v>
      </c>
      <c r="H50" s="105">
        <v>687.56</v>
      </c>
      <c r="I50" s="105">
        <v>4.6500000000000004</v>
      </c>
      <c r="J50" s="35"/>
      <c r="K50" s="18"/>
      <c r="L50" s="18"/>
    </row>
    <row r="51" spans="1:12" x14ac:dyDescent="0.3">
      <c r="A51" s="18"/>
      <c r="B51" s="18"/>
      <c r="C51" s="18"/>
      <c r="D51" s="18"/>
      <c r="E51" s="96"/>
      <c r="F51" s="18"/>
      <c r="G51" s="18"/>
      <c r="H51" s="18"/>
      <c r="I51" s="18"/>
      <c r="J51" s="18"/>
      <c r="K51" s="18"/>
      <c r="L51" s="18"/>
    </row>
    <row r="52" spans="1:12" x14ac:dyDescent="0.3">
      <c r="A52" s="18"/>
      <c r="B52" s="18"/>
      <c r="C52" s="18"/>
      <c r="D52" s="18"/>
      <c r="E52" s="96"/>
      <c r="F52" s="18"/>
      <c r="G52" s="18"/>
      <c r="H52" s="18"/>
      <c r="I52" s="18"/>
      <c r="J52" s="18"/>
      <c r="K52" s="18"/>
      <c r="L52" s="18"/>
    </row>
    <row r="53" spans="1:12" x14ac:dyDescent="0.3">
      <c r="A53" s="18"/>
      <c r="B53" s="18"/>
      <c r="C53" s="18"/>
      <c r="D53" s="18"/>
      <c r="E53" s="96"/>
      <c r="F53" s="18"/>
      <c r="G53" s="18"/>
      <c r="H53" s="18"/>
      <c r="I53" s="18"/>
      <c r="J53" s="18"/>
      <c r="K53" s="18"/>
      <c r="L53" s="18"/>
    </row>
    <row r="54" spans="1:12" x14ac:dyDescent="0.3">
      <c r="A54" s="18"/>
      <c r="B54" s="18"/>
      <c r="C54" s="18"/>
      <c r="D54" s="18"/>
      <c r="E54" s="96"/>
      <c r="F54" s="18"/>
      <c r="G54" s="18"/>
      <c r="H54" s="18"/>
      <c r="I54" s="18"/>
      <c r="J54" s="18"/>
      <c r="K54" s="18"/>
      <c r="L54" s="18"/>
    </row>
    <row r="55" spans="1:12" x14ac:dyDescent="0.3">
      <c r="A55" s="18"/>
      <c r="B55" s="18"/>
      <c r="C55" s="18"/>
      <c r="D55" s="18"/>
      <c r="E55" s="96"/>
      <c r="F55" s="18"/>
      <c r="G55" s="18"/>
      <c r="H55" s="18"/>
      <c r="I55" s="18"/>
      <c r="J55" s="18"/>
      <c r="K55" s="18"/>
      <c r="L55" s="18"/>
    </row>
    <row r="56" spans="1:12" x14ac:dyDescent="0.3">
      <c r="A56" s="18"/>
      <c r="B56" s="18"/>
      <c r="C56" s="18"/>
      <c r="D56" s="18"/>
      <c r="E56" s="96"/>
      <c r="F56" s="18"/>
      <c r="G56" s="18"/>
      <c r="H56" s="18"/>
      <c r="I56" s="18"/>
      <c r="J56" s="18"/>
      <c r="K56" s="18"/>
      <c r="L56" s="18"/>
    </row>
    <row r="57" spans="1:12" x14ac:dyDescent="0.3">
      <c r="A57" s="18"/>
      <c r="B57" s="18"/>
      <c r="C57" s="18"/>
      <c r="D57" s="18"/>
      <c r="E57" s="96"/>
      <c r="F57" s="18"/>
      <c r="G57" s="18"/>
      <c r="H57" s="18"/>
      <c r="I57" s="18"/>
      <c r="J57" s="18"/>
      <c r="K57" s="18"/>
      <c r="L57" s="18"/>
    </row>
    <row r="58" spans="1:12" x14ac:dyDescent="0.3">
      <c r="A58" s="18"/>
      <c r="B58" s="18"/>
      <c r="C58" s="18"/>
      <c r="D58" s="18"/>
      <c r="E58" s="96"/>
      <c r="F58" s="18"/>
      <c r="G58" s="18"/>
      <c r="H58" s="18"/>
      <c r="I58" s="18"/>
      <c r="J58" s="18"/>
      <c r="K58" s="18"/>
      <c r="L58" s="18"/>
    </row>
    <row r="59" spans="1:12" x14ac:dyDescent="0.3">
      <c r="A59" s="18"/>
      <c r="B59" s="18"/>
      <c r="C59" s="18"/>
      <c r="D59" s="18"/>
      <c r="E59" s="96"/>
      <c r="F59" s="18"/>
      <c r="G59" s="18"/>
      <c r="H59" s="18"/>
      <c r="I59" s="18"/>
      <c r="J59" s="18"/>
      <c r="K59" s="18"/>
      <c r="L59" s="18"/>
    </row>
    <row r="60" spans="1:12" x14ac:dyDescent="0.3">
      <c r="A60" s="18"/>
      <c r="B60" s="18"/>
      <c r="C60" s="18"/>
      <c r="D60" s="18"/>
      <c r="E60" s="96"/>
      <c r="F60" s="18"/>
      <c r="G60" s="18"/>
      <c r="H60" s="18"/>
      <c r="I60" s="18"/>
      <c r="J60" s="18"/>
      <c r="K60" s="18"/>
      <c r="L60" s="18"/>
    </row>
    <row r="61" spans="1:12" x14ac:dyDescent="0.3">
      <c r="A61" s="18"/>
      <c r="B61" s="18"/>
      <c r="C61" s="18"/>
      <c r="D61" s="18"/>
      <c r="E61" s="96"/>
      <c r="F61" s="18"/>
      <c r="G61" s="18"/>
      <c r="H61" s="18"/>
      <c r="I61" s="18"/>
      <c r="J61" s="18"/>
      <c r="K61" s="18"/>
      <c r="L61" s="18"/>
    </row>
    <row r="62" spans="1:12" x14ac:dyDescent="0.3">
      <c r="A62" s="18"/>
      <c r="B62" s="18"/>
      <c r="C62" s="18"/>
      <c r="D62" s="18"/>
      <c r="E62" s="96"/>
      <c r="F62" s="18"/>
      <c r="G62" s="18"/>
      <c r="H62" s="18"/>
      <c r="I62" s="18"/>
      <c r="J62" s="18"/>
      <c r="K62" s="18"/>
      <c r="L62" s="18"/>
    </row>
    <row r="63" spans="1:12" x14ac:dyDescent="0.3">
      <c r="A63" s="18"/>
      <c r="B63" s="18"/>
      <c r="C63" s="18"/>
      <c r="D63" s="18"/>
      <c r="E63" s="96"/>
      <c r="F63" s="18"/>
      <c r="G63" s="18"/>
      <c r="H63" s="18"/>
      <c r="I63" s="18"/>
      <c r="J63" s="18"/>
      <c r="K63" s="18"/>
      <c r="L63" s="18"/>
    </row>
    <row r="64" spans="1:12" x14ac:dyDescent="0.3">
      <c r="A64" s="18"/>
      <c r="B64" s="18"/>
      <c r="C64" s="18"/>
      <c r="D64" s="18"/>
      <c r="E64" s="96"/>
      <c r="F64" s="18"/>
      <c r="G64" s="18"/>
      <c r="H64" s="18"/>
      <c r="I64" s="18"/>
      <c r="J64" s="18"/>
      <c r="K64" s="18"/>
      <c r="L64" s="18"/>
    </row>
    <row r="65" spans="1:12" x14ac:dyDescent="0.3">
      <c r="A65" s="18"/>
      <c r="B65" s="18"/>
      <c r="C65" s="18"/>
      <c r="D65" s="18"/>
      <c r="E65" s="96"/>
      <c r="F65" s="18"/>
      <c r="G65" s="18"/>
      <c r="H65" s="18"/>
      <c r="I65" s="18"/>
      <c r="J65" s="18"/>
      <c r="K65" s="18"/>
      <c r="L65" s="18"/>
    </row>
    <row r="66" spans="1:12" x14ac:dyDescent="0.3">
      <c r="A66" s="18"/>
      <c r="B66" s="18"/>
      <c r="C66" s="18"/>
      <c r="D66" s="18"/>
      <c r="E66" s="96"/>
      <c r="F66" s="18"/>
      <c r="G66" s="18"/>
      <c r="H66" s="18"/>
      <c r="I66" s="18"/>
      <c r="J66" s="18"/>
      <c r="K66" s="18"/>
      <c r="L66" s="18"/>
    </row>
    <row r="67" spans="1:12" x14ac:dyDescent="0.3">
      <c r="A67" s="18"/>
      <c r="B67" s="18"/>
      <c r="C67" s="18"/>
      <c r="D67" s="18"/>
      <c r="E67" s="96"/>
      <c r="F67" s="18"/>
      <c r="G67" s="18"/>
      <c r="H67" s="18"/>
      <c r="I67" s="18"/>
      <c r="J67" s="18"/>
      <c r="K67" s="18"/>
      <c r="L67" s="18"/>
    </row>
    <row r="68" spans="1:12" x14ac:dyDescent="0.3">
      <c r="A68" s="18"/>
      <c r="B68" s="18"/>
      <c r="C68" s="18"/>
      <c r="D68" s="18"/>
      <c r="E68" s="96"/>
      <c r="F68" s="18"/>
      <c r="G68" s="18"/>
      <c r="H68" s="18"/>
      <c r="I68" s="18"/>
      <c r="J68" s="18"/>
      <c r="K68" s="18"/>
      <c r="L68" s="18"/>
    </row>
    <row r="69" spans="1:12" x14ac:dyDescent="0.3">
      <c r="A69" s="18"/>
      <c r="B69" s="18"/>
      <c r="C69" s="18"/>
      <c r="D69" s="18"/>
      <c r="E69" s="96"/>
      <c r="F69" s="18"/>
      <c r="G69" s="18"/>
      <c r="H69" s="18"/>
      <c r="I69" s="18"/>
      <c r="J69" s="18"/>
      <c r="K69" s="18"/>
      <c r="L69" s="18"/>
    </row>
    <row r="70" spans="1:12" x14ac:dyDescent="0.3">
      <c r="A70" s="18"/>
      <c r="B70" s="18"/>
      <c r="C70" s="18"/>
      <c r="D70" s="18"/>
      <c r="E70" s="96"/>
      <c r="F70" s="18"/>
      <c r="G70" s="18"/>
      <c r="H70" s="18"/>
      <c r="I70" s="18"/>
      <c r="J70" s="18"/>
      <c r="K70" s="18"/>
      <c r="L70" s="18"/>
    </row>
    <row r="71" spans="1:12" x14ac:dyDescent="0.3">
      <c r="A71" s="18"/>
      <c r="B71" s="18"/>
      <c r="C71" s="18"/>
      <c r="D71" s="18"/>
      <c r="E71" s="96"/>
      <c r="F71" s="18"/>
      <c r="G71" s="18"/>
      <c r="H71" s="18"/>
      <c r="I71" s="18"/>
      <c r="J71" s="18"/>
      <c r="K71" s="18"/>
      <c r="L71" s="18"/>
    </row>
    <row r="72" spans="1:12" x14ac:dyDescent="0.3">
      <c r="A72" s="18"/>
      <c r="B72" s="18"/>
      <c r="C72" s="18"/>
      <c r="D72" s="18"/>
      <c r="E72" s="96"/>
      <c r="F72" s="18"/>
      <c r="G72" s="18"/>
      <c r="H72" s="18"/>
      <c r="I72" s="18"/>
      <c r="J72" s="18"/>
      <c r="K72" s="18"/>
      <c r="L72" s="18"/>
    </row>
    <row r="73" spans="1:12" x14ac:dyDescent="0.3">
      <c r="A73" s="18"/>
      <c r="B73" s="18"/>
      <c r="C73" s="18"/>
      <c r="D73" s="18"/>
      <c r="E73" s="96"/>
      <c r="F73" s="18"/>
      <c r="G73" s="18"/>
      <c r="H73" s="18"/>
      <c r="I73" s="18"/>
      <c r="J73" s="18"/>
      <c r="K73" s="18"/>
      <c r="L73" s="18"/>
    </row>
    <row r="74" spans="1:12" x14ac:dyDescent="0.3">
      <c r="A74" s="18"/>
      <c r="B74" s="18"/>
      <c r="C74" s="18"/>
      <c r="D74" s="18"/>
      <c r="E74" s="96"/>
      <c r="F74" s="18"/>
      <c r="G74" s="18"/>
      <c r="H74" s="18"/>
      <c r="I74" s="18"/>
      <c r="J74" s="18"/>
      <c r="K74" s="18"/>
      <c r="L74" s="18"/>
    </row>
    <row r="75" spans="1:12" x14ac:dyDescent="0.3">
      <c r="A75" s="18"/>
      <c r="B75" s="18"/>
      <c r="C75" s="18"/>
      <c r="D75" s="18"/>
      <c r="E75" s="96"/>
      <c r="F75" s="18"/>
      <c r="G75" s="18"/>
      <c r="H75" s="18"/>
      <c r="I75" s="18"/>
      <c r="J75" s="18"/>
      <c r="K75" s="18"/>
      <c r="L75" s="18"/>
    </row>
    <row r="76" spans="1:12" x14ac:dyDescent="0.3">
      <c r="A76" s="18"/>
      <c r="B76" s="18"/>
      <c r="C76" s="18"/>
      <c r="D76" s="18"/>
      <c r="E76" s="96"/>
      <c r="F76" s="18"/>
      <c r="G76" s="18"/>
      <c r="H76" s="18"/>
      <c r="I76" s="18"/>
      <c r="J76" s="18"/>
      <c r="K76" s="18"/>
      <c r="L76" s="18"/>
    </row>
    <row r="77" spans="1:12" x14ac:dyDescent="0.3">
      <c r="A77" s="18"/>
      <c r="B77" s="18"/>
      <c r="C77" s="18"/>
      <c r="D77" s="18"/>
      <c r="E77" s="96"/>
      <c r="F77" s="18"/>
      <c r="G77" s="18"/>
      <c r="H77" s="18"/>
      <c r="I77" s="18"/>
      <c r="J77" s="18"/>
      <c r="K77" s="18"/>
      <c r="L77" s="18"/>
    </row>
    <row r="78" spans="1:12" x14ac:dyDescent="0.3">
      <c r="A78" s="18"/>
      <c r="B78" s="18"/>
      <c r="C78" s="18"/>
      <c r="D78" s="18"/>
      <c r="E78" s="96"/>
      <c r="F78" s="18"/>
      <c r="G78" s="18"/>
      <c r="H78" s="18"/>
      <c r="I78" s="18"/>
      <c r="J78" s="18"/>
      <c r="K78" s="18"/>
      <c r="L78" s="18"/>
    </row>
    <row r="79" spans="1:12" x14ac:dyDescent="0.3">
      <c r="A79" s="18"/>
      <c r="B79" s="18"/>
      <c r="C79" s="18"/>
      <c r="D79" s="18"/>
      <c r="E79" s="96"/>
      <c r="F79" s="18"/>
      <c r="G79" s="18"/>
      <c r="H79" s="18"/>
      <c r="I79" s="18"/>
      <c r="J79" s="18"/>
      <c r="K79" s="18"/>
      <c r="L79" s="18"/>
    </row>
    <row r="80" spans="1:12" x14ac:dyDescent="0.3">
      <c r="A80" s="18"/>
      <c r="B80" s="18"/>
      <c r="C80" s="18"/>
      <c r="D80" s="18"/>
      <c r="E80" s="96"/>
      <c r="F80" s="18"/>
      <c r="G80" s="18"/>
      <c r="H80" s="18"/>
      <c r="I80" s="18"/>
      <c r="J80" s="18"/>
      <c r="K80" s="18"/>
      <c r="L80" s="18"/>
    </row>
    <row r="81" spans="1:12" x14ac:dyDescent="0.3">
      <c r="A81" s="18"/>
      <c r="B81" s="18"/>
      <c r="C81" s="18"/>
      <c r="D81" s="18"/>
      <c r="E81" s="96"/>
      <c r="F81" s="18"/>
      <c r="G81" s="18"/>
      <c r="H81" s="18"/>
      <c r="I81" s="18"/>
      <c r="J81" s="18"/>
      <c r="K81" s="18"/>
      <c r="L81" s="18"/>
    </row>
    <row r="82" spans="1:12" x14ac:dyDescent="0.3">
      <c r="A82" s="18"/>
      <c r="B82" s="18"/>
      <c r="C82" s="18"/>
      <c r="D82" s="18"/>
      <c r="E82" s="96"/>
      <c r="F82" s="18"/>
      <c r="G82" s="18"/>
      <c r="H82" s="18"/>
      <c r="I82" s="18"/>
      <c r="J82" s="18"/>
      <c r="K82" s="18"/>
      <c r="L82" s="18"/>
    </row>
    <row r="83" spans="1:12" x14ac:dyDescent="0.3">
      <c r="A83" s="18"/>
      <c r="B83" s="18"/>
      <c r="C83" s="18"/>
      <c r="D83" s="18"/>
      <c r="E83" s="96"/>
      <c r="F83" s="18"/>
      <c r="G83" s="18"/>
      <c r="H83" s="18"/>
      <c r="I83" s="18"/>
      <c r="J83" s="18"/>
      <c r="K83" s="18"/>
      <c r="L83" s="18"/>
    </row>
    <row r="84" spans="1:12" x14ac:dyDescent="0.3">
      <c r="A84" s="18"/>
      <c r="B84" s="18"/>
      <c r="C84" s="18"/>
      <c r="D84" s="18"/>
      <c r="E84" s="96"/>
      <c r="F84" s="18"/>
      <c r="G84" s="18"/>
      <c r="H84" s="18"/>
      <c r="I84" s="18"/>
      <c r="J84" s="18"/>
      <c r="K84" s="18"/>
      <c r="L84" s="18"/>
    </row>
    <row r="85" spans="1:12" x14ac:dyDescent="0.3">
      <c r="A85" s="18"/>
      <c r="B85" s="18"/>
      <c r="C85" s="18"/>
      <c r="D85" s="18"/>
      <c r="E85" s="96"/>
      <c r="F85" s="18"/>
      <c r="G85" s="18"/>
      <c r="H85" s="18"/>
      <c r="I85" s="18"/>
      <c r="J85" s="18"/>
      <c r="K85" s="18"/>
      <c r="L85" s="18"/>
    </row>
    <row r="86" spans="1:12" x14ac:dyDescent="0.3">
      <c r="A86" s="18"/>
      <c r="B86" s="18"/>
      <c r="C86" s="18"/>
      <c r="D86" s="18"/>
      <c r="E86" s="96"/>
      <c r="F86" s="18"/>
      <c r="G86" s="18"/>
      <c r="H86" s="18"/>
      <c r="I86" s="18"/>
      <c r="J86" s="18"/>
      <c r="K86" s="18"/>
      <c r="L86" s="18"/>
    </row>
    <row r="87" spans="1:12" x14ac:dyDescent="0.3">
      <c r="A87" s="18"/>
      <c r="B87" s="18"/>
      <c r="C87" s="18"/>
      <c r="D87" s="18"/>
      <c r="E87" s="96"/>
      <c r="F87" s="18"/>
      <c r="G87" s="18"/>
      <c r="H87" s="18"/>
      <c r="I87" s="18"/>
      <c r="J87" s="18"/>
      <c r="K87" s="18"/>
      <c r="L87" s="18"/>
    </row>
    <row r="88" spans="1:12" x14ac:dyDescent="0.3">
      <c r="A88" s="18"/>
      <c r="B88" s="18"/>
      <c r="C88" s="18"/>
      <c r="D88" s="18"/>
      <c r="E88" s="96"/>
      <c r="F88" s="18"/>
      <c r="G88" s="18"/>
      <c r="H88" s="18"/>
      <c r="I88" s="18"/>
      <c r="J88" s="18"/>
      <c r="K88" s="18"/>
      <c r="L88" s="18"/>
    </row>
    <row r="89" spans="1:12" x14ac:dyDescent="0.3">
      <c r="A89" s="18"/>
      <c r="B89" s="18"/>
      <c r="C89" s="18"/>
      <c r="D89" s="18"/>
      <c r="E89" s="96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8"/>
      <c r="E90" s="96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8"/>
      <c r="E91" s="96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8"/>
      <c r="E92" s="96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8"/>
      <c r="E93" s="96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8"/>
      <c r="E94" s="96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8"/>
      <c r="E95" s="96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8"/>
      <c r="E96" s="96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8"/>
      <c r="E97" s="96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8"/>
      <c r="E98" s="96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8"/>
      <c r="E99" s="96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8"/>
      <c r="E100" s="96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8"/>
      <c r="E101" s="96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8"/>
      <c r="E102" s="96"/>
      <c r="F102" s="18"/>
      <c r="G102" s="18"/>
      <c r="H102" s="18"/>
      <c r="I102" s="18"/>
      <c r="J102" s="18"/>
      <c r="K102" s="18"/>
      <c r="L102" s="18"/>
    </row>
    <row r="103" spans="1:12" x14ac:dyDescent="0.3">
      <c r="A103" s="18"/>
      <c r="B103" s="18"/>
      <c r="C103" s="18"/>
      <c r="D103" s="18"/>
      <c r="E103" s="96"/>
      <c r="F103" s="18"/>
      <c r="G103" s="18"/>
      <c r="H103" s="18"/>
      <c r="I103" s="18"/>
      <c r="J103" s="18"/>
      <c r="K103" s="18"/>
      <c r="L103" s="18"/>
    </row>
    <row r="104" spans="1:12" x14ac:dyDescent="0.3">
      <c r="A104" s="18"/>
      <c r="B104" s="18"/>
      <c r="C104" s="18"/>
      <c r="D104" s="18"/>
      <c r="E104" s="96"/>
      <c r="F104" s="18"/>
      <c r="G104" s="18"/>
      <c r="H104" s="18"/>
      <c r="I104" s="18"/>
      <c r="J104" s="18"/>
      <c r="K104" s="18"/>
      <c r="L104" s="18"/>
    </row>
    <row r="105" spans="1:12" x14ac:dyDescent="0.3">
      <c r="A105" s="18"/>
      <c r="B105" s="18"/>
      <c r="C105" s="18"/>
      <c r="D105" s="18"/>
      <c r="E105" s="96"/>
      <c r="F105" s="18"/>
      <c r="G105" s="18"/>
      <c r="H105" s="18"/>
      <c r="I105" s="18"/>
      <c r="J105" s="18"/>
      <c r="K105" s="18"/>
      <c r="L105" s="18"/>
    </row>
    <row r="106" spans="1:12" x14ac:dyDescent="0.3">
      <c r="A106" s="18"/>
      <c r="B106" s="18"/>
      <c r="C106" s="18"/>
      <c r="D106" s="18"/>
      <c r="E106" s="96"/>
      <c r="F106" s="18"/>
      <c r="G106" s="18"/>
      <c r="H106" s="18"/>
      <c r="I106" s="18"/>
      <c r="J106" s="18"/>
      <c r="K106" s="18"/>
      <c r="L106" s="18"/>
    </row>
    <row r="107" spans="1:12" x14ac:dyDescent="0.3">
      <c r="A107" s="18"/>
      <c r="B107" s="18"/>
      <c r="C107" s="18"/>
      <c r="D107" s="18"/>
      <c r="E107" s="96"/>
      <c r="F107" s="18"/>
      <c r="G107" s="18"/>
      <c r="H107" s="18"/>
      <c r="I107" s="18"/>
      <c r="J107" s="18"/>
      <c r="K107" s="18"/>
      <c r="L107" s="18"/>
    </row>
    <row r="108" spans="1:12" x14ac:dyDescent="0.3">
      <c r="A108" s="18"/>
      <c r="B108" s="18"/>
      <c r="C108" s="18"/>
      <c r="D108" s="18"/>
      <c r="E108" s="96"/>
      <c r="F108" s="18"/>
      <c r="G108" s="18"/>
      <c r="H108" s="18"/>
      <c r="I108" s="18"/>
      <c r="J108" s="18"/>
      <c r="K108" s="18"/>
      <c r="L108" s="18"/>
    </row>
    <row r="109" spans="1:12" x14ac:dyDescent="0.3">
      <c r="A109" s="18"/>
      <c r="B109" s="18"/>
      <c r="C109" s="18"/>
      <c r="D109" s="18"/>
      <c r="E109" s="96"/>
      <c r="F109" s="18"/>
      <c r="G109" s="18"/>
      <c r="H109" s="18"/>
      <c r="I109" s="18"/>
      <c r="J109" s="18"/>
      <c r="K109" s="18"/>
      <c r="L109" s="18"/>
    </row>
    <row r="110" spans="1:12" x14ac:dyDescent="0.3">
      <c r="A110" s="18"/>
      <c r="B110" s="18"/>
      <c r="C110" s="18"/>
      <c r="D110" s="18"/>
      <c r="E110" s="96"/>
      <c r="F110" s="18"/>
      <c r="G110" s="18"/>
      <c r="H110" s="18"/>
      <c r="I110" s="18"/>
      <c r="J110" s="18"/>
      <c r="K110" s="18"/>
      <c r="L110" s="18"/>
    </row>
    <row r="111" spans="1:12" x14ac:dyDescent="0.3">
      <c r="A111" s="18"/>
      <c r="B111" s="18"/>
      <c r="C111" s="18"/>
      <c r="D111" s="18"/>
      <c r="E111" s="96"/>
      <c r="F111" s="18"/>
      <c r="G111" s="18"/>
      <c r="H111" s="18"/>
      <c r="I111" s="18"/>
      <c r="J111" s="18"/>
      <c r="K111" s="18"/>
      <c r="L111" s="18"/>
    </row>
    <row r="112" spans="1:12" x14ac:dyDescent="0.3">
      <c r="A112" s="18"/>
      <c r="B112" s="18"/>
      <c r="C112" s="18"/>
      <c r="D112" s="18"/>
      <c r="E112" s="96"/>
      <c r="F112" s="18"/>
      <c r="G112" s="18"/>
      <c r="H112" s="18"/>
      <c r="I112" s="18"/>
      <c r="J112" s="18"/>
      <c r="K112" s="18"/>
      <c r="L112" s="18"/>
    </row>
    <row r="113" spans="1:12" x14ac:dyDescent="0.3">
      <c r="A113" s="18"/>
      <c r="B113" s="18"/>
      <c r="C113" s="18"/>
      <c r="D113" s="18"/>
      <c r="E113" s="96"/>
      <c r="F113" s="18"/>
      <c r="G113" s="18"/>
      <c r="H113" s="18"/>
      <c r="I113" s="18"/>
      <c r="J113" s="18"/>
      <c r="K113" s="18"/>
      <c r="L113" s="18"/>
    </row>
    <row r="114" spans="1:12" x14ac:dyDescent="0.3">
      <c r="A114" s="18"/>
      <c r="B114" s="18"/>
      <c r="C114" s="18"/>
      <c r="D114" s="18"/>
      <c r="E114" s="96"/>
      <c r="F114" s="18"/>
      <c r="G114" s="18"/>
      <c r="H114" s="18"/>
      <c r="I114" s="18"/>
      <c r="J114" s="18"/>
      <c r="K114" s="18"/>
      <c r="L114" s="18"/>
    </row>
    <row r="115" spans="1:12" x14ac:dyDescent="0.3">
      <c r="A115" s="18"/>
      <c r="B115" s="18"/>
      <c r="C115" s="18"/>
      <c r="D115" s="18"/>
      <c r="E115" s="96"/>
      <c r="F115" s="18"/>
      <c r="G115" s="18"/>
      <c r="H115" s="18"/>
      <c r="I115" s="18"/>
      <c r="J115" s="18"/>
      <c r="K115" s="18"/>
      <c r="L115" s="18"/>
    </row>
    <row r="116" spans="1:12" x14ac:dyDescent="0.3">
      <c r="A116" s="18"/>
      <c r="B116" s="18"/>
      <c r="C116" s="18"/>
      <c r="D116" s="18"/>
      <c r="E116" s="96"/>
      <c r="F116" s="18"/>
      <c r="G116" s="18"/>
      <c r="H116" s="18"/>
      <c r="I116" s="18"/>
      <c r="J116" s="18"/>
      <c r="K116" s="18"/>
      <c r="L116" s="18"/>
    </row>
  </sheetData>
  <mergeCells count="5">
    <mergeCell ref="A1:I1"/>
    <mergeCell ref="A2:I2"/>
    <mergeCell ref="B3:E3"/>
    <mergeCell ref="F3:I3"/>
    <mergeCell ref="A3:A4"/>
  </mergeCells>
  <phoneticPr fontId="3" type="noConversion"/>
  <printOptions horizontalCentered="1"/>
  <pageMargins left="0.6692913385826772" right="0.62992125984251968" top="0" bottom="0.6692913385826772" header="0.51181102362204722" footer="0.51181102362204722"/>
  <pageSetup paperSize="256" orientation="portrait" horizontalDpi="30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opLeftCell="A2" workbookViewId="0">
      <selection activeCell="C25" sqref="C25"/>
    </sheetView>
  </sheetViews>
  <sheetFormatPr defaultColWidth="8.7109375" defaultRowHeight="15" x14ac:dyDescent="0.3"/>
  <cols>
    <col min="1" max="1" width="29.5" style="49" customWidth="1"/>
    <col min="2" max="2" width="8.7109375" style="49"/>
    <col min="3" max="5" width="9" style="49" bestFit="1" customWidth="1"/>
  </cols>
  <sheetData>
    <row r="1" spans="1:12" s="17" customFormat="1" ht="35.15" customHeight="1" x14ac:dyDescent="0.5">
      <c r="A1" s="151" t="s">
        <v>34</v>
      </c>
      <c r="B1" s="152"/>
      <c r="C1" s="152"/>
      <c r="D1" s="152"/>
      <c r="E1" s="152"/>
    </row>
    <row r="2" spans="1:12" ht="15" customHeight="1" x14ac:dyDescent="0.4">
      <c r="A2" s="50"/>
      <c r="B2" s="51"/>
      <c r="C2" s="51"/>
      <c r="D2" s="51"/>
      <c r="E2" s="51"/>
    </row>
    <row r="3" spans="1:12" s="18" customFormat="1" ht="15" customHeight="1" x14ac:dyDescent="0.3">
      <c r="A3" s="52"/>
      <c r="B3" s="53" t="s">
        <v>35</v>
      </c>
      <c r="C3" s="53" t="s">
        <v>36</v>
      </c>
      <c r="D3" s="53" t="s">
        <v>37</v>
      </c>
      <c r="E3" s="54" t="s">
        <v>38</v>
      </c>
    </row>
    <row r="4" spans="1:12" x14ac:dyDescent="0.3">
      <c r="A4" s="31" t="s">
        <v>39</v>
      </c>
      <c r="B4" s="55"/>
      <c r="C4" s="113"/>
      <c r="D4" s="113"/>
      <c r="E4" s="113"/>
      <c r="F4" s="18"/>
      <c r="G4" s="18"/>
      <c r="H4" s="18"/>
      <c r="I4" s="18"/>
      <c r="J4" s="18"/>
      <c r="K4" s="18"/>
      <c r="L4" s="18"/>
    </row>
    <row r="5" spans="1:12" x14ac:dyDescent="0.3">
      <c r="A5" s="56" t="s">
        <v>40</v>
      </c>
      <c r="B5" s="57" t="s">
        <v>41</v>
      </c>
      <c r="C5" s="114" t="s">
        <v>193</v>
      </c>
      <c r="D5" s="114" t="s">
        <v>196</v>
      </c>
      <c r="E5" s="114" t="s">
        <v>199</v>
      </c>
      <c r="F5" s="18"/>
      <c r="G5" s="18"/>
      <c r="H5" s="18"/>
      <c r="I5" s="18"/>
      <c r="J5" s="18"/>
      <c r="K5" s="18"/>
      <c r="L5" s="18"/>
    </row>
    <row r="6" spans="1:12" x14ac:dyDescent="0.3">
      <c r="A6" s="56" t="s">
        <v>42</v>
      </c>
      <c r="B6" s="57" t="s">
        <v>41</v>
      </c>
      <c r="C6" s="114" t="s">
        <v>194</v>
      </c>
      <c r="D6" s="114" t="s">
        <v>197</v>
      </c>
      <c r="E6" s="114" t="s">
        <v>200</v>
      </c>
      <c r="F6" s="18"/>
      <c r="G6" s="18"/>
      <c r="H6" s="18"/>
      <c r="I6" s="18"/>
      <c r="J6" s="18"/>
      <c r="K6" s="18"/>
      <c r="L6" s="18"/>
    </row>
    <row r="7" spans="1:12" x14ac:dyDescent="0.3">
      <c r="A7" s="56" t="s">
        <v>43</v>
      </c>
      <c r="B7" s="57" t="s">
        <v>41</v>
      </c>
      <c r="C7" s="114" t="s">
        <v>195</v>
      </c>
      <c r="D7" s="114" t="s">
        <v>198</v>
      </c>
      <c r="E7" s="114" t="s">
        <v>201</v>
      </c>
      <c r="F7" s="18"/>
      <c r="G7" s="18"/>
      <c r="H7" s="18"/>
      <c r="I7" s="18"/>
      <c r="J7" s="18"/>
      <c r="K7" s="18"/>
      <c r="L7" s="18"/>
    </row>
    <row r="8" spans="1:12" x14ac:dyDescent="0.3">
      <c r="A8" s="31" t="s">
        <v>44</v>
      </c>
      <c r="B8" s="57"/>
      <c r="C8" s="110"/>
      <c r="D8" s="110"/>
      <c r="E8" s="110"/>
      <c r="F8" s="18"/>
      <c r="G8" s="18"/>
      <c r="H8" s="18"/>
      <c r="I8" s="18"/>
      <c r="J8" s="18"/>
      <c r="K8" s="18"/>
      <c r="L8" s="18"/>
    </row>
    <row r="9" spans="1:12" x14ac:dyDescent="0.3">
      <c r="A9" s="57" t="s">
        <v>45</v>
      </c>
      <c r="B9" s="57" t="s">
        <v>41</v>
      </c>
      <c r="C9" s="110" t="s">
        <v>202</v>
      </c>
      <c r="D9" s="110">
        <v>164</v>
      </c>
      <c r="E9" s="110" t="s">
        <v>205</v>
      </c>
      <c r="F9" s="18"/>
      <c r="G9" s="18"/>
      <c r="H9" s="18"/>
      <c r="I9" s="18"/>
      <c r="J9" s="18"/>
      <c r="K9" s="18"/>
      <c r="L9" s="18"/>
    </row>
    <row r="10" spans="1:12" x14ac:dyDescent="0.3">
      <c r="A10" s="57" t="s">
        <v>177</v>
      </c>
      <c r="B10" s="57" t="s">
        <v>41</v>
      </c>
      <c r="C10" s="110" t="s">
        <v>203</v>
      </c>
      <c r="D10" s="110" t="s">
        <v>182</v>
      </c>
      <c r="E10" s="110" t="s">
        <v>206</v>
      </c>
      <c r="F10" s="18"/>
      <c r="G10" s="18"/>
      <c r="H10" s="18"/>
      <c r="I10" s="18"/>
      <c r="J10" s="18"/>
      <c r="K10" s="18"/>
      <c r="L10" s="18"/>
    </row>
    <row r="11" spans="1:12" x14ac:dyDescent="0.3">
      <c r="A11" s="57" t="s">
        <v>176</v>
      </c>
      <c r="B11" s="57" t="s">
        <v>41</v>
      </c>
      <c r="C11" s="110" t="s">
        <v>204</v>
      </c>
      <c r="D11" s="110" t="s">
        <v>183</v>
      </c>
      <c r="E11" s="110" t="s">
        <v>207</v>
      </c>
      <c r="F11" s="18"/>
      <c r="G11" s="18"/>
      <c r="H11" s="18"/>
      <c r="I11" s="18"/>
      <c r="J11" s="18"/>
      <c r="K11" s="18"/>
      <c r="L11" s="18"/>
    </row>
    <row r="12" spans="1:12" x14ac:dyDescent="0.3">
      <c r="A12" s="57" t="s">
        <v>46</v>
      </c>
      <c r="B12" s="57"/>
      <c r="C12" s="110"/>
      <c r="D12" s="110"/>
      <c r="E12" s="110"/>
      <c r="F12" s="18"/>
      <c r="G12" s="18"/>
      <c r="H12" s="18"/>
      <c r="I12" s="18"/>
      <c r="J12" s="18"/>
      <c r="K12" s="18"/>
      <c r="L12" s="18"/>
    </row>
    <row r="13" spans="1:12" x14ac:dyDescent="0.3">
      <c r="A13" s="56" t="s">
        <v>47</v>
      </c>
      <c r="B13" s="57" t="s">
        <v>48</v>
      </c>
      <c r="C13" s="110" t="s">
        <v>208</v>
      </c>
      <c r="D13" s="110" t="s">
        <v>210</v>
      </c>
      <c r="E13" s="110" t="s">
        <v>212</v>
      </c>
      <c r="F13" s="18"/>
      <c r="G13" s="18"/>
      <c r="H13" s="18"/>
      <c r="I13" s="18"/>
      <c r="J13" s="18"/>
      <c r="K13" s="18"/>
      <c r="L13" s="18"/>
    </row>
    <row r="14" spans="1:12" x14ac:dyDescent="0.3">
      <c r="A14" s="56" t="s">
        <v>49</v>
      </c>
      <c r="B14" s="57" t="s">
        <v>50</v>
      </c>
      <c r="C14" s="110" t="s">
        <v>209</v>
      </c>
      <c r="D14" s="110" t="s">
        <v>211</v>
      </c>
      <c r="E14" s="110" t="s">
        <v>213</v>
      </c>
      <c r="F14" s="18"/>
      <c r="G14" s="18"/>
      <c r="H14" s="18"/>
      <c r="I14" s="18"/>
      <c r="J14" s="18"/>
      <c r="K14" s="18"/>
      <c r="L14" s="18"/>
    </row>
    <row r="15" spans="1:12" x14ac:dyDescent="0.3">
      <c r="A15" s="56" t="s">
        <v>51</v>
      </c>
      <c r="B15" s="57" t="s">
        <v>50</v>
      </c>
      <c r="C15" s="110" t="s">
        <v>214</v>
      </c>
      <c r="D15" s="110" t="s">
        <v>215</v>
      </c>
      <c r="E15" s="110" t="s">
        <v>216</v>
      </c>
      <c r="F15" s="18"/>
      <c r="G15" s="18"/>
      <c r="H15" s="18"/>
      <c r="I15" s="18"/>
      <c r="J15" s="18"/>
      <c r="K15" s="18"/>
      <c r="L15" s="18"/>
    </row>
    <row r="16" spans="1:12" x14ac:dyDescent="0.3">
      <c r="A16" s="56" t="s">
        <v>52</v>
      </c>
      <c r="B16" s="57" t="s">
        <v>50</v>
      </c>
      <c r="C16" s="110"/>
      <c r="D16" s="110"/>
      <c r="E16" s="110"/>
      <c r="F16" s="18"/>
      <c r="G16" s="18"/>
      <c r="H16" s="18"/>
      <c r="I16" s="18"/>
      <c r="J16" s="18"/>
      <c r="K16" s="18"/>
      <c r="L16" s="18"/>
    </row>
    <row r="17" spans="1:12" x14ac:dyDescent="0.3">
      <c r="A17" s="58" t="s">
        <v>53</v>
      </c>
      <c r="B17" s="58" t="s">
        <v>50</v>
      </c>
      <c r="C17" s="110" t="s">
        <v>236</v>
      </c>
      <c r="D17" s="110" t="s">
        <v>238</v>
      </c>
      <c r="E17" s="110" t="s">
        <v>240</v>
      </c>
      <c r="F17" s="18"/>
      <c r="G17" s="18"/>
      <c r="H17" s="18"/>
      <c r="I17" s="18"/>
      <c r="J17" s="18"/>
      <c r="K17" s="18"/>
      <c r="L17" s="18"/>
    </row>
    <row r="18" spans="1:12" ht="15" customHeight="1" x14ac:dyDescent="0.3">
      <c r="A18" s="58" t="s">
        <v>54</v>
      </c>
      <c r="B18" s="58" t="s">
        <v>50</v>
      </c>
      <c r="C18" s="110" t="s">
        <v>237</v>
      </c>
      <c r="D18" s="110" t="s">
        <v>239</v>
      </c>
      <c r="E18" s="110" t="s">
        <v>241</v>
      </c>
      <c r="F18" s="18"/>
      <c r="G18" s="18"/>
      <c r="H18" s="18"/>
      <c r="I18" s="18"/>
      <c r="J18" s="18"/>
      <c r="K18" s="18"/>
      <c r="L18" s="18"/>
    </row>
    <row r="19" spans="1:12" x14ac:dyDescent="0.3">
      <c r="A19" s="56" t="s">
        <v>55</v>
      </c>
      <c r="B19" s="57" t="s">
        <v>50</v>
      </c>
      <c r="C19" s="110" t="s">
        <v>242</v>
      </c>
      <c r="D19" s="110" t="s">
        <v>243</v>
      </c>
      <c r="E19" s="110" t="s">
        <v>244</v>
      </c>
      <c r="F19" s="18"/>
      <c r="G19" s="18"/>
      <c r="H19" s="18"/>
      <c r="I19" s="18"/>
      <c r="J19" s="18"/>
      <c r="K19" s="18"/>
      <c r="L19" s="18"/>
    </row>
    <row r="20" spans="1:12" x14ac:dyDescent="0.3">
      <c r="A20" s="56" t="s">
        <v>56</v>
      </c>
      <c r="B20" s="57" t="s">
        <v>50</v>
      </c>
      <c r="C20" s="110"/>
      <c r="D20" s="110"/>
      <c r="E20" s="110"/>
      <c r="F20" s="18"/>
      <c r="G20" s="18"/>
      <c r="H20" s="18"/>
      <c r="I20" s="18"/>
      <c r="J20" s="18"/>
      <c r="K20" s="18"/>
      <c r="L20" s="18"/>
    </row>
    <row r="21" spans="1:12" x14ac:dyDescent="0.3">
      <c r="A21" s="56" t="s">
        <v>57</v>
      </c>
      <c r="B21" s="57" t="s">
        <v>50</v>
      </c>
      <c r="C21" s="110" t="s">
        <v>245</v>
      </c>
      <c r="D21" s="110" t="s">
        <v>246</v>
      </c>
      <c r="E21" s="110" t="s">
        <v>247</v>
      </c>
      <c r="F21" s="18"/>
      <c r="G21" s="18"/>
      <c r="H21" s="18"/>
      <c r="I21" s="18"/>
      <c r="J21" s="18"/>
      <c r="K21" s="18"/>
      <c r="L21" s="18"/>
    </row>
    <row r="22" spans="1:12" x14ac:dyDescent="0.3">
      <c r="A22" s="56" t="s">
        <v>58</v>
      </c>
      <c r="B22" s="57" t="s">
        <v>50</v>
      </c>
      <c r="C22" s="110" t="s">
        <v>248</v>
      </c>
      <c r="D22" s="110" t="s">
        <v>249</v>
      </c>
      <c r="E22" s="110" t="s">
        <v>250</v>
      </c>
      <c r="F22" s="18"/>
      <c r="G22" s="18"/>
      <c r="H22" s="18"/>
      <c r="I22" s="18"/>
      <c r="J22" s="18"/>
      <c r="K22" s="18"/>
      <c r="L22" s="18"/>
    </row>
    <row r="23" spans="1:12" x14ac:dyDescent="0.3">
      <c r="A23" s="56" t="s">
        <v>59</v>
      </c>
      <c r="B23" s="57" t="s">
        <v>50</v>
      </c>
      <c r="C23" s="110" t="s">
        <v>251</v>
      </c>
      <c r="D23" s="110" t="s">
        <v>252</v>
      </c>
      <c r="E23" s="110" t="s">
        <v>253</v>
      </c>
      <c r="F23" s="18"/>
      <c r="G23" s="18"/>
      <c r="H23" s="18"/>
      <c r="I23" s="18"/>
      <c r="J23" s="18"/>
      <c r="K23" s="18"/>
      <c r="L23" s="18"/>
    </row>
    <row r="24" spans="1:12" x14ac:dyDescent="0.3">
      <c r="A24" s="56" t="s">
        <v>60</v>
      </c>
      <c r="B24" s="57" t="s">
        <v>50</v>
      </c>
      <c r="C24" s="110">
        <v>142969</v>
      </c>
      <c r="D24" s="110" t="s">
        <v>254</v>
      </c>
      <c r="E24" s="110">
        <v>137102</v>
      </c>
      <c r="F24" s="18"/>
      <c r="G24" s="18"/>
      <c r="H24" s="18"/>
      <c r="I24" s="18"/>
      <c r="J24" s="18"/>
      <c r="K24" s="18"/>
      <c r="L24" s="18"/>
    </row>
    <row r="25" spans="1:12" x14ac:dyDescent="0.3">
      <c r="A25" s="56" t="s">
        <v>61</v>
      </c>
      <c r="B25" s="57" t="s">
        <v>50</v>
      </c>
      <c r="C25" s="110" t="s">
        <v>217</v>
      </c>
      <c r="D25" s="110" t="s">
        <v>223</v>
      </c>
      <c r="E25" s="110" t="s">
        <v>230</v>
      </c>
      <c r="F25" s="18"/>
      <c r="G25" s="18"/>
      <c r="H25" s="18"/>
      <c r="I25" s="18"/>
      <c r="J25" s="18"/>
      <c r="K25" s="18"/>
      <c r="L25" s="18"/>
    </row>
    <row r="26" spans="1:12" x14ac:dyDescent="0.3">
      <c r="A26" s="56" t="s">
        <v>62</v>
      </c>
      <c r="B26" s="57" t="s">
        <v>50</v>
      </c>
      <c r="C26" s="110" t="s">
        <v>218</v>
      </c>
      <c r="D26" s="110" t="s">
        <v>224</v>
      </c>
      <c r="E26" s="110" t="s">
        <v>231</v>
      </c>
      <c r="F26" s="18"/>
      <c r="G26" s="18"/>
      <c r="H26" s="18"/>
      <c r="I26" s="18"/>
      <c r="J26" s="18"/>
      <c r="K26" s="18"/>
      <c r="L26" s="18"/>
    </row>
    <row r="27" spans="1:12" x14ac:dyDescent="0.3">
      <c r="A27" s="59" t="s">
        <v>63</v>
      </c>
      <c r="B27" s="57" t="s">
        <v>50</v>
      </c>
      <c r="C27" s="110" t="s">
        <v>180</v>
      </c>
      <c r="D27" s="110" t="s">
        <v>225</v>
      </c>
      <c r="E27" s="110" t="s">
        <v>232</v>
      </c>
      <c r="F27" s="18"/>
      <c r="G27" s="18"/>
      <c r="H27" s="18"/>
      <c r="I27" s="18"/>
      <c r="J27" s="18"/>
      <c r="K27" s="18"/>
      <c r="L27" s="18"/>
    </row>
    <row r="28" spans="1:12" x14ac:dyDescent="0.3">
      <c r="A28" s="31" t="s">
        <v>64</v>
      </c>
      <c r="B28" s="57" t="s">
        <v>50</v>
      </c>
      <c r="C28" s="110" t="s">
        <v>219</v>
      </c>
      <c r="D28" s="110" t="s">
        <v>226</v>
      </c>
      <c r="E28" s="110" t="s">
        <v>181</v>
      </c>
      <c r="F28" s="18"/>
      <c r="G28" s="18"/>
      <c r="H28" s="18"/>
      <c r="I28" s="18"/>
      <c r="J28" s="18"/>
      <c r="K28" s="18"/>
      <c r="L28" s="18"/>
    </row>
    <row r="29" spans="1:12" x14ac:dyDescent="0.3">
      <c r="A29" s="31" t="s">
        <v>65</v>
      </c>
      <c r="B29" s="57" t="s">
        <v>50</v>
      </c>
      <c r="C29" s="110" t="s">
        <v>220</v>
      </c>
      <c r="D29" s="110" t="s">
        <v>227</v>
      </c>
      <c r="E29" s="110" t="s">
        <v>233</v>
      </c>
      <c r="F29" s="18"/>
      <c r="G29" s="18"/>
      <c r="H29" s="18"/>
      <c r="I29" s="18"/>
      <c r="J29" s="18"/>
      <c r="K29" s="18"/>
      <c r="L29" s="18"/>
    </row>
    <row r="30" spans="1:12" x14ac:dyDescent="0.3">
      <c r="A30" s="31" t="s">
        <v>66</v>
      </c>
      <c r="B30" s="57" t="s">
        <v>50</v>
      </c>
      <c r="C30" s="110" t="s">
        <v>221</v>
      </c>
      <c r="D30" s="110" t="s">
        <v>228</v>
      </c>
      <c r="E30" s="110" t="s">
        <v>234</v>
      </c>
      <c r="F30" s="18"/>
      <c r="G30" s="18"/>
      <c r="H30" s="18"/>
      <c r="I30" s="18"/>
      <c r="J30" s="18"/>
      <c r="K30" s="18"/>
      <c r="L30" s="18"/>
    </row>
    <row r="31" spans="1:12" x14ac:dyDescent="0.3">
      <c r="A31" s="60" t="s">
        <v>67</v>
      </c>
      <c r="B31" s="61" t="s">
        <v>50</v>
      </c>
      <c r="C31" s="110" t="s">
        <v>222</v>
      </c>
      <c r="D31" s="110" t="s">
        <v>229</v>
      </c>
      <c r="E31" s="110" t="s">
        <v>235</v>
      </c>
      <c r="F31" s="18"/>
      <c r="G31" s="18"/>
      <c r="H31" s="18"/>
      <c r="I31" s="18"/>
      <c r="J31" s="18"/>
      <c r="K31" s="18"/>
      <c r="L31" s="18"/>
    </row>
    <row r="32" spans="1:12" x14ac:dyDescent="0.3">
      <c r="A32" s="55"/>
      <c r="B32" s="55"/>
      <c r="C32" s="55"/>
      <c r="D32" s="55"/>
      <c r="E32" s="55"/>
      <c r="F32" s="18"/>
      <c r="G32" s="18"/>
      <c r="H32" s="18"/>
      <c r="I32" s="18"/>
      <c r="J32" s="18"/>
      <c r="K32" s="18"/>
      <c r="L32" s="18"/>
    </row>
    <row r="33" spans="1:12" x14ac:dyDescent="0.3">
      <c r="A33" s="55"/>
      <c r="B33" s="55"/>
      <c r="C33" s="55"/>
      <c r="D33" s="55"/>
      <c r="E33" s="55"/>
      <c r="F33" s="18"/>
      <c r="G33" s="18"/>
      <c r="H33" s="18"/>
      <c r="I33" s="18"/>
      <c r="J33" s="18"/>
      <c r="K33" s="18"/>
      <c r="L33" s="18"/>
    </row>
    <row r="34" spans="1:12" x14ac:dyDescent="0.3">
      <c r="A34" s="55"/>
      <c r="B34" s="55"/>
      <c r="C34" s="55"/>
      <c r="D34" s="55"/>
      <c r="F34" s="18"/>
      <c r="G34" s="18"/>
      <c r="H34" s="18"/>
      <c r="I34" s="18"/>
      <c r="J34" s="18"/>
      <c r="K34" s="18"/>
      <c r="L34" s="18"/>
    </row>
    <row r="35" spans="1:12" x14ac:dyDescent="0.3">
      <c r="A35" s="55"/>
      <c r="B35" s="55"/>
      <c r="C35" s="55"/>
      <c r="D35" s="55"/>
      <c r="E35" s="55"/>
      <c r="F35" s="18"/>
      <c r="G35" s="18"/>
      <c r="H35" s="18"/>
      <c r="I35" s="18"/>
      <c r="J35" s="18"/>
      <c r="K35" s="18"/>
      <c r="L35" s="18"/>
    </row>
    <row r="36" spans="1:12" x14ac:dyDescent="0.3">
      <c r="A36" s="55"/>
      <c r="B36" s="55"/>
      <c r="C36" s="55"/>
      <c r="D36" s="55"/>
      <c r="E36" s="55"/>
      <c r="F36" s="18"/>
      <c r="G36" s="18"/>
      <c r="H36" s="18"/>
      <c r="I36" s="18"/>
      <c r="J36" s="18"/>
      <c r="K36" s="18"/>
      <c r="L36" s="18"/>
    </row>
    <row r="37" spans="1:12" x14ac:dyDescent="0.3">
      <c r="A37" s="55"/>
      <c r="B37" s="55"/>
      <c r="C37" s="55"/>
      <c r="D37" s="55"/>
      <c r="E37" s="55"/>
      <c r="F37" s="18"/>
      <c r="G37" s="18"/>
      <c r="H37" s="18"/>
      <c r="I37" s="18"/>
      <c r="J37" s="18"/>
      <c r="K37" s="18"/>
      <c r="L37" s="18"/>
    </row>
    <row r="38" spans="1:12" x14ac:dyDescent="0.3">
      <c r="A38" s="55"/>
      <c r="B38" s="55"/>
      <c r="C38" s="55"/>
      <c r="D38" s="55"/>
      <c r="E38" s="55"/>
      <c r="F38" s="18"/>
      <c r="G38" s="18"/>
      <c r="H38" s="18"/>
      <c r="I38" s="18"/>
      <c r="J38" s="18"/>
      <c r="K38" s="18"/>
      <c r="L38" s="18"/>
    </row>
    <row r="39" spans="1:12" x14ac:dyDescent="0.3">
      <c r="A39" s="55"/>
      <c r="B39" s="55"/>
      <c r="C39" s="55"/>
      <c r="D39" s="55"/>
      <c r="E39" s="55"/>
      <c r="F39" s="18"/>
      <c r="G39" s="18"/>
      <c r="H39" s="18"/>
      <c r="I39" s="18"/>
      <c r="J39" s="18"/>
      <c r="K39" s="18"/>
      <c r="L39" s="18"/>
    </row>
    <row r="40" spans="1:12" x14ac:dyDescent="0.3">
      <c r="A40" s="55"/>
      <c r="B40" s="55"/>
      <c r="C40" s="55"/>
      <c r="D40" s="55"/>
      <c r="E40" s="55"/>
      <c r="F40" s="18"/>
      <c r="G40" s="18"/>
      <c r="H40" s="18"/>
      <c r="I40" s="18"/>
      <c r="J40" s="18"/>
      <c r="K40" s="18"/>
      <c r="L40" s="18"/>
    </row>
    <row r="41" spans="1:12" x14ac:dyDescent="0.3">
      <c r="A41" s="55"/>
      <c r="B41" s="55"/>
      <c r="C41" s="55"/>
      <c r="D41" s="55"/>
      <c r="E41" s="55"/>
      <c r="F41" s="18"/>
      <c r="G41" s="18"/>
      <c r="H41" s="18"/>
      <c r="I41" s="18"/>
      <c r="J41" s="18"/>
      <c r="K41" s="18"/>
      <c r="L41" s="18"/>
    </row>
    <row r="42" spans="1:12" ht="12" customHeight="1" x14ac:dyDescent="0.3">
      <c r="A42" s="55"/>
      <c r="B42" s="55"/>
      <c r="C42" s="55"/>
      <c r="D42" s="55"/>
      <c r="E42" s="55"/>
      <c r="F42" s="18"/>
      <c r="G42" s="18"/>
      <c r="H42" s="18"/>
      <c r="I42" s="18"/>
      <c r="J42" s="18"/>
      <c r="K42" s="18"/>
      <c r="L42" s="18"/>
    </row>
    <row r="43" spans="1:12" x14ac:dyDescent="0.3">
      <c r="A43" s="55"/>
      <c r="B43" s="55"/>
      <c r="C43" s="55"/>
      <c r="D43" s="55"/>
      <c r="E43" s="55"/>
      <c r="F43" s="18"/>
      <c r="G43" s="18"/>
      <c r="H43" s="18"/>
      <c r="I43" s="18"/>
      <c r="J43" s="18"/>
      <c r="K43" s="18"/>
      <c r="L43" s="18"/>
    </row>
    <row r="44" spans="1:12" x14ac:dyDescent="0.3">
      <c r="A44" s="55"/>
      <c r="B44" s="55"/>
      <c r="C44" s="55"/>
      <c r="D44" s="55"/>
      <c r="E44" s="55"/>
      <c r="F44" s="18"/>
      <c r="G44" s="18"/>
      <c r="H44" s="18"/>
      <c r="I44" s="18"/>
      <c r="J44" s="18"/>
      <c r="K44" s="18"/>
      <c r="L44" s="18"/>
    </row>
    <row r="45" spans="1:12" x14ac:dyDescent="0.3">
      <c r="A45" s="55"/>
      <c r="B45" s="55"/>
      <c r="C45" s="55"/>
      <c r="D45" s="55"/>
      <c r="E45" s="55"/>
      <c r="F45" s="18"/>
      <c r="G45" s="18"/>
      <c r="H45" s="18"/>
      <c r="I45" s="18"/>
      <c r="J45" s="18"/>
      <c r="K45" s="18"/>
      <c r="L45" s="18"/>
    </row>
    <row r="46" spans="1:12" x14ac:dyDescent="0.3">
      <c r="A46" s="55"/>
      <c r="B46" s="55"/>
      <c r="C46" s="55"/>
      <c r="D46" s="55"/>
      <c r="E46" s="55"/>
      <c r="F46" s="18"/>
      <c r="G46" s="18"/>
      <c r="H46" s="18"/>
      <c r="I46" s="18"/>
      <c r="J46" s="18"/>
      <c r="K46" s="18"/>
      <c r="L46" s="18"/>
    </row>
    <row r="47" spans="1:12" x14ac:dyDescent="0.3">
      <c r="A47" s="55"/>
      <c r="B47" s="55"/>
      <c r="C47" s="55"/>
      <c r="D47" s="55"/>
      <c r="E47" s="55"/>
      <c r="F47" s="18"/>
      <c r="G47" s="18"/>
      <c r="H47" s="18"/>
      <c r="I47" s="18"/>
      <c r="J47" s="18"/>
      <c r="K47" s="18"/>
      <c r="L47" s="18"/>
    </row>
    <row r="48" spans="1:12" x14ac:dyDescent="0.3">
      <c r="A48" s="55"/>
      <c r="B48" s="55"/>
      <c r="C48" s="55"/>
      <c r="D48" s="55"/>
      <c r="E48" s="55"/>
      <c r="F48" s="18"/>
      <c r="G48" s="18"/>
      <c r="H48" s="18"/>
      <c r="I48" s="18"/>
      <c r="J48" s="18"/>
      <c r="K48" s="18"/>
      <c r="L48" s="18"/>
    </row>
    <row r="49" spans="1:12" x14ac:dyDescent="0.3">
      <c r="A49" s="55"/>
      <c r="B49" s="55"/>
      <c r="C49" s="55"/>
      <c r="D49" s="55"/>
      <c r="E49" s="55"/>
      <c r="F49" s="18"/>
      <c r="G49" s="18"/>
      <c r="H49" s="18"/>
      <c r="I49" s="18"/>
      <c r="J49" s="18"/>
      <c r="K49" s="18"/>
      <c r="L49" s="18"/>
    </row>
    <row r="50" spans="1:12" x14ac:dyDescent="0.3">
      <c r="A50" s="55"/>
      <c r="B50" s="55"/>
      <c r="C50" s="55"/>
      <c r="D50" s="55"/>
      <c r="E50" s="55"/>
      <c r="F50" s="18"/>
      <c r="G50" s="18"/>
      <c r="H50" s="18"/>
      <c r="I50" s="18"/>
      <c r="J50" s="18"/>
      <c r="K50" s="18"/>
      <c r="L50" s="18"/>
    </row>
    <row r="51" spans="1:12" x14ac:dyDescent="0.3">
      <c r="A51" s="55"/>
      <c r="B51" s="55"/>
      <c r="C51" s="55"/>
      <c r="D51" s="55"/>
      <c r="E51" s="55"/>
      <c r="F51" s="18"/>
      <c r="G51" s="18"/>
      <c r="H51" s="18"/>
      <c r="I51" s="18"/>
      <c r="J51" s="18"/>
      <c r="K51" s="18"/>
      <c r="L51" s="18"/>
    </row>
    <row r="52" spans="1:12" x14ac:dyDescent="0.3">
      <c r="A52" s="55"/>
      <c r="B52" s="55"/>
      <c r="C52" s="55"/>
      <c r="D52" s="55"/>
      <c r="E52" s="55"/>
      <c r="F52" s="18"/>
      <c r="G52" s="18"/>
      <c r="H52" s="18"/>
      <c r="I52" s="18"/>
      <c r="J52" s="18"/>
      <c r="K52" s="18"/>
      <c r="L52" s="18"/>
    </row>
    <row r="53" spans="1:12" x14ac:dyDescent="0.3">
      <c r="A53" s="55"/>
      <c r="B53" s="55"/>
      <c r="C53" s="55"/>
      <c r="D53" s="55"/>
      <c r="E53" s="55"/>
      <c r="F53" s="18"/>
      <c r="G53" s="18"/>
      <c r="H53" s="18"/>
      <c r="I53" s="18"/>
      <c r="J53" s="18"/>
      <c r="K53" s="18"/>
      <c r="L53" s="18"/>
    </row>
    <row r="54" spans="1:12" x14ac:dyDescent="0.3">
      <c r="A54" s="55"/>
      <c r="B54" s="55"/>
      <c r="C54" s="55"/>
      <c r="D54" s="55"/>
      <c r="E54" s="55"/>
      <c r="F54" s="18"/>
      <c r="G54" s="18"/>
      <c r="H54" s="18"/>
      <c r="I54" s="18"/>
      <c r="J54" s="18"/>
      <c r="K54" s="18"/>
      <c r="L54" s="18"/>
    </row>
    <row r="55" spans="1:12" x14ac:dyDescent="0.3">
      <c r="A55" s="55"/>
      <c r="B55" s="55"/>
      <c r="C55" s="55"/>
      <c r="D55" s="55"/>
      <c r="E55" s="55"/>
      <c r="F55" s="18"/>
      <c r="G55" s="18"/>
      <c r="H55" s="18"/>
      <c r="I55" s="18"/>
      <c r="J55" s="18"/>
      <c r="K55" s="18"/>
      <c r="L55" s="18"/>
    </row>
    <row r="56" spans="1:12" x14ac:dyDescent="0.3">
      <c r="A56" s="55"/>
      <c r="B56" s="55"/>
      <c r="C56" s="55"/>
      <c r="D56" s="55"/>
      <c r="E56" s="55"/>
      <c r="F56" s="18"/>
      <c r="G56" s="18"/>
      <c r="H56" s="18"/>
      <c r="I56" s="18"/>
      <c r="J56" s="18"/>
      <c r="K56" s="18"/>
      <c r="L56" s="18"/>
    </row>
    <row r="57" spans="1:12" x14ac:dyDescent="0.3">
      <c r="A57" s="55"/>
      <c r="B57" s="55"/>
      <c r="C57" s="55"/>
      <c r="D57" s="55"/>
      <c r="E57" s="55"/>
      <c r="F57" s="18"/>
      <c r="G57" s="18"/>
      <c r="H57" s="18"/>
      <c r="I57" s="18"/>
      <c r="J57" s="18"/>
      <c r="K57" s="18"/>
      <c r="L57" s="18"/>
    </row>
    <row r="58" spans="1:12" x14ac:dyDescent="0.3">
      <c r="A58" s="55"/>
      <c r="B58" s="55"/>
      <c r="C58" s="55"/>
      <c r="D58" s="55"/>
      <c r="E58" s="55"/>
      <c r="F58" s="18"/>
      <c r="G58" s="18"/>
      <c r="H58" s="18"/>
      <c r="I58" s="18"/>
      <c r="J58" s="18"/>
      <c r="K58" s="18"/>
      <c r="L58" s="18"/>
    </row>
    <row r="59" spans="1:12" x14ac:dyDescent="0.3">
      <c r="A59" s="55"/>
      <c r="B59" s="55"/>
      <c r="C59" s="55"/>
      <c r="D59" s="55"/>
      <c r="E59" s="55"/>
      <c r="F59" s="18"/>
      <c r="G59" s="18"/>
      <c r="H59" s="18"/>
      <c r="I59" s="18"/>
      <c r="J59" s="18"/>
      <c r="K59" s="18"/>
      <c r="L59" s="18"/>
    </row>
    <row r="60" spans="1:12" x14ac:dyDescent="0.3">
      <c r="A60" s="55"/>
      <c r="B60" s="55"/>
      <c r="C60" s="55"/>
      <c r="D60" s="55"/>
      <c r="E60" s="55"/>
      <c r="F60" s="18"/>
      <c r="G60" s="18"/>
      <c r="H60" s="18"/>
      <c r="I60" s="18"/>
      <c r="J60" s="18"/>
      <c r="K60" s="18"/>
      <c r="L60" s="18"/>
    </row>
    <row r="61" spans="1:12" x14ac:dyDescent="0.3">
      <c r="A61" s="55"/>
      <c r="B61" s="55"/>
      <c r="C61" s="55"/>
      <c r="D61" s="55"/>
      <c r="E61" s="55"/>
      <c r="F61" s="18"/>
      <c r="G61" s="18"/>
      <c r="H61" s="18"/>
      <c r="I61" s="18"/>
      <c r="J61" s="18"/>
      <c r="K61" s="18"/>
      <c r="L61" s="18"/>
    </row>
    <row r="62" spans="1:12" x14ac:dyDescent="0.3">
      <c r="A62" s="55"/>
      <c r="B62" s="55"/>
      <c r="C62" s="55"/>
      <c r="D62" s="55"/>
      <c r="E62" s="55"/>
      <c r="F62" s="18"/>
      <c r="G62" s="18"/>
      <c r="H62" s="18"/>
      <c r="I62" s="18"/>
      <c r="J62" s="18"/>
      <c r="K62" s="18"/>
      <c r="L62" s="18"/>
    </row>
    <row r="63" spans="1:12" x14ac:dyDescent="0.3">
      <c r="A63" s="55"/>
      <c r="B63" s="55"/>
      <c r="C63" s="55"/>
      <c r="D63" s="55"/>
      <c r="E63" s="55"/>
      <c r="F63" s="18"/>
      <c r="G63" s="18"/>
      <c r="H63" s="18"/>
      <c r="I63" s="18"/>
      <c r="J63" s="18"/>
      <c r="K63" s="18"/>
      <c r="L63" s="18"/>
    </row>
    <row r="64" spans="1:12" x14ac:dyDescent="0.3">
      <c r="A64" s="55"/>
      <c r="B64" s="55"/>
      <c r="C64" s="55"/>
      <c r="D64" s="55"/>
      <c r="E64" s="55"/>
      <c r="F64" s="18"/>
      <c r="G64" s="18"/>
      <c r="H64" s="18"/>
      <c r="I64" s="18"/>
      <c r="J64" s="18"/>
      <c r="K64" s="18"/>
      <c r="L64" s="18"/>
    </row>
    <row r="65" spans="1:12" x14ac:dyDescent="0.3">
      <c r="A65" s="55"/>
      <c r="B65" s="55"/>
      <c r="C65" s="55"/>
      <c r="D65" s="55"/>
      <c r="E65" s="55"/>
      <c r="F65" s="18"/>
      <c r="G65" s="18"/>
      <c r="H65" s="18"/>
      <c r="I65" s="18"/>
      <c r="J65" s="18"/>
      <c r="K65" s="18"/>
      <c r="L65" s="18"/>
    </row>
    <row r="66" spans="1:12" x14ac:dyDescent="0.3">
      <c r="A66" s="55"/>
      <c r="B66" s="55"/>
      <c r="C66" s="55"/>
      <c r="D66" s="55"/>
      <c r="E66" s="55"/>
      <c r="F66" s="18"/>
      <c r="G66" s="18"/>
      <c r="H66" s="18"/>
      <c r="I66" s="18"/>
      <c r="J66" s="18"/>
      <c r="K66" s="18"/>
      <c r="L66" s="18"/>
    </row>
    <row r="67" spans="1:12" x14ac:dyDescent="0.3">
      <c r="A67" s="55"/>
      <c r="B67" s="55"/>
      <c r="C67" s="55"/>
      <c r="D67" s="55"/>
      <c r="E67" s="55"/>
      <c r="F67" s="18"/>
      <c r="G67" s="18"/>
      <c r="H67" s="18"/>
      <c r="I67" s="18"/>
      <c r="J67" s="18"/>
      <c r="K67" s="18"/>
      <c r="L67" s="18"/>
    </row>
    <row r="68" spans="1:12" x14ac:dyDescent="0.3">
      <c r="A68" s="55"/>
      <c r="B68" s="55"/>
      <c r="C68" s="55"/>
      <c r="D68" s="55"/>
      <c r="E68" s="55"/>
      <c r="F68" s="18"/>
      <c r="G68" s="18"/>
      <c r="H68" s="18"/>
      <c r="I68" s="18"/>
      <c r="J68" s="18"/>
      <c r="K68" s="18"/>
      <c r="L68" s="18"/>
    </row>
    <row r="69" spans="1:12" x14ac:dyDescent="0.3">
      <c r="A69" s="55"/>
      <c r="B69" s="55"/>
      <c r="C69" s="55"/>
      <c r="D69" s="55"/>
      <c r="E69" s="55"/>
      <c r="F69" s="18"/>
      <c r="G69" s="18"/>
      <c r="H69" s="18"/>
      <c r="I69" s="18"/>
      <c r="J69" s="18"/>
      <c r="K69" s="18"/>
      <c r="L69" s="18"/>
    </row>
    <row r="70" spans="1:12" x14ac:dyDescent="0.3">
      <c r="A70" s="55"/>
      <c r="B70" s="55"/>
      <c r="C70" s="55"/>
      <c r="D70" s="55"/>
      <c r="E70" s="55"/>
      <c r="F70" s="18"/>
      <c r="G70" s="18"/>
      <c r="H70" s="18"/>
      <c r="I70" s="18"/>
      <c r="J70" s="18"/>
      <c r="K70" s="18"/>
      <c r="L70" s="18"/>
    </row>
    <row r="71" spans="1:12" x14ac:dyDescent="0.3">
      <c r="A71" s="55"/>
      <c r="B71" s="55"/>
      <c r="C71" s="55"/>
      <c r="D71" s="55"/>
      <c r="E71" s="55"/>
      <c r="F71" s="18"/>
      <c r="G71" s="18"/>
      <c r="H71" s="18"/>
      <c r="I71" s="18"/>
      <c r="J71" s="18"/>
      <c r="K71" s="18"/>
      <c r="L71" s="18"/>
    </row>
    <row r="72" spans="1:12" x14ac:dyDescent="0.3">
      <c r="A72" s="55"/>
      <c r="B72" s="55"/>
      <c r="C72" s="55"/>
      <c r="D72" s="55"/>
      <c r="E72" s="55"/>
      <c r="F72" s="18"/>
      <c r="G72" s="18"/>
      <c r="H72" s="18"/>
      <c r="I72" s="18"/>
      <c r="J72" s="18"/>
      <c r="K72" s="18"/>
      <c r="L72" s="18"/>
    </row>
    <row r="73" spans="1:12" x14ac:dyDescent="0.3">
      <c r="A73" s="55"/>
      <c r="B73" s="55"/>
      <c r="C73" s="55"/>
      <c r="D73" s="55"/>
      <c r="E73" s="55"/>
      <c r="F73" s="18"/>
      <c r="G73" s="18"/>
      <c r="H73" s="18"/>
      <c r="I73" s="18"/>
      <c r="J73" s="18"/>
      <c r="K73" s="18"/>
      <c r="L73" s="18"/>
    </row>
    <row r="74" spans="1:12" x14ac:dyDescent="0.3">
      <c r="A74" s="55"/>
      <c r="B74" s="55"/>
      <c r="C74" s="55"/>
      <c r="D74" s="55"/>
      <c r="E74" s="55"/>
      <c r="F74" s="18"/>
      <c r="G74" s="18"/>
      <c r="H74" s="18"/>
      <c r="I74" s="18"/>
      <c r="J74" s="18"/>
      <c r="K74" s="18"/>
      <c r="L74" s="18"/>
    </row>
    <row r="75" spans="1:12" x14ac:dyDescent="0.3">
      <c r="A75" s="55"/>
      <c r="B75" s="55"/>
      <c r="C75" s="55"/>
      <c r="D75" s="55"/>
      <c r="E75" s="55"/>
      <c r="F75" s="18"/>
      <c r="G75" s="18"/>
      <c r="H75" s="18"/>
      <c r="I75" s="18"/>
      <c r="J75" s="18"/>
      <c r="K75" s="18"/>
      <c r="L75" s="18"/>
    </row>
    <row r="76" spans="1:12" x14ac:dyDescent="0.3">
      <c r="A76" s="55"/>
      <c r="B76" s="55"/>
      <c r="C76" s="55"/>
      <c r="D76" s="55"/>
      <c r="E76" s="55"/>
      <c r="F76" s="18"/>
      <c r="G76" s="18"/>
      <c r="H76" s="18"/>
      <c r="I76" s="18"/>
      <c r="J76" s="18"/>
      <c r="K76" s="18"/>
      <c r="L76" s="18"/>
    </row>
    <row r="77" spans="1:12" x14ac:dyDescent="0.3">
      <c r="A77" s="55"/>
      <c r="B77" s="55"/>
      <c r="C77" s="55"/>
      <c r="D77" s="55"/>
      <c r="E77" s="55"/>
      <c r="F77" s="18"/>
      <c r="G77" s="18"/>
      <c r="H77" s="18"/>
      <c r="I77" s="18"/>
      <c r="J77" s="18"/>
      <c r="K77" s="18"/>
      <c r="L77" s="18"/>
    </row>
    <row r="78" spans="1:12" x14ac:dyDescent="0.3">
      <c r="A78" s="55"/>
      <c r="B78" s="55"/>
      <c r="C78" s="55"/>
      <c r="D78" s="55"/>
      <c r="E78" s="55"/>
      <c r="F78" s="18"/>
      <c r="G78" s="18"/>
      <c r="H78" s="18"/>
      <c r="I78" s="18"/>
      <c r="J78" s="18"/>
      <c r="K78" s="18"/>
      <c r="L78" s="18"/>
    </row>
    <row r="79" spans="1:12" x14ac:dyDescent="0.3">
      <c r="A79" s="55"/>
      <c r="B79" s="55"/>
      <c r="C79" s="55"/>
      <c r="D79" s="55"/>
      <c r="E79" s="55"/>
      <c r="F79" s="18"/>
      <c r="G79" s="18"/>
      <c r="H79" s="18"/>
      <c r="I79" s="18"/>
      <c r="J79" s="18"/>
      <c r="K79" s="18"/>
      <c r="L79" s="18"/>
    </row>
    <row r="80" spans="1:12" x14ac:dyDescent="0.3">
      <c r="A80" s="55"/>
      <c r="B80" s="55"/>
      <c r="C80" s="55"/>
      <c r="D80" s="55"/>
      <c r="E80" s="55"/>
      <c r="F80" s="18"/>
      <c r="G80" s="18"/>
      <c r="H80" s="18"/>
      <c r="I80" s="18"/>
      <c r="J80" s="18"/>
      <c r="K80" s="18"/>
      <c r="L80" s="18"/>
    </row>
    <row r="81" spans="1:12" x14ac:dyDescent="0.3">
      <c r="A81" s="55"/>
      <c r="B81" s="55"/>
      <c r="C81" s="55"/>
      <c r="D81" s="55"/>
      <c r="E81" s="55"/>
      <c r="F81" s="18"/>
      <c r="G81" s="18"/>
      <c r="H81" s="18"/>
      <c r="I81" s="18"/>
      <c r="J81" s="18"/>
      <c r="K81" s="18"/>
      <c r="L81" s="18"/>
    </row>
    <row r="82" spans="1:12" x14ac:dyDescent="0.3">
      <c r="A82" s="55"/>
      <c r="B82" s="55"/>
      <c r="C82" s="55"/>
      <c r="D82" s="55"/>
      <c r="E82" s="55"/>
      <c r="F82" s="18"/>
      <c r="G82" s="18"/>
      <c r="H82" s="18"/>
      <c r="I82" s="18"/>
      <c r="J82" s="18"/>
      <c r="K82" s="18"/>
      <c r="L82" s="18"/>
    </row>
    <row r="83" spans="1:12" x14ac:dyDescent="0.3">
      <c r="A83" s="55"/>
      <c r="B83" s="55"/>
      <c r="C83" s="55"/>
      <c r="D83" s="55"/>
      <c r="E83" s="55"/>
      <c r="F83" s="18"/>
      <c r="G83" s="18"/>
      <c r="H83" s="18"/>
      <c r="I83" s="18"/>
      <c r="J83" s="18"/>
      <c r="K83" s="18"/>
      <c r="L83" s="18"/>
    </row>
    <row r="84" spans="1:12" x14ac:dyDescent="0.3">
      <c r="A84" s="55"/>
      <c r="B84" s="55"/>
      <c r="C84" s="55"/>
      <c r="D84" s="55"/>
      <c r="E84" s="55"/>
      <c r="F84" s="18"/>
      <c r="G84" s="18"/>
      <c r="H84" s="18"/>
      <c r="I84" s="18"/>
      <c r="J84" s="18"/>
      <c r="K84" s="18"/>
      <c r="L84" s="18"/>
    </row>
    <row r="85" spans="1:12" x14ac:dyDescent="0.3">
      <c r="A85" s="55"/>
      <c r="B85" s="55"/>
      <c r="C85" s="55"/>
      <c r="D85" s="55"/>
      <c r="E85" s="55"/>
      <c r="F85" s="18"/>
      <c r="G85" s="18"/>
      <c r="H85" s="18"/>
      <c r="I85" s="18"/>
      <c r="J85" s="18"/>
      <c r="K85" s="18"/>
      <c r="L85" s="18"/>
    </row>
    <row r="86" spans="1:12" x14ac:dyDescent="0.3">
      <c r="A86" s="55"/>
      <c r="B86" s="55"/>
      <c r="C86" s="55"/>
      <c r="D86" s="55"/>
      <c r="E86" s="55"/>
      <c r="F86" s="18"/>
      <c r="G86" s="18"/>
      <c r="H86" s="18"/>
      <c r="I86" s="18"/>
      <c r="J86" s="18"/>
      <c r="K86" s="18"/>
      <c r="L86" s="18"/>
    </row>
    <row r="87" spans="1:12" x14ac:dyDescent="0.3">
      <c r="A87" s="55"/>
      <c r="B87" s="55"/>
      <c r="C87" s="55"/>
      <c r="D87" s="55"/>
      <c r="E87" s="55"/>
      <c r="F87" s="18"/>
      <c r="G87" s="18"/>
      <c r="H87" s="18"/>
      <c r="I87" s="18"/>
      <c r="J87" s="18"/>
      <c r="K87" s="18"/>
      <c r="L87" s="18"/>
    </row>
    <row r="88" spans="1:12" x14ac:dyDescent="0.3">
      <c r="A88" s="55"/>
      <c r="B88" s="55"/>
      <c r="C88" s="55"/>
      <c r="D88" s="55"/>
      <c r="E88" s="55"/>
      <c r="F88" s="18"/>
      <c r="G88" s="18"/>
      <c r="H88" s="18"/>
      <c r="I88" s="18"/>
      <c r="J88" s="18"/>
      <c r="K88" s="18"/>
      <c r="L88" s="18"/>
    </row>
    <row r="89" spans="1:12" x14ac:dyDescent="0.3">
      <c r="A89" s="55"/>
      <c r="B89" s="55"/>
      <c r="C89" s="55"/>
      <c r="D89" s="55"/>
      <c r="E89" s="55"/>
      <c r="F89" s="18"/>
      <c r="G89" s="18"/>
      <c r="H89" s="18"/>
      <c r="I89" s="18"/>
      <c r="J89" s="18"/>
      <c r="K89" s="18"/>
      <c r="L89" s="18"/>
    </row>
    <row r="90" spans="1:12" x14ac:dyDescent="0.3">
      <c r="A90" s="55"/>
      <c r="B90" s="55"/>
      <c r="C90" s="55"/>
      <c r="D90" s="55"/>
      <c r="E90" s="55"/>
      <c r="F90" s="18"/>
      <c r="G90" s="18"/>
      <c r="H90" s="18"/>
      <c r="I90" s="18"/>
      <c r="J90" s="18"/>
      <c r="K90" s="18"/>
      <c r="L90" s="18"/>
    </row>
    <row r="91" spans="1:12" x14ac:dyDescent="0.3">
      <c r="A91" s="55"/>
      <c r="B91" s="55"/>
      <c r="C91" s="55"/>
      <c r="D91" s="55"/>
      <c r="E91" s="55"/>
      <c r="F91" s="18"/>
      <c r="G91" s="18"/>
      <c r="H91" s="18"/>
      <c r="I91" s="18"/>
      <c r="J91" s="18"/>
      <c r="K91" s="18"/>
      <c r="L91" s="18"/>
    </row>
    <row r="92" spans="1:12" x14ac:dyDescent="0.3">
      <c r="A92" s="55"/>
      <c r="B92" s="55"/>
      <c r="C92" s="55"/>
      <c r="D92" s="55"/>
      <c r="E92" s="55"/>
      <c r="F92" s="18"/>
      <c r="G92" s="18"/>
      <c r="H92" s="18"/>
      <c r="I92" s="18"/>
      <c r="J92" s="18"/>
      <c r="K92" s="18"/>
      <c r="L92" s="18"/>
    </row>
    <row r="93" spans="1:12" x14ac:dyDescent="0.3">
      <c r="A93" s="55"/>
      <c r="B93" s="55"/>
      <c r="C93" s="55"/>
      <c r="D93" s="55"/>
      <c r="E93" s="55"/>
      <c r="F93" s="18"/>
      <c r="G93" s="18"/>
      <c r="H93" s="18"/>
      <c r="I93" s="18"/>
      <c r="J93" s="18"/>
      <c r="K93" s="18"/>
      <c r="L93" s="18"/>
    </row>
    <row r="94" spans="1:12" x14ac:dyDescent="0.3">
      <c r="A94" s="55"/>
      <c r="B94" s="55"/>
      <c r="C94" s="55"/>
      <c r="D94" s="55"/>
      <c r="E94" s="55"/>
      <c r="F94" s="18"/>
      <c r="G94" s="18"/>
      <c r="H94" s="18"/>
      <c r="I94" s="18"/>
      <c r="J94" s="18"/>
      <c r="K94" s="18"/>
      <c r="L94" s="18"/>
    </row>
    <row r="95" spans="1:12" x14ac:dyDescent="0.3">
      <c r="A95" s="55"/>
      <c r="B95" s="55"/>
      <c r="C95" s="55"/>
      <c r="D95" s="55"/>
      <c r="E95" s="55"/>
      <c r="F95" s="18"/>
      <c r="G95" s="18"/>
      <c r="H95" s="18"/>
      <c r="I95" s="18"/>
      <c r="J95" s="18"/>
      <c r="K95" s="18"/>
      <c r="L95" s="18"/>
    </row>
    <row r="96" spans="1:12" x14ac:dyDescent="0.3">
      <c r="A96" s="55"/>
      <c r="B96" s="55"/>
      <c r="C96" s="55"/>
      <c r="D96" s="55"/>
      <c r="E96" s="55"/>
      <c r="F96" s="18"/>
      <c r="G96" s="18"/>
      <c r="H96" s="18"/>
      <c r="I96" s="18"/>
      <c r="J96" s="18"/>
      <c r="K96" s="18"/>
      <c r="L96" s="18"/>
    </row>
    <row r="97" spans="1:12" x14ac:dyDescent="0.3">
      <c r="A97" s="55"/>
      <c r="B97" s="55"/>
      <c r="C97" s="55"/>
      <c r="D97" s="55"/>
      <c r="E97" s="55"/>
      <c r="F97" s="18"/>
      <c r="G97" s="18"/>
      <c r="H97" s="18"/>
      <c r="I97" s="18"/>
      <c r="J97" s="18"/>
      <c r="K97" s="18"/>
      <c r="L97" s="18"/>
    </row>
    <row r="98" spans="1:12" x14ac:dyDescent="0.3">
      <c r="A98" s="55"/>
      <c r="B98" s="55"/>
      <c r="C98" s="55"/>
      <c r="D98" s="55"/>
      <c r="E98" s="55"/>
      <c r="F98" s="18"/>
      <c r="G98" s="18"/>
      <c r="H98" s="18"/>
      <c r="I98" s="18"/>
      <c r="J98" s="18"/>
      <c r="K98" s="18"/>
      <c r="L98" s="18"/>
    </row>
    <row r="99" spans="1:12" x14ac:dyDescent="0.3">
      <c r="A99" s="55"/>
      <c r="B99" s="55"/>
      <c r="C99" s="55"/>
      <c r="D99" s="55"/>
      <c r="E99" s="55"/>
      <c r="F99" s="18"/>
      <c r="G99" s="18"/>
      <c r="H99" s="18"/>
      <c r="I99" s="18"/>
      <c r="J99" s="18"/>
      <c r="K99" s="18"/>
      <c r="L99" s="18"/>
    </row>
    <row r="100" spans="1:12" x14ac:dyDescent="0.3">
      <c r="A100" s="55"/>
      <c r="B100" s="55"/>
      <c r="C100" s="55"/>
      <c r="D100" s="55"/>
      <c r="E100" s="55"/>
      <c r="F100" s="18"/>
      <c r="G100" s="18"/>
      <c r="H100" s="18"/>
      <c r="I100" s="18"/>
      <c r="J100" s="18"/>
      <c r="K100" s="18"/>
      <c r="L100" s="18"/>
    </row>
    <row r="101" spans="1:12" x14ac:dyDescent="0.3">
      <c r="A101" s="55"/>
      <c r="B101" s="55"/>
      <c r="C101" s="55"/>
      <c r="D101" s="55"/>
      <c r="E101" s="55"/>
      <c r="F101" s="18"/>
      <c r="G101" s="18"/>
      <c r="H101" s="18"/>
      <c r="I101" s="18"/>
      <c r="J101" s="18"/>
      <c r="K101" s="18"/>
      <c r="L101" s="18"/>
    </row>
    <row r="102" spans="1:12" x14ac:dyDescent="0.3">
      <c r="A102" s="55"/>
      <c r="B102" s="55"/>
      <c r="C102" s="55"/>
      <c r="D102" s="55"/>
      <c r="E102" s="55"/>
      <c r="F102" s="18"/>
      <c r="G102" s="18"/>
      <c r="H102" s="18"/>
      <c r="I102" s="18"/>
      <c r="J102" s="18"/>
      <c r="K102" s="18"/>
      <c r="L102" s="18"/>
    </row>
    <row r="103" spans="1:12" x14ac:dyDescent="0.3">
      <c r="A103" s="55"/>
      <c r="B103" s="55"/>
      <c r="C103" s="55"/>
      <c r="D103" s="55"/>
      <c r="E103" s="55"/>
      <c r="F103" s="18"/>
      <c r="G103" s="18"/>
      <c r="H103" s="18"/>
      <c r="I103" s="18"/>
      <c r="J103" s="18"/>
      <c r="K103" s="18"/>
      <c r="L103" s="18"/>
    </row>
    <row r="104" spans="1:12" x14ac:dyDescent="0.3">
      <c r="A104" s="55"/>
      <c r="B104" s="55"/>
      <c r="C104" s="55"/>
      <c r="D104" s="55"/>
      <c r="E104" s="55"/>
      <c r="F104" s="18"/>
      <c r="G104" s="18"/>
      <c r="H104" s="18"/>
      <c r="I104" s="18"/>
      <c r="J104" s="18"/>
      <c r="K104" s="18"/>
      <c r="L104" s="18"/>
    </row>
    <row r="105" spans="1:12" x14ac:dyDescent="0.3">
      <c r="A105" s="55"/>
      <c r="B105" s="55"/>
      <c r="C105" s="55"/>
      <c r="D105" s="55"/>
      <c r="E105" s="55"/>
      <c r="F105" s="18"/>
      <c r="G105" s="18"/>
      <c r="H105" s="18"/>
      <c r="I105" s="18"/>
      <c r="J105" s="18"/>
      <c r="K105" s="18"/>
      <c r="L105" s="18"/>
    </row>
    <row r="106" spans="1:12" x14ac:dyDescent="0.3">
      <c r="A106" s="55"/>
      <c r="B106" s="55"/>
      <c r="C106" s="55"/>
      <c r="D106" s="55"/>
      <c r="E106" s="55"/>
      <c r="F106" s="18"/>
      <c r="G106" s="18"/>
      <c r="H106" s="18"/>
      <c r="I106" s="18"/>
      <c r="J106" s="18"/>
      <c r="K106" s="18"/>
      <c r="L106" s="18"/>
    </row>
    <row r="107" spans="1:12" x14ac:dyDescent="0.3">
      <c r="A107" s="55"/>
      <c r="B107" s="55"/>
      <c r="C107" s="55"/>
      <c r="D107" s="55"/>
      <c r="E107" s="55"/>
      <c r="F107" s="18"/>
      <c r="G107" s="18"/>
      <c r="H107" s="18"/>
      <c r="I107" s="18"/>
      <c r="J107" s="18"/>
      <c r="K107" s="18"/>
      <c r="L107" s="18"/>
    </row>
    <row r="108" spans="1:12" x14ac:dyDescent="0.3">
      <c r="A108" s="55"/>
      <c r="B108" s="55"/>
      <c r="C108" s="55"/>
      <c r="D108" s="55"/>
      <c r="E108" s="55"/>
      <c r="F108" s="18"/>
      <c r="G108" s="18"/>
      <c r="H108" s="18"/>
      <c r="I108" s="18"/>
      <c r="J108" s="18"/>
      <c r="K108" s="18"/>
      <c r="L108" s="18"/>
    </row>
    <row r="109" spans="1:12" x14ac:dyDescent="0.3">
      <c r="A109" s="55"/>
      <c r="B109" s="55"/>
      <c r="C109" s="55"/>
      <c r="D109" s="55"/>
      <c r="E109" s="55"/>
      <c r="F109" s="18"/>
      <c r="G109" s="18"/>
      <c r="H109" s="18"/>
      <c r="I109" s="18"/>
      <c r="J109" s="18"/>
      <c r="K109" s="18"/>
      <c r="L109" s="18"/>
    </row>
    <row r="110" spans="1:12" x14ac:dyDescent="0.3">
      <c r="A110" s="55"/>
      <c r="B110" s="55"/>
      <c r="C110" s="55"/>
      <c r="D110" s="55"/>
      <c r="E110" s="55"/>
      <c r="F110" s="18"/>
      <c r="G110" s="18"/>
      <c r="H110" s="18"/>
      <c r="I110" s="18"/>
      <c r="J110" s="18"/>
      <c r="K110" s="18"/>
      <c r="L110" s="18"/>
    </row>
    <row r="111" spans="1:12" x14ac:dyDescent="0.3">
      <c r="A111" s="55"/>
      <c r="B111" s="55"/>
      <c r="C111" s="55"/>
      <c r="D111" s="55"/>
      <c r="E111" s="55"/>
      <c r="F111" s="18"/>
      <c r="G111" s="18"/>
      <c r="H111" s="18"/>
      <c r="I111" s="18"/>
      <c r="J111" s="18"/>
      <c r="K111" s="18"/>
      <c r="L111" s="18"/>
    </row>
    <row r="112" spans="1:12" x14ac:dyDescent="0.3">
      <c r="A112" s="55"/>
      <c r="B112" s="55"/>
      <c r="C112" s="55"/>
      <c r="D112" s="55"/>
      <c r="E112" s="55"/>
      <c r="F112" s="18"/>
      <c r="G112" s="18"/>
      <c r="H112" s="18"/>
      <c r="I112" s="18"/>
      <c r="J112" s="18"/>
      <c r="K112" s="18"/>
      <c r="L112" s="18"/>
    </row>
    <row r="113" spans="1:12" x14ac:dyDescent="0.3">
      <c r="A113" s="55"/>
      <c r="B113" s="55"/>
      <c r="C113" s="55"/>
      <c r="D113" s="55"/>
      <c r="E113" s="55"/>
      <c r="F113" s="18"/>
      <c r="G113" s="18"/>
      <c r="H113" s="18"/>
      <c r="I113" s="18"/>
      <c r="J113" s="18"/>
      <c r="K113" s="18"/>
      <c r="L113" s="18"/>
    </row>
    <row r="114" spans="1:12" x14ac:dyDescent="0.3">
      <c r="A114" s="55"/>
      <c r="B114" s="55"/>
      <c r="C114" s="55"/>
      <c r="D114" s="55"/>
      <c r="E114" s="55"/>
      <c r="F114" s="18"/>
      <c r="G114" s="18"/>
      <c r="H114" s="18"/>
      <c r="I114" s="18"/>
      <c r="J114" s="18"/>
      <c r="K114" s="18"/>
      <c r="L114" s="18"/>
    </row>
    <row r="115" spans="1:12" x14ac:dyDescent="0.3">
      <c r="A115" s="55"/>
      <c r="B115" s="55"/>
      <c r="C115" s="55"/>
      <c r="D115" s="55"/>
      <c r="E115" s="55"/>
      <c r="F115" s="18"/>
      <c r="G115" s="18"/>
      <c r="H115" s="18"/>
      <c r="I115" s="18"/>
      <c r="J115" s="18"/>
      <c r="K115" s="18"/>
      <c r="L115" s="18"/>
    </row>
  </sheetData>
  <mergeCells count="1">
    <mergeCell ref="A1:E1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workbookViewId="0">
      <selection activeCell="C33" sqref="C33"/>
    </sheetView>
  </sheetViews>
  <sheetFormatPr defaultColWidth="8.7109375" defaultRowHeight="15" x14ac:dyDescent="0.3"/>
  <cols>
    <col min="1" max="1" width="22.35546875" customWidth="1"/>
    <col min="2" max="2" width="16.640625" style="104" customWidth="1"/>
    <col min="3" max="3" width="17.35546875" customWidth="1"/>
    <col min="4" max="4" width="14.2109375" customWidth="1"/>
  </cols>
  <sheetData>
    <row r="1" spans="1:12" s="17" customFormat="1" ht="35.15" customHeight="1" x14ac:dyDescent="0.5">
      <c r="A1" s="129" t="s">
        <v>68</v>
      </c>
      <c r="B1" s="130"/>
      <c r="C1" s="130"/>
      <c r="D1" s="130"/>
    </row>
    <row r="2" spans="1:12" ht="15" customHeight="1" x14ac:dyDescent="0.5">
      <c r="A2" s="8"/>
      <c r="B2" s="100"/>
      <c r="C2" s="7"/>
      <c r="D2" s="7"/>
    </row>
    <row r="3" spans="1:12" s="18" customFormat="1" ht="33.75" customHeight="1" x14ac:dyDescent="0.25">
      <c r="A3" s="43"/>
      <c r="B3" s="101" t="s">
        <v>69</v>
      </c>
      <c r="C3" s="20" t="s">
        <v>70</v>
      </c>
      <c r="D3" s="21" t="s">
        <v>71</v>
      </c>
    </row>
    <row r="4" spans="1:12" ht="22" customHeight="1" x14ac:dyDescent="0.3">
      <c r="A4" s="24" t="s">
        <v>72</v>
      </c>
      <c r="B4" s="115"/>
      <c r="C4" s="115"/>
      <c r="D4" s="105"/>
      <c r="E4" s="18"/>
      <c r="F4" s="35"/>
      <c r="G4" s="18"/>
      <c r="I4" s="18"/>
      <c r="J4" s="18"/>
      <c r="K4" s="18"/>
      <c r="L4" s="18"/>
    </row>
    <row r="5" spans="1:12" ht="22" customHeight="1" x14ac:dyDescent="0.3">
      <c r="A5" s="24" t="s">
        <v>73</v>
      </c>
      <c r="B5" s="115">
        <v>156214</v>
      </c>
      <c r="C5" s="115">
        <f>D5*1000/B5</f>
        <v>2358.8922887833355</v>
      </c>
      <c r="D5" s="105">
        <v>368492</v>
      </c>
      <c r="E5" s="18"/>
      <c r="F5" s="35"/>
      <c r="G5" s="18"/>
      <c r="I5" s="18"/>
      <c r="J5" s="18"/>
      <c r="K5" s="18"/>
      <c r="L5" s="18"/>
    </row>
    <row r="6" spans="1:12" ht="22" customHeight="1" x14ac:dyDescent="0.3">
      <c r="A6" s="25" t="s">
        <v>74</v>
      </c>
      <c r="B6" s="115">
        <v>90608.6</v>
      </c>
      <c r="C6" s="115">
        <f t="shared" ref="C6:C32" si="0">D6*1000/B6</f>
        <v>1290.870844489375</v>
      </c>
      <c r="D6" s="105">
        <v>116964</v>
      </c>
      <c r="E6" s="18"/>
      <c r="F6" s="35"/>
      <c r="G6" s="18"/>
      <c r="I6" s="18"/>
      <c r="J6" s="18"/>
      <c r="K6" s="18"/>
      <c r="L6" s="18"/>
    </row>
    <row r="7" spans="1:12" ht="22" customHeight="1" x14ac:dyDescent="0.3">
      <c r="A7" s="25" t="s">
        <v>75</v>
      </c>
      <c r="B7" s="115">
        <v>35297</v>
      </c>
      <c r="C7" s="115">
        <f t="shared" si="0"/>
        <v>1556.7611978355101</v>
      </c>
      <c r="D7" s="105">
        <v>54949</v>
      </c>
      <c r="E7" s="18"/>
      <c r="F7" s="35"/>
      <c r="G7" s="18"/>
      <c r="I7" s="18"/>
      <c r="J7" s="18"/>
      <c r="K7" s="18"/>
      <c r="L7" s="18"/>
    </row>
    <row r="8" spans="1:12" ht="22" customHeight="1" x14ac:dyDescent="0.3">
      <c r="A8" s="25" t="s">
        <v>76</v>
      </c>
      <c r="B8" s="115">
        <v>20432</v>
      </c>
      <c r="C8" s="115">
        <f t="shared" si="0"/>
        <v>1761.9420516836335</v>
      </c>
      <c r="D8" s="105">
        <v>36000</v>
      </c>
      <c r="E8" s="18"/>
      <c r="F8" s="35"/>
      <c r="G8" s="18"/>
      <c r="I8" s="18"/>
      <c r="J8" s="18"/>
      <c r="K8" s="18"/>
      <c r="L8" s="18"/>
    </row>
    <row r="9" spans="1:12" ht="22" customHeight="1" x14ac:dyDescent="0.3">
      <c r="A9" s="25" t="s">
        <v>186</v>
      </c>
      <c r="B9" s="115">
        <v>34866.6</v>
      </c>
      <c r="C9" s="115">
        <f>D9*1000/B9</f>
        <v>745.69932256084621</v>
      </c>
      <c r="D9" s="105">
        <v>26000</v>
      </c>
      <c r="E9" s="18"/>
      <c r="F9" s="35"/>
      <c r="G9" s="18"/>
      <c r="I9" s="18"/>
      <c r="J9" s="18"/>
      <c r="K9" s="18"/>
      <c r="L9" s="18"/>
    </row>
    <row r="10" spans="1:12" ht="22" customHeight="1" x14ac:dyDescent="0.3">
      <c r="A10" s="25" t="s">
        <v>187</v>
      </c>
      <c r="B10" s="115">
        <v>34085</v>
      </c>
      <c r="C10" s="115">
        <f t="shared" si="0"/>
        <v>727.12336805046209</v>
      </c>
      <c r="D10" s="105">
        <v>24784</v>
      </c>
      <c r="E10" s="18"/>
      <c r="F10" s="44"/>
      <c r="G10" s="18"/>
      <c r="I10" s="18"/>
      <c r="J10" s="18"/>
      <c r="K10" s="18"/>
      <c r="L10" s="18"/>
    </row>
    <row r="11" spans="1:12" ht="22" customHeight="1" x14ac:dyDescent="0.3">
      <c r="A11" s="45" t="s">
        <v>188</v>
      </c>
      <c r="B11" s="115">
        <v>207.6</v>
      </c>
      <c r="C11" s="115">
        <f t="shared" si="0"/>
        <v>1604.0462427745665</v>
      </c>
      <c r="D11" s="105">
        <v>333</v>
      </c>
      <c r="E11" s="18"/>
      <c r="F11" s="35"/>
      <c r="G11" s="18"/>
      <c r="I11" s="18"/>
      <c r="J11" s="18"/>
      <c r="K11" s="18"/>
      <c r="L11" s="18"/>
    </row>
    <row r="12" spans="1:12" ht="22" customHeight="1" x14ac:dyDescent="0.3">
      <c r="A12" s="25" t="s">
        <v>189</v>
      </c>
      <c r="B12" s="115">
        <v>71</v>
      </c>
      <c r="C12" s="115">
        <f t="shared" si="0"/>
        <v>957.74647887323943</v>
      </c>
      <c r="D12" s="105">
        <v>68</v>
      </c>
      <c r="E12" s="18"/>
      <c r="F12" s="35"/>
      <c r="G12" s="18"/>
      <c r="I12" s="18"/>
      <c r="J12" s="18"/>
      <c r="K12" s="18"/>
      <c r="L12" s="18"/>
    </row>
    <row r="13" spans="1:12" ht="22" customHeight="1" x14ac:dyDescent="0.3">
      <c r="A13" s="25" t="s">
        <v>190</v>
      </c>
      <c r="B13" s="115">
        <v>503</v>
      </c>
      <c r="C13" s="115">
        <f t="shared" si="0"/>
        <v>1620.2783300198807</v>
      </c>
      <c r="D13" s="105">
        <v>815</v>
      </c>
      <c r="E13" s="18"/>
      <c r="F13" s="35"/>
      <c r="G13" s="18"/>
      <c r="I13" s="18"/>
      <c r="J13" s="18"/>
      <c r="K13" s="18"/>
      <c r="L13" s="18"/>
    </row>
    <row r="14" spans="1:12" ht="22" customHeight="1" x14ac:dyDescent="0.3">
      <c r="A14" s="25" t="s">
        <v>191</v>
      </c>
      <c r="B14" s="115"/>
      <c r="C14" s="115"/>
      <c r="D14" s="105"/>
      <c r="E14" s="18"/>
      <c r="F14" s="35"/>
      <c r="G14" s="18"/>
      <c r="I14" s="18"/>
      <c r="J14" s="18"/>
      <c r="K14" s="18"/>
      <c r="L14" s="18"/>
    </row>
    <row r="15" spans="1:12" ht="22" customHeight="1" x14ac:dyDescent="0.3">
      <c r="A15" s="25" t="s">
        <v>184</v>
      </c>
      <c r="B15" s="115">
        <v>1741</v>
      </c>
      <c r="C15" s="115">
        <f t="shared" si="0"/>
        <v>2026.4215967834577</v>
      </c>
      <c r="D15" s="105">
        <v>3528</v>
      </c>
      <c r="E15" s="18"/>
      <c r="F15" s="35"/>
      <c r="G15" s="18"/>
      <c r="I15" s="18"/>
      <c r="J15" s="18"/>
      <c r="K15" s="18"/>
      <c r="L15" s="18"/>
    </row>
    <row r="16" spans="1:12" ht="22" customHeight="1" x14ac:dyDescent="0.3">
      <c r="A16" s="25" t="s">
        <v>77</v>
      </c>
      <c r="B16" s="115"/>
      <c r="C16" s="115" t="e">
        <f t="shared" si="0"/>
        <v>#DIV/0!</v>
      </c>
      <c r="D16" s="105"/>
      <c r="E16" s="18"/>
      <c r="F16" s="18"/>
      <c r="G16" s="18"/>
      <c r="I16" s="18"/>
      <c r="J16" s="18"/>
      <c r="K16" s="18"/>
      <c r="L16" s="18"/>
    </row>
    <row r="17" spans="1:12" ht="22" customHeight="1" x14ac:dyDescent="0.3">
      <c r="A17" s="25" t="s">
        <v>78</v>
      </c>
      <c r="B17" s="115"/>
      <c r="C17" s="115"/>
      <c r="D17" s="105"/>
      <c r="E17" s="18"/>
      <c r="F17" s="18"/>
      <c r="G17" s="18"/>
      <c r="H17" s="18"/>
      <c r="I17" s="18"/>
      <c r="J17" s="18"/>
      <c r="K17" s="18"/>
      <c r="L17" s="18"/>
    </row>
    <row r="18" spans="1:12" ht="22" customHeight="1" x14ac:dyDescent="0.3">
      <c r="A18" s="25" t="s">
        <v>185</v>
      </c>
      <c r="B18" s="115">
        <v>63863.9</v>
      </c>
      <c r="C18" s="115">
        <f t="shared" si="0"/>
        <v>3883.2579908211055</v>
      </c>
      <c r="D18" s="105">
        <v>248000</v>
      </c>
      <c r="E18" s="18"/>
      <c r="F18" s="18"/>
      <c r="G18" s="18"/>
      <c r="H18" s="18"/>
      <c r="I18" s="18"/>
      <c r="J18" s="18"/>
      <c r="K18" s="18"/>
      <c r="L18" s="18"/>
    </row>
    <row r="19" spans="1:12" ht="22" customHeight="1" x14ac:dyDescent="0.3">
      <c r="A19" s="25" t="s">
        <v>79</v>
      </c>
      <c r="B19" s="115">
        <v>63863.9</v>
      </c>
      <c r="C19" s="115">
        <f t="shared" si="0"/>
        <v>3883.2579908211055</v>
      </c>
      <c r="D19" s="105">
        <v>248000</v>
      </c>
      <c r="E19" s="18"/>
      <c r="F19" s="18"/>
      <c r="G19" s="18"/>
      <c r="H19" s="18"/>
      <c r="I19" s="18"/>
      <c r="J19" s="18"/>
      <c r="K19" s="18"/>
      <c r="L19" s="18"/>
    </row>
    <row r="20" spans="1:12" ht="22" customHeight="1" x14ac:dyDescent="0.3">
      <c r="A20" s="24" t="s">
        <v>80</v>
      </c>
      <c r="B20" s="115">
        <v>22100.6</v>
      </c>
      <c r="C20" s="115">
        <f t="shared" si="0"/>
        <v>1105.0152484547932</v>
      </c>
      <c r="D20" s="105">
        <v>24421.5</v>
      </c>
      <c r="E20" s="18"/>
      <c r="F20" s="18"/>
      <c r="G20" s="18"/>
      <c r="H20" s="18"/>
      <c r="I20" s="18"/>
      <c r="J20" s="18"/>
      <c r="K20" s="18"/>
      <c r="L20" s="18"/>
    </row>
    <row r="21" spans="1:12" ht="22" customHeight="1" x14ac:dyDescent="0.3">
      <c r="A21" s="25" t="s">
        <v>81</v>
      </c>
      <c r="B21" s="115">
        <v>13418.4</v>
      </c>
      <c r="C21" s="115">
        <f t="shared" si="0"/>
        <v>937.29505753293984</v>
      </c>
      <c r="D21" s="105">
        <v>12577</v>
      </c>
      <c r="E21" s="18"/>
      <c r="F21" s="30"/>
      <c r="G21" s="18"/>
      <c r="H21" s="18"/>
      <c r="I21" s="18"/>
      <c r="J21" s="30"/>
      <c r="K21" s="30"/>
      <c r="L21" s="18"/>
    </row>
    <row r="22" spans="1:12" ht="22" customHeight="1" x14ac:dyDescent="0.3">
      <c r="A22" s="25" t="s">
        <v>82</v>
      </c>
      <c r="B22" s="115">
        <v>8215.2000000000007</v>
      </c>
      <c r="C22" s="115">
        <f t="shared" si="0"/>
        <v>1276.1710000973803</v>
      </c>
      <c r="D22" s="105">
        <v>10484</v>
      </c>
      <c r="E22" s="18"/>
      <c r="F22" s="30"/>
      <c r="G22" s="18"/>
    </row>
    <row r="23" spans="1:12" ht="22" customHeight="1" x14ac:dyDescent="0.3">
      <c r="A23" s="24" t="s">
        <v>83</v>
      </c>
      <c r="B23" s="115">
        <v>900</v>
      </c>
      <c r="C23" s="115">
        <f t="shared" si="0"/>
        <v>15675.555555555555</v>
      </c>
      <c r="D23" s="105">
        <v>14108</v>
      </c>
      <c r="E23" s="18"/>
      <c r="F23" s="30"/>
      <c r="G23" s="18"/>
    </row>
    <row r="24" spans="1:12" ht="22" customHeight="1" x14ac:dyDescent="0.3">
      <c r="A24" s="24" t="s">
        <v>84</v>
      </c>
      <c r="B24" s="115"/>
      <c r="C24" s="115"/>
      <c r="D24" s="105"/>
      <c r="E24" s="18"/>
      <c r="F24" s="30"/>
      <c r="G24" s="18"/>
    </row>
    <row r="25" spans="1:12" ht="22" customHeight="1" x14ac:dyDescent="0.3">
      <c r="A25" s="24" t="s">
        <v>85</v>
      </c>
      <c r="B25" s="115">
        <f>B26+B27</f>
        <v>16542.349999999999</v>
      </c>
      <c r="C25" s="115">
        <f>D26*1000/B26</f>
        <v>70292.777381094056</v>
      </c>
      <c r="D25" s="115">
        <f>D26+D27</f>
        <v>1145212</v>
      </c>
      <c r="E25" s="18"/>
      <c r="F25" s="30"/>
      <c r="G25" s="18"/>
    </row>
    <row r="26" spans="1:12" ht="22" customHeight="1" x14ac:dyDescent="0.3">
      <c r="A26" s="25" t="s">
        <v>86</v>
      </c>
      <c r="B26" s="115">
        <v>16133.76</v>
      </c>
      <c r="C26" s="115">
        <v>62060</v>
      </c>
      <c r="D26" s="105">
        <v>1134086.8</v>
      </c>
      <c r="E26" s="18"/>
      <c r="F26" s="30"/>
      <c r="G26" s="18"/>
    </row>
    <row r="27" spans="1:12" ht="22" customHeight="1" x14ac:dyDescent="0.3">
      <c r="A27" s="25" t="s">
        <v>87</v>
      </c>
      <c r="B27" s="115">
        <v>408.59</v>
      </c>
      <c r="C27" s="115">
        <v>27168</v>
      </c>
      <c r="D27" s="105">
        <v>11125.2</v>
      </c>
      <c r="E27" s="18"/>
      <c r="F27" s="30"/>
      <c r="G27" s="18"/>
    </row>
    <row r="28" spans="1:12" ht="22" customHeight="1" x14ac:dyDescent="0.3">
      <c r="A28" s="25" t="s">
        <v>88</v>
      </c>
      <c r="B28" s="115">
        <v>398</v>
      </c>
      <c r="C28" s="115">
        <v>27116</v>
      </c>
      <c r="D28" s="105">
        <v>10817</v>
      </c>
      <c r="E28" s="18"/>
      <c r="F28" s="30"/>
      <c r="G28" s="18"/>
    </row>
    <row r="29" spans="1:12" ht="22" customHeight="1" x14ac:dyDescent="0.3">
      <c r="A29" s="46" t="s">
        <v>89</v>
      </c>
      <c r="B29" s="115">
        <v>9.02</v>
      </c>
      <c r="C29" s="115">
        <v>28556</v>
      </c>
      <c r="D29" s="105">
        <v>264</v>
      </c>
      <c r="E29" s="18"/>
      <c r="F29" s="30"/>
      <c r="G29" s="18"/>
    </row>
    <row r="30" spans="1:12" ht="22" customHeight="1" x14ac:dyDescent="0.3">
      <c r="A30" s="46" t="s">
        <v>90</v>
      </c>
      <c r="B30" s="115">
        <v>44343.67</v>
      </c>
      <c r="C30" s="115"/>
      <c r="D30" s="105"/>
      <c r="E30" s="18"/>
      <c r="F30" s="30"/>
      <c r="G30" s="18"/>
    </row>
    <row r="31" spans="1:12" x14ac:dyDescent="0.3">
      <c r="A31" s="46" t="s">
        <v>179</v>
      </c>
      <c r="B31" s="115">
        <v>38383.67</v>
      </c>
      <c r="C31" s="115">
        <f t="shared" si="0"/>
        <v>49638.682283377282</v>
      </c>
      <c r="D31" s="105">
        <v>1905314.8</v>
      </c>
      <c r="E31" s="18"/>
      <c r="F31" s="48"/>
      <c r="G31" s="18"/>
    </row>
    <row r="32" spans="1:12" x14ac:dyDescent="0.3">
      <c r="A32" s="91" t="s">
        <v>178</v>
      </c>
      <c r="B32" s="115">
        <v>5627</v>
      </c>
      <c r="C32" s="115">
        <f t="shared" si="0"/>
        <v>34122.978496534568</v>
      </c>
      <c r="D32" s="105">
        <v>192010</v>
      </c>
      <c r="E32" s="18"/>
      <c r="F32" s="30"/>
      <c r="G32" s="18"/>
      <c r="H32" s="18"/>
      <c r="I32" s="18"/>
      <c r="J32" s="30"/>
      <c r="K32" s="30"/>
      <c r="L32" s="18"/>
    </row>
    <row r="33" spans="1:12" x14ac:dyDescent="0.3">
      <c r="A33" s="30"/>
      <c r="B33" s="102"/>
      <c r="C33" s="30"/>
      <c r="D33" s="30"/>
      <c r="E33" s="18"/>
      <c r="F33" s="18"/>
      <c r="G33" s="18"/>
      <c r="H33" s="18"/>
      <c r="I33" s="18"/>
      <c r="J33" s="18"/>
      <c r="K33" s="18"/>
      <c r="L33" s="18"/>
    </row>
    <row r="34" spans="1:12" x14ac:dyDescent="0.3">
      <c r="A34" s="18"/>
      <c r="B34" s="103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3">
      <c r="A35" s="18"/>
      <c r="B35" s="103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3">
      <c r="A36" s="18"/>
      <c r="B36" s="103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3">
      <c r="A37" s="18"/>
      <c r="B37" s="103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x14ac:dyDescent="0.3">
      <c r="A38" s="18"/>
      <c r="B38" s="103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3">
      <c r="A39" s="18"/>
      <c r="B39" s="103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x14ac:dyDescent="0.3">
      <c r="A40" s="18"/>
      <c r="B40" s="103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x14ac:dyDescent="0.3">
      <c r="A41" s="18"/>
      <c r="B41" s="103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12" customHeight="1" x14ac:dyDescent="0.3">
      <c r="A42" s="18"/>
      <c r="B42" s="103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x14ac:dyDescent="0.3">
      <c r="A43" s="18"/>
      <c r="B43" s="103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x14ac:dyDescent="0.3">
      <c r="A44" s="18"/>
      <c r="B44" s="103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x14ac:dyDescent="0.3">
      <c r="A45" s="18"/>
      <c r="B45" s="103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x14ac:dyDescent="0.3">
      <c r="A46" s="18"/>
      <c r="B46" s="103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3">
      <c r="A47" s="18"/>
      <c r="B47" s="103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3">
      <c r="A48" s="18"/>
      <c r="B48" s="103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x14ac:dyDescent="0.3">
      <c r="A49" s="18"/>
      <c r="B49" s="103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x14ac:dyDescent="0.3">
      <c r="A50" s="18"/>
      <c r="B50" s="103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3">
      <c r="A51" s="18"/>
      <c r="B51" s="103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3">
      <c r="A52" s="18"/>
      <c r="B52" s="103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3">
      <c r="A53" s="18"/>
      <c r="B53" s="103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3">
      <c r="A54" s="18"/>
      <c r="B54" s="103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">
      <c r="A55" s="18"/>
      <c r="B55" s="103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3">
      <c r="A56" s="18"/>
      <c r="B56" s="103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3">
      <c r="A57" s="18"/>
      <c r="B57" s="103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3">
      <c r="A58" s="18"/>
      <c r="B58" s="103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3">
      <c r="A59" s="18"/>
      <c r="B59" s="103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3">
      <c r="A60" s="18"/>
      <c r="B60" s="103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3">
      <c r="A61" s="18"/>
      <c r="B61" s="103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3">
      <c r="A62" s="18"/>
      <c r="B62" s="103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3">
      <c r="A63" s="18"/>
      <c r="B63" s="103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3">
      <c r="A64" s="18"/>
      <c r="B64" s="103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3">
      <c r="A65" s="18"/>
      <c r="B65" s="103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3">
      <c r="A66" s="18"/>
      <c r="B66" s="103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3">
      <c r="A67" s="18"/>
      <c r="B67" s="103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3">
      <c r="A68" s="18"/>
      <c r="B68" s="103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3">
      <c r="A69" s="18"/>
      <c r="B69" s="103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3">
      <c r="A70" s="18"/>
      <c r="B70" s="103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3">
      <c r="A71" s="18"/>
      <c r="B71" s="103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3">
      <c r="A72" s="18"/>
      <c r="B72" s="103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3">
      <c r="A73" s="18"/>
      <c r="B73" s="103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3">
      <c r="A74" s="18"/>
      <c r="B74" s="103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3">
      <c r="A75" s="18"/>
      <c r="B75" s="103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3">
      <c r="A76" s="18"/>
      <c r="B76" s="103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3">
      <c r="A77" s="18"/>
      <c r="B77" s="103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3">
      <c r="A78" s="18"/>
      <c r="B78" s="103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3">
      <c r="A79" s="18"/>
      <c r="B79" s="103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3">
      <c r="A80" s="18"/>
      <c r="B80" s="103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18"/>
      <c r="B81" s="103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18"/>
      <c r="B82" s="103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18"/>
      <c r="B83" s="103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18"/>
      <c r="B84" s="103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18"/>
      <c r="B85" s="103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18"/>
      <c r="B86" s="103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18"/>
      <c r="B87" s="103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18"/>
      <c r="B88" s="103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18"/>
      <c r="B89" s="103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03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03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03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03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03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03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03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03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03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03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03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03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03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x14ac:dyDescent="0.3">
      <c r="A103" s="18"/>
      <c r="B103" s="103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x14ac:dyDescent="0.3">
      <c r="A104" s="18"/>
      <c r="B104" s="103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x14ac:dyDescent="0.3">
      <c r="A105" s="18"/>
      <c r="B105" s="103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x14ac:dyDescent="0.3">
      <c r="A106" s="18"/>
      <c r="B106" s="103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x14ac:dyDescent="0.3">
      <c r="A107" s="18"/>
      <c r="B107" s="103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x14ac:dyDescent="0.3">
      <c r="A108" s="18"/>
      <c r="B108" s="103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x14ac:dyDescent="0.3">
      <c r="A109" s="18"/>
      <c r="B109" s="103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x14ac:dyDescent="0.3">
      <c r="A110" s="18"/>
      <c r="B110" s="103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x14ac:dyDescent="0.3">
      <c r="A111" s="18"/>
      <c r="B111" s="103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x14ac:dyDescent="0.3">
      <c r="A112" s="18"/>
      <c r="B112" s="103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x14ac:dyDescent="0.3">
      <c r="A113" s="18"/>
      <c r="B113" s="103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x14ac:dyDescent="0.3">
      <c r="A114" s="18"/>
      <c r="B114" s="103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x14ac:dyDescent="0.3">
      <c r="A115" s="18"/>
      <c r="B115" s="103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</sheetData>
  <mergeCells count="1">
    <mergeCell ref="A1:D1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>
      <selection activeCell="F5" sqref="F5"/>
    </sheetView>
  </sheetViews>
  <sheetFormatPr defaultColWidth="8.7109375" defaultRowHeight="15" x14ac:dyDescent="0.3"/>
  <cols>
    <col min="1" max="1" width="25.2109375" style="18" customWidth="1"/>
    <col min="2" max="2" width="5.7109375" customWidth="1"/>
    <col min="3" max="3" width="8.85546875" customWidth="1"/>
    <col min="4" max="5" width="11.140625" customWidth="1"/>
  </cols>
  <sheetData>
    <row r="1" spans="1:12" s="17" customFormat="1" ht="35.15" customHeight="1" x14ac:dyDescent="0.5">
      <c r="A1" s="129" t="s">
        <v>91</v>
      </c>
      <c r="B1" s="130"/>
      <c r="C1" s="130"/>
      <c r="D1" s="130"/>
      <c r="E1" s="130"/>
    </row>
    <row r="2" spans="1:12" s="18" customFormat="1" ht="15" customHeight="1" x14ac:dyDescent="0.3">
      <c r="A2" s="34"/>
      <c r="B2" s="35"/>
      <c r="C2" s="35"/>
      <c r="D2" s="35"/>
      <c r="E2" s="36"/>
    </row>
    <row r="3" spans="1:12" x14ac:dyDescent="0.3">
      <c r="A3" s="153"/>
      <c r="B3" s="155" t="s">
        <v>35</v>
      </c>
      <c r="C3" s="37"/>
      <c r="D3" s="38"/>
      <c r="E3" s="157" t="s">
        <v>301</v>
      </c>
      <c r="F3" s="18"/>
      <c r="G3" s="18"/>
      <c r="H3" s="18"/>
      <c r="I3" s="18"/>
      <c r="J3" s="18"/>
      <c r="K3" s="18"/>
      <c r="L3" s="18"/>
    </row>
    <row r="4" spans="1:12" ht="24.75" customHeight="1" x14ac:dyDescent="0.3">
      <c r="A4" s="154"/>
      <c r="B4" s="156"/>
      <c r="C4" s="39">
        <v>2015</v>
      </c>
      <c r="D4" s="39">
        <v>2016</v>
      </c>
      <c r="E4" s="157"/>
      <c r="F4" s="18"/>
      <c r="G4" s="18"/>
      <c r="H4" s="18"/>
      <c r="I4" s="18"/>
      <c r="J4" s="18"/>
      <c r="K4" s="18"/>
      <c r="L4" s="18"/>
    </row>
    <row r="5" spans="1:12" x14ac:dyDescent="0.3">
      <c r="A5" s="25" t="s">
        <v>92</v>
      </c>
      <c r="B5" s="35" t="s">
        <v>93</v>
      </c>
      <c r="C5" s="116">
        <v>266097.48</v>
      </c>
      <c r="D5" s="127" t="s">
        <v>267</v>
      </c>
      <c r="E5" s="117">
        <f>D5/C5*100-100</f>
        <v>17.730678997786839</v>
      </c>
      <c r="F5" s="40"/>
      <c r="G5" s="18"/>
      <c r="H5" s="18"/>
      <c r="I5" s="18"/>
      <c r="J5" s="18"/>
      <c r="K5" s="18"/>
      <c r="L5" s="18"/>
    </row>
    <row r="6" spans="1:12" x14ac:dyDescent="0.3">
      <c r="A6" s="25" t="s">
        <v>94</v>
      </c>
      <c r="B6" s="35" t="s">
        <v>93</v>
      </c>
      <c r="C6" s="116">
        <v>8136</v>
      </c>
      <c r="D6" s="127" t="s">
        <v>268</v>
      </c>
      <c r="E6" s="117">
        <f t="shared" ref="E6:E40" si="0">D6/C6*100-100</f>
        <v>7.5221238938053148</v>
      </c>
      <c r="F6" s="40"/>
      <c r="G6" s="18"/>
      <c r="H6" s="18"/>
      <c r="I6" s="18"/>
      <c r="J6" s="18"/>
      <c r="K6" s="18"/>
      <c r="L6" s="18"/>
    </row>
    <row r="7" spans="1:12" x14ac:dyDescent="0.3">
      <c r="A7" s="25" t="s">
        <v>95</v>
      </c>
      <c r="B7" s="35" t="s">
        <v>93</v>
      </c>
      <c r="C7" s="116">
        <v>116137</v>
      </c>
      <c r="D7" s="127" t="s">
        <v>269</v>
      </c>
      <c r="E7" s="117">
        <f t="shared" si="0"/>
        <v>6.247793554164474</v>
      </c>
      <c r="F7" s="40"/>
      <c r="G7" s="18"/>
      <c r="H7" s="18"/>
      <c r="I7" s="18"/>
      <c r="J7" s="18"/>
      <c r="K7" s="18"/>
      <c r="L7" s="18"/>
    </row>
    <row r="8" spans="1:12" x14ac:dyDescent="0.3">
      <c r="A8" s="25" t="s">
        <v>96</v>
      </c>
      <c r="B8" s="35" t="s">
        <v>93</v>
      </c>
      <c r="C8" s="116">
        <v>133124</v>
      </c>
      <c r="D8" s="127" t="s">
        <v>270</v>
      </c>
      <c r="E8" s="117">
        <f t="shared" si="0"/>
        <v>21.429644541930841</v>
      </c>
      <c r="F8" s="40"/>
      <c r="G8" s="18"/>
      <c r="H8" s="18"/>
      <c r="I8" s="18"/>
      <c r="J8" s="18"/>
      <c r="K8" s="18"/>
      <c r="L8" s="18"/>
    </row>
    <row r="9" spans="1:12" x14ac:dyDescent="0.3">
      <c r="A9" s="25" t="s">
        <v>97</v>
      </c>
      <c r="B9" s="35" t="s">
        <v>93</v>
      </c>
      <c r="C9" s="116">
        <v>12239.2</v>
      </c>
      <c r="D9" s="127" t="s">
        <v>271</v>
      </c>
      <c r="E9" s="117">
        <f t="shared" si="0"/>
        <v>-22.465520622262886</v>
      </c>
      <c r="F9" s="40"/>
      <c r="G9" s="18"/>
      <c r="H9" s="18"/>
      <c r="I9" s="18"/>
      <c r="J9" s="18"/>
      <c r="K9" s="18"/>
      <c r="L9" s="18"/>
    </row>
    <row r="10" spans="1:12" x14ac:dyDescent="0.3">
      <c r="A10" s="25" t="s">
        <v>98</v>
      </c>
      <c r="B10" s="35" t="s">
        <v>93</v>
      </c>
      <c r="C10" s="116">
        <v>166.32</v>
      </c>
      <c r="D10" s="127" t="s">
        <v>272</v>
      </c>
      <c r="E10" s="117">
        <f t="shared" si="0"/>
        <v>112.96296296296299</v>
      </c>
      <c r="F10" s="40"/>
      <c r="G10" s="18"/>
      <c r="H10" s="18"/>
      <c r="I10" s="18"/>
      <c r="J10" s="18"/>
      <c r="K10" s="18"/>
      <c r="L10" s="18"/>
    </row>
    <row r="11" spans="1:12" x14ac:dyDescent="0.3">
      <c r="A11" s="25" t="s">
        <v>99</v>
      </c>
      <c r="B11" s="35" t="s">
        <v>93</v>
      </c>
      <c r="C11" s="118">
        <v>2</v>
      </c>
      <c r="D11" s="127" t="s">
        <v>273</v>
      </c>
      <c r="E11" s="117">
        <f t="shared" si="0"/>
        <v>201.5</v>
      </c>
      <c r="F11" s="40"/>
      <c r="G11" s="18"/>
      <c r="H11" s="18"/>
      <c r="I11" s="18"/>
      <c r="J11" s="18"/>
      <c r="K11" s="18"/>
      <c r="L11" s="18"/>
    </row>
    <row r="12" spans="1:12" x14ac:dyDescent="0.3">
      <c r="A12" s="25" t="s">
        <v>100</v>
      </c>
      <c r="B12" s="35" t="s">
        <v>93</v>
      </c>
      <c r="C12" s="116">
        <v>5967.36</v>
      </c>
      <c r="D12" s="127" t="s">
        <v>274</v>
      </c>
      <c r="E12" s="117">
        <f t="shared" si="0"/>
        <v>166.88116688116691</v>
      </c>
      <c r="F12" s="40"/>
      <c r="G12" s="18"/>
      <c r="H12" s="18"/>
      <c r="I12" s="18"/>
      <c r="J12" s="18"/>
      <c r="K12" s="18"/>
      <c r="L12" s="18"/>
    </row>
    <row r="13" spans="1:12" x14ac:dyDescent="0.3">
      <c r="A13" s="25" t="s">
        <v>101</v>
      </c>
      <c r="B13" s="35" t="s">
        <v>93</v>
      </c>
      <c r="C13" s="116">
        <v>944.8</v>
      </c>
      <c r="D13" s="127" t="s">
        <v>275</v>
      </c>
      <c r="E13" s="117">
        <f t="shared" si="0"/>
        <v>68.753175275190529</v>
      </c>
      <c r="F13" s="40"/>
      <c r="G13" s="18"/>
      <c r="H13" s="18"/>
      <c r="I13" s="18"/>
      <c r="J13" s="18"/>
      <c r="K13" s="18"/>
      <c r="L13" s="18"/>
    </row>
    <row r="14" spans="1:12" x14ac:dyDescent="0.3">
      <c r="A14" s="25" t="s">
        <v>102</v>
      </c>
      <c r="B14" s="35" t="s">
        <v>93</v>
      </c>
      <c r="C14" s="116">
        <v>1189</v>
      </c>
      <c r="D14" s="127" t="s">
        <v>276</v>
      </c>
      <c r="E14" s="117">
        <f t="shared" si="0"/>
        <v>0.67283431455005882</v>
      </c>
      <c r="F14" s="40"/>
      <c r="G14" s="18"/>
      <c r="H14" s="18"/>
      <c r="I14" s="18"/>
      <c r="J14" s="18"/>
      <c r="K14" s="18"/>
      <c r="L14" s="18"/>
    </row>
    <row r="15" spans="1:12" x14ac:dyDescent="0.3">
      <c r="A15" s="25" t="s">
        <v>103</v>
      </c>
      <c r="B15" s="35" t="s">
        <v>93</v>
      </c>
      <c r="C15" s="116">
        <v>392</v>
      </c>
      <c r="D15" s="127" t="s">
        <v>277</v>
      </c>
      <c r="E15" s="117">
        <f t="shared" si="0"/>
        <v>1.5306122448979664</v>
      </c>
      <c r="F15" s="40"/>
      <c r="G15" s="18"/>
      <c r="H15" s="18"/>
      <c r="I15" s="18"/>
      <c r="J15" s="18"/>
      <c r="K15" s="18"/>
      <c r="L15" s="18"/>
    </row>
    <row r="16" spans="1:12" x14ac:dyDescent="0.3">
      <c r="A16" s="25" t="s">
        <v>104</v>
      </c>
      <c r="B16" s="35" t="s">
        <v>93</v>
      </c>
      <c r="C16" s="116">
        <v>624742</v>
      </c>
      <c r="D16" s="127" t="s">
        <v>278</v>
      </c>
      <c r="E16" s="117">
        <f t="shared" si="0"/>
        <v>-1.0205812959589622</v>
      </c>
      <c r="F16" s="40"/>
      <c r="G16" s="18"/>
      <c r="H16" s="18"/>
      <c r="I16" s="18"/>
      <c r="J16" s="18"/>
      <c r="K16" s="18"/>
      <c r="L16" s="18"/>
    </row>
    <row r="17" spans="1:12" x14ac:dyDescent="0.3">
      <c r="A17" s="25" t="s">
        <v>105</v>
      </c>
      <c r="B17" s="35" t="s">
        <v>93</v>
      </c>
      <c r="C17" s="116">
        <v>605680</v>
      </c>
      <c r="D17" s="127" t="s">
        <v>279</v>
      </c>
      <c r="E17" s="117">
        <f t="shared" si="0"/>
        <v>1.6833971734249218</v>
      </c>
      <c r="F17" s="40"/>
      <c r="G17" s="18"/>
      <c r="H17" s="18"/>
      <c r="I17" s="18"/>
      <c r="J17" s="18"/>
      <c r="K17" s="18"/>
      <c r="L17" s="18"/>
    </row>
    <row r="18" spans="1:12" x14ac:dyDescent="0.3">
      <c r="A18" s="25" t="s">
        <v>106</v>
      </c>
      <c r="B18" s="35" t="s">
        <v>93</v>
      </c>
      <c r="C18" s="116">
        <v>39</v>
      </c>
      <c r="D18" s="127" t="s">
        <v>280</v>
      </c>
      <c r="E18" s="117">
        <f t="shared" si="0"/>
        <v>-30.769230769230774</v>
      </c>
      <c r="F18" s="40"/>
      <c r="G18" s="18"/>
      <c r="H18" s="18"/>
      <c r="I18" s="18"/>
      <c r="J18" s="18"/>
      <c r="K18" s="18"/>
      <c r="L18" s="18"/>
    </row>
    <row r="19" spans="1:12" x14ac:dyDescent="0.3">
      <c r="A19" s="25" t="s">
        <v>107</v>
      </c>
      <c r="B19" s="35" t="s">
        <v>93</v>
      </c>
      <c r="C19" s="116">
        <v>13084</v>
      </c>
      <c r="D19" s="127" t="s">
        <v>281</v>
      </c>
      <c r="E19" s="117">
        <f t="shared" si="0"/>
        <v>18.587587893610518</v>
      </c>
      <c r="F19" s="40"/>
      <c r="G19" s="18"/>
      <c r="H19" s="18"/>
      <c r="I19" s="18"/>
      <c r="J19" s="18"/>
      <c r="K19" s="18"/>
      <c r="L19" s="18"/>
    </row>
    <row r="20" spans="1:12" x14ac:dyDescent="0.3">
      <c r="A20" s="25" t="s">
        <v>108</v>
      </c>
      <c r="B20" s="35" t="s">
        <v>93</v>
      </c>
      <c r="C20" s="116">
        <v>3916</v>
      </c>
      <c r="D20" s="127" t="s">
        <v>282</v>
      </c>
      <c r="E20" s="117">
        <f t="shared" si="0"/>
        <v>17.058222676200202</v>
      </c>
      <c r="F20" s="40"/>
      <c r="G20" s="18"/>
      <c r="H20" s="18"/>
      <c r="I20" s="18"/>
      <c r="J20" s="18"/>
      <c r="K20" s="18"/>
      <c r="L20" s="18"/>
    </row>
    <row r="21" spans="1:12" x14ac:dyDescent="0.3">
      <c r="A21" s="25" t="s">
        <v>109</v>
      </c>
      <c r="B21" s="35" t="s">
        <v>93</v>
      </c>
      <c r="C21" s="116">
        <v>226</v>
      </c>
      <c r="D21" s="127" t="s">
        <v>283</v>
      </c>
      <c r="E21" s="117">
        <f t="shared" si="0"/>
        <v>344.24778761061947</v>
      </c>
      <c r="F21" s="40"/>
      <c r="G21" s="18"/>
      <c r="H21" s="18"/>
      <c r="I21" s="18"/>
      <c r="J21" s="18"/>
      <c r="K21" s="18"/>
      <c r="L21" s="18"/>
    </row>
    <row r="22" spans="1:12" x14ac:dyDescent="0.3">
      <c r="A22" s="25" t="s">
        <v>110</v>
      </c>
      <c r="B22" s="35" t="s">
        <v>93</v>
      </c>
      <c r="C22" s="116">
        <v>240</v>
      </c>
      <c r="D22" s="127" t="s">
        <v>284</v>
      </c>
      <c r="E22" s="117">
        <f t="shared" si="0"/>
        <v>3.3333333333333428</v>
      </c>
      <c r="F22" s="40"/>
      <c r="G22" s="18"/>
      <c r="H22" s="18"/>
      <c r="I22" s="18"/>
      <c r="J22" s="18"/>
      <c r="K22" s="18"/>
      <c r="L22" s="18"/>
    </row>
    <row r="23" spans="1:12" x14ac:dyDescent="0.3">
      <c r="A23" s="25" t="s">
        <v>111</v>
      </c>
      <c r="B23" s="35" t="s">
        <v>93</v>
      </c>
      <c r="C23" s="116">
        <v>4998</v>
      </c>
      <c r="D23" s="128" t="s">
        <v>285</v>
      </c>
      <c r="E23" s="117">
        <f t="shared" si="0"/>
        <v>3.8015206082433082</v>
      </c>
      <c r="F23" s="40"/>
      <c r="G23" s="18"/>
      <c r="H23" s="18"/>
      <c r="I23" s="18"/>
      <c r="J23" s="18"/>
      <c r="K23" s="18"/>
      <c r="L23" s="18"/>
    </row>
    <row r="24" spans="1:12" x14ac:dyDescent="0.3">
      <c r="A24" s="25" t="s">
        <v>112</v>
      </c>
      <c r="B24" s="35" t="s">
        <v>113</v>
      </c>
      <c r="C24" s="118">
        <v>47.13</v>
      </c>
      <c r="D24" s="128" t="s">
        <v>286</v>
      </c>
      <c r="E24" s="117">
        <f t="shared" si="0"/>
        <v>2.3764056863993233</v>
      </c>
      <c r="F24" s="40"/>
      <c r="G24" s="18"/>
      <c r="H24" s="18"/>
      <c r="I24" s="18"/>
      <c r="J24" s="18"/>
      <c r="K24" s="18"/>
      <c r="L24" s="18"/>
    </row>
    <row r="25" spans="1:12" x14ac:dyDescent="0.3">
      <c r="A25" s="25" t="s">
        <v>114</v>
      </c>
      <c r="B25" s="35" t="s">
        <v>113</v>
      </c>
      <c r="C25" s="118">
        <v>0.16</v>
      </c>
      <c r="D25" s="128" t="s">
        <v>287</v>
      </c>
      <c r="E25" s="117">
        <f t="shared" si="0"/>
        <v>687.5</v>
      </c>
      <c r="F25" s="40"/>
      <c r="G25" s="33"/>
      <c r="H25" s="18"/>
      <c r="I25" s="18"/>
      <c r="J25" s="18"/>
      <c r="K25" s="18"/>
      <c r="L25" s="18"/>
    </row>
    <row r="26" spans="1:12" x14ac:dyDescent="0.3">
      <c r="A26" s="25" t="s">
        <v>115</v>
      </c>
      <c r="B26" s="35" t="s">
        <v>113</v>
      </c>
      <c r="C26" s="118">
        <v>0.05</v>
      </c>
      <c r="D26" s="128" t="s">
        <v>288</v>
      </c>
      <c r="E26" s="117">
        <f t="shared" si="0"/>
        <v>79.999999999999972</v>
      </c>
      <c r="F26" s="40"/>
      <c r="G26" s="35"/>
      <c r="H26" s="18"/>
      <c r="I26" s="18"/>
      <c r="J26" s="18"/>
      <c r="K26" s="18"/>
      <c r="L26" s="18"/>
    </row>
    <row r="27" spans="1:12" x14ac:dyDescent="0.3">
      <c r="A27" s="41" t="s">
        <v>116</v>
      </c>
      <c r="B27" s="35" t="s">
        <v>113</v>
      </c>
      <c r="C27" s="118">
        <v>6.05</v>
      </c>
      <c r="D27" s="128" t="s">
        <v>289</v>
      </c>
      <c r="E27" s="117">
        <f t="shared" si="0"/>
        <v>-0.16528925619834922</v>
      </c>
      <c r="F27" s="40"/>
      <c r="G27" s="18"/>
      <c r="H27" s="18"/>
      <c r="I27" s="18"/>
      <c r="J27" s="18"/>
      <c r="K27" s="18"/>
      <c r="L27" s="18"/>
    </row>
    <row r="28" spans="1:12" x14ac:dyDescent="0.3">
      <c r="A28" s="25" t="s">
        <v>117</v>
      </c>
      <c r="B28" s="35" t="s">
        <v>118</v>
      </c>
      <c r="C28" s="116">
        <v>548437</v>
      </c>
      <c r="D28" s="128" t="s">
        <v>290</v>
      </c>
      <c r="E28" s="117">
        <f t="shared" si="0"/>
        <v>5.0065914590007594</v>
      </c>
      <c r="F28" s="40"/>
      <c r="G28" s="18"/>
      <c r="H28" s="18"/>
      <c r="I28" s="18"/>
      <c r="J28" s="18"/>
      <c r="K28" s="18"/>
      <c r="L28" s="18"/>
    </row>
    <row r="29" spans="1:12" x14ac:dyDescent="0.3">
      <c r="A29" s="25" t="s">
        <v>119</v>
      </c>
      <c r="B29" s="35" t="s">
        <v>118</v>
      </c>
      <c r="C29" s="116">
        <v>6254010</v>
      </c>
      <c r="D29" s="128" t="s">
        <v>291</v>
      </c>
      <c r="E29" s="117">
        <f t="shared" si="0"/>
        <v>51.981112917951833</v>
      </c>
      <c r="F29" s="40"/>
      <c r="G29" s="18"/>
      <c r="H29" s="18"/>
      <c r="I29" s="18"/>
      <c r="J29" s="18"/>
      <c r="K29" s="18"/>
      <c r="L29" s="18"/>
    </row>
    <row r="30" spans="1:12" x14ac:dyDescent="0.3">
      <c r="A30" s="25" t="s">
        <v>120</v>
      </c>
      <c r="B30" s="35" t="s">
        <v>118</v>
      </c>
      <c r="C30" s="116">
        <v>531449</v>
      </c>
      <c r="D30" s="128" t="s">
        <v>292</v>
      </c>
      <c r="E30" s="117">
        <f t="shared" si="0"/>
        <v>14.872170236466715</v>
      </c>
      <c r="F30" s="40"/>
      <c r="G30" s="18"/>
      <c r="H30" s="18"/>
      <c r="I30" s="18"/>
      <c r="J30" s="18"/>
      <c r="K30" s="18"/>
      <c r="L30" s="18"/>
    </row>
    <row r="31" spans="1:12" ht="12" customHeight="1" x14ac:dyDescent="0.3">
      <c r="A31" s="25" t="s">
        <v>121</v>
      </c>
      <c r="B31" s="35" t="s">
        <v>93</v>
      </c>
      <c r="C31" s="116">
        <v>50</v>
      </c>
      <c r="D31" s="128" t="s">
        <v>199</v>
      </c>
      <c r="E31" s="117">
        <f t="shared" si="0"/>
        <v>0</v>
      </c>
      <c r="F31" s="40"/>
      <c r="G31" s="18"/>
      <c r="H31" s="18"/>
      <c r="I31" s="18"/>
      <c r="J31" s="18"/>
      <c r="K31" s="18"/>
      <c r="L31" s="18"/>
    </row>
    <row r="32" spans="1:12" x14ac:dyDescent="0.3">
      <c r="A32" s="25" t="s">
        <v>122</v>
      </c>
      <c r="B32" s="35"/>
      <c r="C32" s="118"/>
      <c r="D32" s="128"/>
      <c r="E32" s="117"/>
      <c r="F32" s="40"/>
      <c r="G32" s="18"/>
      <c r="H32" s="18"/>
      <c r="I32" s="18"/>
      <c r="J32" s="18"/>
      <c r="K32" s="18"/>
      <c r="L32" s="18"/>
    </row>
    <row r="33" spans="1:12" x14ac:dyDescent="0.3">
      <c r="A33" s="25" t="s">
        <v>123</v>
      </c>
      <c r="B33" s="35" t="s">
        <v>93</v>
      </c>
      <c r="C33" s="116">
        <v>252459.2</v>
      </c>
      <c r="D33" s="128" t="s">
        <v>293</v>
      </c>
      <c r="E33" s="117">
        <f t="shared" si="0"/>
        <v>18.112986177568473</v>
      </c>
      <c r="F33" s="40"/>
      <c r="G33" s="18"/>
      <c r="H33" s="18"/>
      <c r="I33" s="18"/>
      <c r="J33" s="18"/>
      <c r="K33" s="18"/>
      <c r="L33" s="18"/>
    </row>
    <row r="34" spans="1:12" x14ac:dyDescent="0.3">
      <c r="A34" s="25" t="s">
        <v>124</v>
      </c>
      <c r="B34" s="35" t="s">
        <v>93</v>
      </c>
      <c r="C34" s="116">
        <v>7308</v>
      </c>
      <c r="D34" s="128" t="s">
        <v>294</v>
      </c>
      <c r="E34" s="117">
        <f t="shared" si="0"/>
        <v>5.6102900930487181</v>
      </c>
      <c r="F34" s="40"/>
      <c r="G34" s="18"/>
      <c r="H34" s="18"/>
      <c r="I34" s="18"/>
      <c r="J34" s="18"/>
      <c r="K34" s="18"/>
      <c r="L34" s="18"/>
    </row>
    <row r="35" spans="1:12" ht="15" customHeight="1" x14ac:dyDescent="0.3">
      <c r="A35" s="25" t="s">
        <v>125</v>
      </c>
      <c r="B35" s="35" t="s">
        <v>93</v>
      </c>
      <c r="C35" s="116">
        <v>111534.7</v>
      </c>
      <c r="D35" s="128" t="s">
        <v>295</v>
      </c>
      <c r="E35" s="117">
        <f t="shared" si="0"/>
        <v>6.4682112382962345</v>
      </c>
      <c r="F35" s="40"/>
      <c r="G35" s="18"/>
      <c r="H35" s="18"/>
      <c r="I35" s="18"/>
      <c r="J35" s="18"/>
      <c r="K35" s="18"/>
      <c r="L35" s="18"/>
    </row>
    <row r="36" spans="1:12" x14ac:dyDescent="0.3">
      <c r="A36" s="25" t="s">
        <v>126</v>
      </c>
      <c r="B36" s="35" t="s">
        <v>93</v>
      </c>
      <c r="C36" s="116">
        <v>128253.3</v>
      </c>
      <c r="D36" s="128" t="s">
        <v>296</v>
      </c>
      <c r="E36" s="117">
        <f t="shared" si="0"/>
        <v>20.339203747583895</v>
      </c>
      <c r="F36" s="40"/>
      <c r="G36" s="18"/>
      <c r="H36" s="18"/>
      <c r="I36" s="18"/>
      <c r="J36" s="18"/>
      <c r="K36" s="18"/>
      <c r="L36" s="18"/>
    </row>
    <row r="37" spans="1:12" x14ac:dyDescent="0.3">
      <c r="A37" s="25" t="s">
        <v>127</v>
      </c>
      <c r="B37" s="35" t="s">
        <v>93</v>
      </c>
      <c r="C37" s="116">
        <v>814</v>
      </c>
      <c r="D37" s="128" t="s">
        <v>297</v>
      </c>
      <c r="E37" s="117">
        <f t="shared" si="0"/>
        <v>5.0368550368550302</v>
      </c>
      <c r="F37" s="40"/>
      <c r="G37" s="18"/>
      <c r="H37" s="18"/>
      <c r="I37" s="18"/>
      <c r="J37" s="18"/>
      <c r="K37" s="18"/>
      <c r="L37" s="18"/>
    </row>
    <row r="38" spans="1:12" x14ac:dyDescent="0.3">
      <c r="A38" s="25" t="s">
        <v>128</v>
      </c>
      <c r="B38" s="35" t="s">
        <v>93</v>
      </c>
      <c r="C38" s="116">
        <v>544546</v>
      </c>
      <c r="D38" s="128" t="s">
        <v>298</v>
      </c>
      <c r="E38" s="117">
        <f t="shared" si="0"/>
        <v>-4.8829667282470126</v>
      </c>
      <c r="F38" s="40"/>
      <c r="G38" s="18"/>
      <c r="H38" s="18"/>
      <c r="I38" s="18"/>
      <c r="J38" s="18"/>
      <c r="K38" s="18"/>
      <c r="L38" s="18"/>
    </row>
    <row r="39" spans="1:12" x14ac:dyDescent="0.3">
      <c r="A39" s="25" t="s">
        <v>129</v>
      </c>
      <c r="B39" s="35" t="s">
        <v>93</v>
      </c>
      <c r="C39" s="116">
        <v>13110</v>
      </c>
      <c r="D39" s="128" t="s">
        <v>299</v>
      </c>
      <c r="E39" s="117">
        <f t="shared" si="0"/>
        <v>18.390541571319602</v>
      </c>
      <c r="F39" s="40"/>
      <c r="G39" s="18"/>
      <c r="H39" s="18"/>
      <c r="I39" s="18"/>
      <c r="J39" s="18"/>
      <c r="K39" s="18"/>
      <c r="L39" s="18"/>
    </row>
    <row r="40" spans="1:12" x14ac:dyDescent="0.3">
      <c r="A40" s="42" t="s">
        <v>130</v>
      </c>
      <c r="B40" s="4" t="s">
        <v>113</v>
      </c>
      <c r="C40" s="92">
        <v>54.1</v>
      </c>
      <c r="D40" s="128" t="s">
        <v>300</v>
      </c>
      <c r="E40" s="117">
        <f t="shared" si="0"/>
        <v>-6.7467652495378871</v>
      </c>
      <c r="F40" s="40"/>
      <c r="G40" s="18"/>
      <c r="H40" s="18"/>
      <c r="I40" s="18"/>
      <c r="J40" s="18"/>
      <c r="K40" s="18"/>
      <c r="L40" s="18"/>
    </row>
    <row r="41" spans="1:12" x14ac:dyDescent="0.3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3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x14ac:dyDescent="0.3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x14ac:dyDescent="0.3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x14ac:dyDescent="0.3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x14ac:dyDescent="0.3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3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3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2:12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2:12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2:12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2:12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2:12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2:12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2:12" x14ac:dyDescent="0.3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2:12" x14ac:dyDescent="0.3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2:12" x14ac:dyDescent="0.3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2:12" x14ac:dyDescent="0.3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2:12" x14ac:dyDescent="0.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2:12" x14ac:dyDescent="0.3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2:12" x14ac:dyDescent="0.3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2:12" x14ac:dyDescent="0.3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2:12" x14ac:dyDescent="0.3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2:12" x14ac:dyDescent="0.3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2:12" x14ac:dyDescent="0.3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2:12" x14ac:dyDescent="0.3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2:12" x14ac:dyDescent="0.3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2:12" x14ac:dyDescent="0.3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2:12" x14ac:dyDescent="0.3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2:12" x14ac:dyDescent="0.3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2:12" x14ac:dyDescent="0.3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2:12" x14ac:dyDescent="0.3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2:12" x14ac:dyDescent="0.3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2:12" x14ac:dyDescent="0.3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2:12" x14ac:dyDescent="0.3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2:12" x14ac:dyDescent="0.3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2:12" x14ac:dyDescent="0.3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2:12" x14ac:dyDescent="0.3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2:12" x14ac:dyDescent="0.3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2:12" x14ac:dyDescent="0.3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2:12" x14ac:dyDescent="0.3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2:12" x14ac:dyDescent="0.3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2:12" x14ac:dyDescent="0.3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2:12" x14ac:dyDescent="0.3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2:12" x14ac:dyDescent="0.3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2:12" x14ac:dyDescent="0.3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2:12" x14ac:dyDescent="0.3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2:12" x14ac:dyDescent="0.3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2:12" x14ac:dyDescent="0.3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2:12" x14ac:dyDescent="0.3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2:12" x14ac:dyDescent="0.3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2:12" x14ac:dyDescent="0.3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2:12" x14ac:dyDescent="0.3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2:12" x14ac:dyDescent="0.3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2:12" x14ac:dyDescent="0.3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2:12" x14ac:dyDescent="0.3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2:12" x14ac:dyDescent="0.3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2:12" x14ac:dyDescent="0.3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2:12" x14ac:dyDescent="0.3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2:12" x14ac:dyDescent="0.3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2:12" x14ac:dyDescent="0.3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2:12" x14ac:dyDescent="0.3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2:12" x14ac:dyDescent="0.3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2:12" x14ac:dyDescent="0.3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</sheetData>
  <mergeCells count="4">
    <mergeCell ref="A1:E1"/>
    <mergeCell ref="A3:A4"/>
    <mergeCell ref="B3:B4"/>
    <mergeCell ref="E3:E4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selection activeCell="J4" sqref="J4:Q17"/>
    </sheetView>
  </sheetViews>
  <sheetFormatPr defaultColWidth="8.7109375" defaultRowHeight="15" x14ac:dyDescent="0.3"/>
  <cols>
    <col min="1" max="1" width="22" customWidth="1"/>
    <col min="2" max="2" width="8.640625" customWidth="1"/>
    <col min="3" max="9" width="7.140625" customWidth="1"/>
    <col min="11" max="11" width="9.5" bestFit="1" customWidth="1"/>
  </cols>
  <sheetData>
    <row r="1" spans="1:15" s="17" customFormat="1" ht="35.15" customHeight="1" x14ac:dyDescent="0.5">
      <c r="A1" s="169" t="s">
        <v>131</v>
      </c>
      <c r="B1" s="169"/>
      <c r="C1" s="169"/>
      <c r="D1" s="169"/>
      <c r="E1" s="169"/>
      <c r="F1" s="169"/>
      <c r="G1" s="169"/>
      <c r="H1" s="169"/>
      <c r="I1" s="169"/>
    </row>
    <row r="2" spans="1:15" s="17" customFormat="1" ht="19.5" customHeight="1" x14ac:dyDescent="0.4">
      <c r="A2" s="148" t="s">
        <v>132</v>
      </c>
      <c r="B2" s="148"/>
      <c r="C2" s="131"/>
      <c r="D2" s="131"/>
      <c r="E2" s="131"/>
      <c r="F2" s="131"/>
      <c r="G2" s="131"/>
      <c r="H2" s="131"/>
      <c r="I2" s="131"/>
      <c r="K2" s="93"/>
      <c r="L2" s="93"/>
      <c r="M2" s="93"/>
      <c r="N2" s="93"/>
      <c r="O2" s="93"/>
    </row>
    <row r="3" spans="1:15" s="18" customFormat="1" ht="15" customHeight="1" x14ac:dyDescent="0.3">
      <c r="A3" s="170"/>
      <c r="B3" s="162" t="s">
        <v>192</v>
      </c>
      <c r="C3" s="164" t="s">
        <v>133</v>
      </c>
      <c r="D3" s="159" t="s">
        <v>134</v>
      </c>
      <c r="E3" s="165"/>
      <c r="F3" s="165"/>
      <c r="G3" s="170"/>
      <c r="H3" s="164" t="s">
        <v>135</v>
      </c>
      <c r="I3" s="159"/>
      <c r="K3" s="93"/>
      <c r="L3" s="93"/>
      <c r="M3" s="93"/>
      <c r="N3" s="93"/>
      <c r="O3" s="93"/>
    </row>
    <row r="4" spans="1:15" x14ac:dyDescent="0.3">
      <c r="A4" s="170"/>
      <c r="B4" s="168"/>
      <c r="C4" s="164"/>
      <c r="D4" s="159" t="s">
        <v>136</v>
      </c>
      <c r="E4" s="19"/>
      <c r="F4" s="164" t="s">
        <v>137</v>
      </c>
      <c r="G4" s="162" t="s">
        <v>138</v>
      </c>
      <c r="H4" s="164" t="s">
        <v>139</v>
      </c>
      <c r="I4" s="159" t="s">
        <v>140</v>
      </c>
    </row>
    <row r="5" spans="1:15" x14ac:dyDescent="0.3">
      <c r="A5" s="170"/>
      <c r="B5" s="163"/>
      <c r="C5" s="164"/>
      <c r="D5" s="164"/>
      <c r="E5" s="20" t="s">
        <v>141</v>
      </c>
      <c r="F5" s="164"/>
      <c r="G5" s="163"/>
      <c r="H5" s="164"/>
      <c r="I5" s="159"/>
    </row>
    <row r="6" spans="1:15" ht="18" customHeight="1" x14ac:dyDescent="0.3">
      <c r="A6" s="23" t="s">
        <v>142</v>
      </c>
      <c r="B6" s="119">
        <v>15556694</v>
      </c>
      <c r="C6" s="119">
        <v>16301683</v>
      </c>
      <c r="D6" s="119">
        <v>7805960</v>
      </c>
      <c r="E6" s="119">
        <v>7749356</v>
      </c>
      <c r="F6" s="119">
        <v>759076</v>
      </c>
      <c r="G6" s="119">
        <v>2080690</v>
      </c>
      <c r="H6" s="119">
        <v>49572</v>
      </c>
      <c r="I6" s="120">
        <v>193765</v>
      </c>
      <c r="J6" s="29"/>
    </row>
    <row r="7" spans="1:15" ht="18" customHeight="1" x14ac:dyDescent="0.3">
      <c r="A7" s="24" t="s">
        <v>143</v>
      </c>
      <c r="B7" s="119">
        <v>15485681</v>
      </c>
      <c r="C7" s="119">
        <v>16235960</v>
      </c>
      <c r="D7" s="119">
        <v>7751698</v>
      </c>
      <c r="E7" s="119">
        <v>7696214</v>
      </c>
      <c r="F7" s="119">
        <v>744732</v>
      </c>
      <c r="G7" s="119">
        <v>2079818</v>
      </c>
      <c r="H7" s="119">
        <v>48846</v>
      </c>
      <c r="I7" s="120">
        <v>180363</v>
      </c>
      <c r="J7" s="29"/>
    </row>
    <row r="8" spans="1:15" ht="18" customHeight="1" x14ac:dyDescent="0.3">
      <c r="A8" s="25" t="s">
        <v>144</v>
      </c>
      <c r="B8" s="119">
        <v>1621207</v>
      </c>
      <c r="C8" s="119">
        <v>1778357</v>
      </c>
      <c r="D8" s="119">
        <v>629735</v>
      </c>
      <c r="E8" s="119">
        <v>627347</v>
      </c>
      <c r="F8" s="119">
        <v>161718</v>
      </c>
      <c r="G8" s="119">
        <v>169046</v>
      </c>
      <c r="H8" s="119">
        <v>4323</v>
      </c>
      <c r="I8" s="120">
        <v>12823</v>
      </c>
    </row>
    <row r="9" spans="1:15" ht="18" customHeight="1" x14ac:dyDescent="0.3">
      <c r="A9" s="25" t="s">
        <v>145</v>
      </c>
      <c r="B9" s="119">
        <v>1390738</v>
      </c>
      <c r="C9" s="119">
        <v>1539012</v>
      </c>
      <c r="D9" s="119">
        <v>564939</v>
      </c>
      <c r="E9" s="119">
        <v>563064</v>
      </c>
      <c r="F9" s="119">
        <v>145995</v>
      </c>
      <c r="G9" s="119">
        <v>141631</v>
      </c>
      <c r="H9" s="119">
        <v>2819</v>
      </c>
      <c r="I9" s="120">
        <v>12502</v>
      </c>
    </row>
    <row r="10" spans="1:15" ht="18" customHeight="1" x14ac:dyDescent="0.3">
      <c r="A10" s="25" t="s">
        <v>146</v>
      </c>
      <c r="B10" s="119">
        <v>211004</v>
      </c>
      <c r="C10" s="119">
        <v>218694</v>
      </c>
      <c r="D10" s="119">
        <v>59975</v>
      </c>
      <c r="E10" s="119">
        <v>59487</v>
      </c>
      <c r="F10" s="119">
        <v>13745</v>
      </c>
      <c r="G10" s="119">
        <v>25752</v>
      </c>
      <c r="H10" s="119">
        <v>1453</v>
      </c>
      <c r="I10" s="120">
        <v>321</v>
      </c>
    </row>
    <row r="11" spans="1:15" ht="18" customHeight="1" x14ac:dyDescent="0.3">
      <c r="A11" s="25" t="s">
        <v>147</v>
      </c>
      <c r="B11" s="119">
        <v>3793</v>
      </c>
      <c r="C11" s="119">
        <v>4395</v>
      </c>
      <c r="D11" s="119">
        <v>1171</v>
      </c>
      <c r="E11" s="119">
        <v>1166</v>
      </c>
      <c r="F11" s="119">
        <v>1231</v>
      </c>
      <c r="G11" s="119">
        <v>334</v>
      </c>
      <c r="H11" s="119">
        <v>6</v>
      </c>
      <c r="I11" s="120">
        <v>3</v>
      </c>
    </row>
    <row r="12" spans="1:15" ht="18" customHeight="1" x14ac:dyDescent="0.3">
      <c r="A12" s="25" t="s">
        <v>148</v>
      </c>
      <c r="B12" s="119">
        <v>84</v>
      </c>
      <c r="C12" s="119">
        <v>69</v>
      </c>
      <c r="D12" s="119">
        <v>19</v>
      </c>
      <c r="E12" s="119">
        <v>19</v>
      </c>
      <c r="F12" s="119">
        <v>6</v>
      </c>
      <c r="G12" s="119">
        <v>0</v>
      </c>
      <c r="H12" s="119">
        <v>0</v>
      </c>
      <c r="I12" s="120">
        <v>0</v>
      </c>
    </row>
    <row r="13" spans="1:15" ht="18" customHeight="1" x14ac:dyDescent="0.3">
      <c r="A13" s="25" t="s">
        <v>149</v>
      </c>
      <c r="B13" s="119">
        <v>15588</v>
      </c>
      <c r="C13" s="119">
        <v>16187</v>
      </c>
      <c r="D13" s="119">
        <v>3631</v>
      </c>
      <c r="E13" s="119">
        <v>3611</v>
      </c>
      <c r="F13" s="119">
        <v>741</v>
      </c>
      <c r="G13" s="119">
        <v>1329</v>
      </c>
      <c r="H13" s="119">
        <v>45</v>
      </c>
      <c r="I13" s="120">
        <v>6</v>
      </c>
    </row>
    <row r="14" spans="1:15" ht="18" customHeight="1" x14ac:dyDescent="0.3">
      <c r="A14" s="25" t="s">
        <v>150</v>
      </c>
      <c r="B14" s="119">
        <v>13864474</v>
      </c>
      <c r="C14" s="119">
        <v>14457603</v>
      </c>
      <c r="D14" s="119">
        <v>7121963</v>
      </c>
      <c r="E14" s="119">
        <v>7068867</v>
      </c>
      <c r="F14" s="119">
        <v>583014</v>
      </c>
      <c r="G14" s="119">
        <v>1910772</v>
      </c>
      <c r="H14" s="119">
        <v>44523</v>
      </c>
      <c r="I14" s="120">
        <v>167540</v>
      </c>
    </row>
    <row r="15" spans="1:15" ht="18" customHeight="1" x14ac:dyDescent="0.3">
      <c r="A15" s="25" t="s">
        <v>151</v>
      </c>
      <c r="B15" s="119">
        <v>12877065</v>
      </c>
      <c r="C15" s="119">
        <v>13620065</v>
      </c>
      <c r="D15" s="119">
        <v>6787548</v>
      </c>
      <c r="E15" s="119">
        <v>6739889</v>
      </c>
      <c r="F15" s="119">
        <v>554749</v>
      </c>
      <c r="G15" s="119">
        <v>1761401</v>
      </c>
      <c r="H15" s="119">
        <v>41537</v>
      </c>
      <c r="I15" s="120">
        <v>163284</v>
      </c>
    </row>
    <row r="16" spans="1:15" ht="18" customHeight="1" x14ac:dyDescent="0.3">
      <c r="A16" s="25" t="s">
        <v>152</v>
      </c>
      <c r="B16" s="119">
        <v>987409</v>
      </c>
      <c r="C16" s="119">
        <v>837538</v>
      </c>
      <c r="D16" s="119">
        <v>334415</v>
      </c>
      <c r="E16" s="119">
        <v>328978</v>
      </c>
      <c r="F16" s="119">
        <v>28265</v>
      </c>
      <c r="G16" s="119">
        <v>149371</v>
      </c>
      <c r="H16" s="119">
        <v>2986</v>
      </c>
      <c r="I16" s="120">
        <v>4256</v>
      </c>
    </row>
    <row r="17" spans="1:16" ht="18" customHeight="1" x14ac:dyDescent="0.3">
      <c r="A17" s="26" t="s">
        <v>153</v>
      </c>
      <c r="B17" s="121">
        <v>71013</v>
      </c>
      <c r="C17" s="121">
        <v>65723</v>
      </c>
      <c r="D17" s="121">
        <v>54262</v>
      </c>
      <c r="E17" s="121">
        <v>53142</v>
      </c>
      <c r="F17" s="121">
        <v>14344</v>
      </c>
      <c r="G17" s="121">
        <v>872</v>
      </c>
      <c r="H17" s="121">
        <v>726</v>
      </c>
      <c r="I17" s="122">
        <v>13402</v>
      </c>
    </row>
    <row r="18" spans="1:16" ht="35.1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9"/>
      <c r="O18" s="29"/>
      <c r="P18" s="29"/>
    </row>
    <row r="19" spans="1:16" ht="15" customHeight="1" x14ac:dyDescent="0.3">
      <c r="A19" s="171" t="s">
        <v>154</v>
      </c>
      <c r="B19" s="172"/>
      <c r="C19" s="172"/>
      <c r="D19" s="172"/>
      <c r="E19" s="172"/>
      <c r="F19" s="172"/>
      <c r="G19" s="172"/>
      <c r="H19" s="172"/>
      <c r="I19" s="172"/>
      <c r="J19" s="30"/>
      <c r="K19" s="18"/>
      <c r="L19" s="18"/>
      <c r="M19" s="18"/>
      <c r="N19" s="29"/>
      <c r="O19" s="29"/>
      <c r="P19" s="29"/>
    </row>
    <row r="20" spans="1:16" x14ac:dyDescent="0.3">
      <c r="A20" s="170"/>
      <c r="B20" s="159" t="s">
        <v>155</v>
      </c>
      <c r="C20" s="165"/>
      <c r="D20" s="165"/>
      <c r="E20" s="159" t="s">
        <v>156</v>
      </c>
      <c r="F20" s="165"/>
      <c r="G20" s="165"/>
      <c r="H20" s="165"/>
      <c r="I20" s="170"/>
    </row>
    <row r="21" spans="1:16" ht="12" customHeight="1" x14ac:dyDescent="0.3">
      <c r="A21" s="170"/>
      <c r="B21" s="166" t="s">
        <v>157</v>
      </c>
      <c r="C21" s="27"/>
      <c r="D21" s="162" t="s">
        <v>158</v>
      </c>
      <c r="E21" s="160" t="s">
        <v>159</v>
      </c>
      <c r="F21" s="163" t="s">
        <v>160</v>
      </c>
      <c r="G21" s="168" t="s">
        <v>161</v>
      </c>
      <c r="H21" s="163" t="s">
        <v>162</v>
      </c>
      <c r="I21" s="158" t="s">
        <v>163</v>
      </c>
    </row>
    <row r="22" spans="1:16" ht="18.75" customHeight="1" x14ac:dyDescent="0.3">
      <c r="A22" s="170"/>
      <c r="B22" s="163"/>
      <c r="C22" s="32" t="s">
        <v>164</v>
      </c>
      <c r="D22" s="167"/>
      <c r="E22" s="161"/>
      <c r="F22" s="164"/>
      <c r="G22" s="163"/>
      <c r="H22" s="164"/>
      <c r="I22" s="159"/>
    </row>
    <row r="23" spans="1:16" ht="18" customHeight="1" x14ac:dyDescent="0.3">
      <c r="A23" s="23" t="s">
        <v>142</v>
      </c>
      <c r="B23" s="121">
        <v>7936342</v>
      </c>
      <c r="C23" s="121">
        <v>7332181</v>
      </c>
      <c r="D23" s="121" t="s">
        <v>256</v>
      </c>
      <c r="E23" s="121">
        <v>9116714</v>
      </c>
      <c r="F23" s="121">
        <v>8699</v>
      </c>
      <c r="G23" s="121">
        <v>241802</v>
      </c>
      <c r="H23" s="121">
        <v>12950115</v>
      </c>
      <c r="I23" s="121">
        <v>3047962</v>
      </c>
      <c r="K23" s="97"/>
    </row>
    <row r="24" spans="1:16" ht="18" customHeight="1" x14ac:dyDescent="0.3">
      <c r="A24" s="24" t="s">
        <v>143</v>
      </c>
      <c r="B24" s="121">
        <v>7878042</v>
      </c>
      <c r="C24" s="121">
        <v>7288412</v>
      </c>
      <c r="D24" s="121" t="s">
        <v>257</v>
      </c>
      <c r="E24" s="121">
        <v>9104761</v>
      </c>
      <c r="F24" s="121">
        <v>8699</v>
      </c>
      <c r="G24" s="121">
        <v>241625</v>
      </c>
      <c r="H24" s="121">
        <v>12945075</v>
      </c>
      <c r="I24" s="121">
        <v>2995937</v>
      </c>
      <c r="K24" s="97"/>
    </row>
    <row r="25" spans="1:16" ht="18" customHeight="1" x14ac:dyDescent="0.3">
      <c r="A25" s="25" t="s">
        <v>144</v>
      </c>
      <c r="B25" s="121">
        <v>686868</v>
      </c>
      <c r="C25" s="121">
        <v>586544</v>
      </c>
      <c r="D25" s="121" t="s">
        <v>258</v>
      </c>
      <c r="E25" s="121">
        <v>1003722</v>
      </c>
      <c r="F25" s="121">
        <v>8699</v>
      </c>
      <c r="G25" s="121">
        <v>33605</v>
      </c>
      <c r="H25" s="121">
        <v>687162</v>
      </c>
      <c r="I25" s="121">
        <v>846696</v>
      </c>
      <c r="K25" s="97"/>
    </row>
    <row r="26" spans="1:16" ht="18" customHeight="1" x14ac:dyDescent="0.3">
      <c r="A26" s="25" t="s">
        <v>145</v>
      </c>
      <c r="B26" s="121">
        <v>598056</v>
      </c>
      <c r="C26" s="121">
        <v>503076</v>
      </c>
      <c r="D26" s="121" t="s">
        <v>259</v>
      </c>
      <c r="E26" s="121">
        <v>883795</v>
      </c>
      <c r="F26" s="121">
        <v>511</v>
      </c>
      <c r="G26" s="121">
        <v>23713</v>
      </c>
      <c r="H26" s="121">
        <v>644164</v>
      </c>
      <c r="I26" s="121">
        <v>815835</v>
      </c>
      <c r="K26" s="97"/>
    </row>
    <row r="27" spans="1:16" ht="18" customHeight="1" x14ac:dyDescent="0.3">
      <c r="A27" s="25" t="s">
        <v>146</v>
      </c>
      <c r="B27" s="121">
        <v>82045</v>
      </c>
      <c r="C27" s="121">
        <v>77447</v>
      </c>
      <c r="D27" s="121" t="s">
        <v>260</v>
      </c>
      <c r="E27" s="121">
        <v>109506</v>
      </c>
      <c r="F27" s="121">
        <v>7821</v>
      </c>
      <c r="G27" s="121">
        <v>9448</v>
      </c>
      <c r="H27" s="121">
        <v>37055</v>
      </c>
      <c r="I27" s="121">
        <v>28871</v>
      </c>
      <c r="K27" s="97"/>
    </row>
    <row r="28" spans="1:16" ht="18" customHeight="1" x14ac:dyDescent="0.3">
      <c r="A28" s="25" t="s">
        <v>147</v>
      </c>
      <c r="B28" s="121">
        <v>2051</v>
      </c>
      <c r="C28" s="121">
        <v>1546</v>
      </c>
      <c r="D28" s="121" t="s">
        <v>261</v>
      </c>
      <c r="E28" s="121">
        <v>2379</v>
      </c>
      <c r="F28" s="121">
        <v>216</v>
      </c>
      <c r="G28" s="121">
        <v>55</v>
      </c>
      <c r="H28" s="121">
        <v>1317</v>
      </c>
      <c r="I28" s="121">
        <v>1211</v>
      </c>
      <c r="K28" s="97"/>
    </row>
    <row r="29" spans="1:16" ht="18" customHeight="1" x14ac:dyDescent="0.3">
      <c r="A29" s="25" t="s">
        <v>148</v>
      </c>
      <c r="B29" s="121">
        <v>40</v>
      </c>
      <c r="C29" s="121">
        <v>37</v>
      </c>
      <c r="D29" s="121" t="s">
        <v>255</v>
      </c>
      <c r="E29" s="121">
        <v>0</v>
      </c>
      <c r="F29" s="121">
        <v>19</v>
      </c>
      <c r="G29" s="121" t="s">
        <v>255</v>
      </c>
      <c r="H29" s="121" t="s">
        <v>255</v>
      </c>
      <c r="I29" s="121" t="s">
        <v>255</v>
      </c>
      <c r="K29" s="97"/>
    </row>
    <row r="30" spans="1:16" ht="18" customHeight="1" x14ac:dyDescent="0.3">
      <c r="A30" s="25" t="s">
        <v>149</v>
      </c>
      <c r="B30" s="121">
        <v>4676</v>
      </c>
      <c r="C30" s="121">
        <v>4438</v>
      </c>
      <c r="D30" s="121" t="s">
        <v>262</v>
      </c>
      <c r="E30" s="121">
        <v>8042</v>
      </c>
      <c r="F30" s="121">
        <v>132</v>
      </c>
      <c r="G30" s="121">
        <v>389</v>
      </c>
      <c r="H30" s="121">
        <v>4626</v>
      </c>
      <c r="I30" s="121">
        <v>779</v>
      </c>
      <c r="K30" s="97"/>
    </row>
    <row r="31" spans="1:16" ht="18" customHeight="1" x14ac:dyDescent="0.3">
      <c r="A31" s="25" t="s">
        <v>150</v>
      </c>
      <c r="B31" s="121">
        <v>7191174</v>
      </c>
      <c r="C31" s="121">
        <v>6701868</v>
      </c>
      <c r="D31" s="121" t="s">
        <v>263</v>
      </c>
      <c r="E31" s="121">
        <v>8101039</v>
      </c>
      <c r="F31" s="121" t="s">
        <v>255</v>
      </c>
      <c r="G31" s="121">
        <v>208020</v>
      </c>
      <c r="H31" s="121">
        <v>12257913</v>
      </c>
      <c r="I31" s="121">
        <v>2149241</v>
      </c>
      <c r="K31" s="97"/>
    </row>
    <row r="32" spans="1:16" ht="18" customHeight="1" x14ac:dyDescent="0.3">
      <c r="A32" s="25" t="s">
        <v>151</v>
      </c>
      <c r="B32" s="121">
        <v>6610007</v>
      </c>
      <c r="C32" s="121">
        <v>6142625</v>
      </c>
      <c r="D32" s="121" t="s">
        <v>264</v>
      </c>
      <c r="E32" s="121">
        <v>7629949</v>
      </c>
      <c r="F32" s="121" t="s">
        <v>255</v>
      </c>
      <c r="G32" s="121">
        <v>192995</v>
      </c>
      <c r="H32" s="121">
        <v>11657594</v>
      </c>
      <c r="I32" s="121">
        <v>1924958</v>
      </c>
      <c r="K32" s="97"/>
    </row>
    <row r="33" spans="1:13" ht="18" customHeight="1" x14ac:dyDescent="0.3">
      <c r="A33" s="25" t="s">
        <v>152</v>
      </c>
      <c r="B33" s="121">
        <v>581167</v>
      </c>
      <c r="C33" s="121">
        <v>559243</v>
      </c>
      <c r="D33" s="121" t="s">
        <v>265</v>
      </c>
      <c r="E33" s="121">
        <v>471090</v>
      </c>
      <c r="F33" s="121" t="s">
        <v>255</v>
      </c>
      <c r="G33" s="121">
        <v>15025</v>
      </c>
      <c r="H33" s="121">
        <v>600319</v>
      </c>
      <c r="I33" s="121">
        <v>224283</v>
      </c>
      <c r="K33" s="97"/>
    </row>
    <row r="34" spans="1:13" ht="18" customHeight="1" x14ac:dyDescent="0.3">
      <c r="A34" s="26" t="s">
        <v>153</v>
      </c>
      <c r="B34" s="121">
        <v>58300</v>
      </c>
      <c r="C34" s="121">
        <v>43769</v>
      </c>
      <c r="D34" s="121" t="s">
        <v>266</v>
      </c>
      <c r="E34" s="121">
        <v>11953</v>
      </c>
      <c r="F34" s="121" t="s">
        <v>255</v>
      </c>
      <c r="G34" s="121">
        <v>177</v>
      </c>
      <c r="H34" s="121">
        <v>5040</v>
      </c>
      <c r="I34" s="121">
        <v>52025</v>
      </c>
      <c r="K34" s="97"/>
    </row>
    <row r="35" spans="1:13" x14ac:dyDescent="0.3">
      <c r="A35" s="18"/>
      <c r="B35" s="18"/>
      <c r="C35" s="18"/>
      <c r="D35" s="18"/>
      <c r="E35" s="18"/>
      <c r="F35" s="18"/>
      <c r="G35" s="18"/>
      <c r="H35" s="18"/>
      <c r="I35" s="18"/>
      <c r="K35" s="18"/>
    </row>
    <row r="36" spans="1:13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L98" s="18"/>
      <c r="M98" s="18"/>
    </row>
    <row r="99" spans="1:13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L99" s="18"/>
      <c r="M99" s="18"/>
    </row>
    <row r="100" spans="1:13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L100" s="18"/>
      <c r="M100" s="18"/>
    </row>
    <row r="101" spans="1:13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L101" s="18"/>
      <c r="M101" s="18"/>
    </row>
    <row r="102" spans="1:13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L102" s="18"/>
      <c r="M102" s="18"/>
    </row>
    <row r="103" spans="1:13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L103" s="18"/>
      <c r="M103" s="18"/>
    </row>
    <row r="104" spans="1:13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L104" s="18"/>
      <c r="M104" s="18"/>
    </row>
    <row r="105" spans="1:13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L105" s="18"/>
      <c r="M105" s="18"/>
    </row>
    <row r="106" spans="1:13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L106" s="18"/>
      <c r="M106" s="18"/>
    </row>
    <row r="107" spans="1:13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L107" s="18"/>
      <c r="M107" s="18"/>
    </row>
    <row r="108" spans="1:13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L108" s="18"/>
      <c r="M108" s="18"/>
    </row>
    <row r="109" spans="1:13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L109" s="18"/>
      <c r="M109" s="18"/>
    </row>
    <row r="110" spans="1:13" x14ac:dyDescent="0.3">
      <c r="A110" s="18"/>
      <c r="B110" s="18"/>
      <c r="C110" s="18"/>
      <c r="D110" s="18"/>
      <c r="E110" s="18"/>
      <c r="F110" s="18"/>
      <c r="G110" s="18"/>
      <c r="H110" s="18"/>
      <c r="I110" s="18"/>
    </row>
    <row r="111" spans="1:13" x14ac:dyDescent="0.3">
      <c r="A111" s="18"/>
      <c r="B111" s="18"/>
      <c r="C111" s="18"/>
      <c r="D111" s="18"/>
      <c r="E111" s="18"/>
      <c r="F111" s="18"/>
      <c r="G111" s="18"/>
      <c r="H111" s="18"/>
      <c r="I111" s="18"/>
    </row>
    <row r="112" spans="1:13" x14ac:dyDescent="0.3">
      <c r="A112" s="18"/>
      <c r="B112" s="18"/>
      <c r="C112" s="18"/>
      <c r="D112" s="18"/>
      <c r="E112" s="18"/>
      <c r="F112" s="18"/>
      <c r="G112" s="18"/>
      <c r="H112" s="18"/>
      <c r="I112" s="18"/>
    </row>
    <row r="113" spans="1:9" x14ac:dyDescent="0.3">
      <c r="A113" s="18"/>
      <c r="B113" s="18"/>
      <c r="C113" s="18"/>
      <c r="D113" s="18"/>
      <c r="E113" s="18"/>
      <c r="F113" s="18"/>
      <c r="G113" s="18"/>
      <c r="H113" s="18"/>
      <c r="I113" s="18"/>
    </row>
    <row r="114" spans="1:9" x14ac:dyDescent="0.3">
      <c r="A114" s="18"/>
      <c r="B114" s="18"/>
      <c r="C114" s="18"/>
      <c r="D114" s="18"/>
      <c r="E114" s="18"/>
      <c r="F114" s="18"/>
      <c r="G114" s="18"/>
      <c r="H114" s="18"/>
      <c r="I114" s="18"/>
    </row>
    <row r="115" spans="1:9" x14ac:dyDescent="0.3">
      <c r="A115" s="18"/>
      <c r="B115" s="18"/>
      <c r="C115" s="18"/>
      <c r="D115" s="18"/>
      <c r="E115" s="18"/>
      <c r="F115" s="18"/>
      <c r="G115" s="18"/>
      <c r="H115" s="18"/>
      <c r="I115" s="18"/>
    </row>
  </sheetData>
  <mergeCells count="23">
    <mergeCell ref="A1:I1"/>
    <mergeCell ref="A2:I2"/>
    <mergeCell ref="D3:G3"/>
    <mergeCell ref="H3:I3"/>
    <mergeCell ref="E20:I20"/>
    <mergeCell ref="A3:A5"/>
    <mergeCell ref="A20:A22"/>
    <mergeCell ref="D4:D5"/>
    <mergeCell ref="C3:C5"/>
    <mergeCell ref="A19:I19"/>
    <mergeCell ref="B20:D20"/>
    <mergeCell ref="B21:B22"/>
    <mergeCell ref="D21:D22"/>
    <mergeCell ref="B3:B5"/>
    <mergeCell ref="F21:F22"/>
    <mergeCell ref="H4:H5"/>
    <mergeCell ref="G21:G22"/>
    <mergeCell ref="I21:I22"/>
    <mergeCell ref="E21:E22"/>
    <mergeCell ref="G4:G5"/>
    <mergeCell ref="H21:H22"/>
    <mergeCell ref="I4:I5"/>
    <mergeCell ref="F4:F5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>
      <selection activeCell="J15" sqref="J15"/>
    </sheetView>
  </sheetViews>
  <sheetFormatPr defaultColWidth="8.7109375" defaultRowHeight="15" x14ac:dyDescent="0.3"/>
  <cols>
    <col min="1" max="1" width="22" customWidth="1"/>
    <col min="2" max="8" width="7.5" customWidth="1"/>
    <col min="16" max="16" width="9.7109375" customWidth="1"/>
  </cols>
  <sheetData>
    <row r="1" spans="1:10" s="17" customFormat="1" ht="35.15" customHeight="1" x14ac:dyDescent="0.5">
      <c r="A1" s="169" t="s">
        <v>165</v>
      </c>
      <c r="B1" s="169"/>
      <c r="C1" s="169"/>
      <c r="D1" s="169"/>
      <c r="E1" s="169"/>
      <c r="F1" s="169"/>
      <c r="G1" s="169"/>
      <c r="H1" s="169"/>
    </row>
    <row r="2" spans="1:10" ht="15" customHeight="1" x14ac:dyDescent="0.3">
      <c r="A2" s="148" t="s">
        <v>132</v>
      </c>
      <c r="B2" s="131"/>
      <c r="C2" s="131"/>
      <c r="D2" s="131"/>
      <c r="E2" s="131"/>
      <c r="F2" s="131"/>
      <c r="G2" s="131"/>
      <c r="H2" s="131"/>
    </row>
    <row r="3" spans="1:10" s="18" customFormat="1" ht="15" customHeight="1" x14ac:dyDescent="0.25">
      <c r="A3" s="170"/>
      <c r="B3" s="174" t="s">
        <v>192</v>
      </c>
      <c r="C3" s="164" t="s">
        <v>166</v>
      </c>
      <c r="D3" s="159" t="s">
        <v>134</v>
      </c>
      <c r="E3" s="165"/>
      <c r="F3" s="165"/>
      <c r="G3" s="170"/>
      <c r="H3" s="164" t="s">
        <v>135</v>
      </c>
      <c r="I3" s="159"/>
    </row>
    <row r="4" spans="1:10" x14ac:dyDescent="0.3">
      <c r="A4" s="170"/>
      <c r="B4" s="168"/>
      <c r="C4" s="164"/>
      <c r="D4" s="159" t="s">
        <v>136</v>
      </c>
      <c r="E4" s="19"/>
      <c r="F4" s="164" t="s">
        <v>137</v>
      </c>
      <c r="G4" s="162" t="s">
        <v>138</v>
      </c>
      <c r="H4" s="164" t="s">
        <v>139</v>
      </c>
      <c r="I4" s="159" t="s">
        <v>140</v>
      </c>
      <c r="J4" s="18"/>
    </row>
    <row r="5" spans="1:10" x14ac:dyDescent="0.3">
      <c r="A5" s="170"/>
      <c r="B5" s="163"/>
      <c r="C5" s="164"/>
      <c r="D5" s="162"/>
      <c r="E5" s="22" t="s">
        <v>141</v>
      </c>
      <c r="F5" s="162"/>
      <c r="G5" s="168"/>
      <c r="H5" s="162"/>
      <c r="I5" s="166"/>
      <c r="J5" s="18"/>
    </row>
    <row r="6" spans="1:10" ht="18" customHeight="1" x14ac:dyDescent="0.3">
      <c r="A6" s="23" t="s">
        <v>142</v>
      </c>
      <c r="B6" s="123">
        <v>7303199</v>
      </c>
      <c r="C6" s="123">
        <v>7945106</v>
      </c>
      <c r="D6" s="124">
        <v>7515942</v>
      </c>
      <c r="E6" s="124">
        <v>7471191</v>
      </c>
      <c r="F6" s="124">
        <v>1035552</v>
      </c>
      <c r="G6" s="124">
        <v>3081290</v>
      </c>
      <c r="H6" s="124">
        <v>37776</v>
      </c>
      <c r="I6" s="124">
        <v>301336</v>
      </c>
      <c r="J6" s="30"/>
    </row>
    <row r="7" spans="1:10" ht="18" customHeight="1" x14ac:dyDescent="0.3">
      <c r="A7" s="24" t="s">
        <v>143</v>
      </c>
      <c r="B7" s="123">
        <v>7255247</v>
      </c>
      <c r="C7" s="123">
        <v>7898626</v>
      </c>
      <c r="D7" s="124">
        <v>7422141</v>
      </c>
      <c r="E7" s="124">
        <v>7379263</v>
      </c>
      <c r="F7" s="124">
        <v>1025002</v>
      </c>
      <c r="G7" s="124">
        <v>3080169</v>
      </c>
      <c r="H7" s="124">
        <v>36701</v>
      </c>
      <c r="I7" s="124">
        <v>291240</v>
      </c>
      <c r="J7" s="30"/>
    </row>
    <row r="8" spans="1:10" ht="18" customHeight="1" x14ac:dyDescent="0.3">
      <c r="A8" s="25" t="s">
        <v>144</v>
      </c>
      <c r="B8" s="123">
        <v>1033692</v>
      </c>
      <c r="C8" s="123">
        <v>1023012</v>
      </c>
      <c r="D8" s="124">
        <v>630362</v>
      </c>
      <c r="E8" s="124">
        <v>628032</v>
      </c>
      <c r="F8" s="124">
        <v>97773</v>
      </c>
      <c r="G8" s="124">
        <v>173032</v>
      </c>
      <c r="H8" s="124">
        <v>8598</v>
      </c>
      <c r="I8" s="124">
        <v>28930</v>
      </c>
      <c r="J8" s="30"/>
    </row>
    <row r="9" spans="1:10" ht="18" customHeight="1" x14ac:dyDescent="0.3">
      <c r="A9" s="25" t="s">
        <v>145</v>
      </c>
      <c r="B9" s="123">
        <v>827694</v>
      </c>
      <c r="C9" s="123">
        <v>882418</v>
      </c>
      <c r="D9" s="124">
        <v>561673</v>
      </c>
      <c r="E9" s="124">
        <v>559988</v>
      </c>
      <c r="F9" s="124">
        <v>87606</v>
      </c>
      <c r="G9" s="124">
        <v>160973</v>
      </c>
      <c r="H9" s="124">
        <v>7453</v>
      </c>
      <c r="I9" s="124">
        <v>28410</v>
      </c>
    </row>
    <row r="10" spans="1:10" ht="18" customHeight="1" x14ac:dyDescent="0.3">
      <c r="A10" s="25" t="s">
        <v>146</v>
      </c>
      <c r="B10" s="123">
        <v>185606</v>
      </c>
      <c r="C10" s="123">
        <v>123644</v>
      </c>
      <c r="D10" s="124">
        <v>62904</v>
      </c>
      <c r="E10" s="124">
        <v>62360</v>
      </c>
      <c r="F10" s="124">
        <v>8625</v>
      </c>
      <c r="G10" s="124">
        <v>10936</v>
      </c>
      <c r="H10" s="124">
        <v>1118</v>
      </c>
      <c r="I10" s="124">
        <v>469</v>
      </c>
    </row>
    <row r="11" spans="1:10" ht="18" customHeight="1" x14ac:dyDescent="0.3">
      <c r="A11" s="25" t="s">
        <v>147</v>
      </c>
      <c r="B11" s="123">
        <v>4963</v>
      </c>
      <c r="C11" s="123">
        <v>4352</v>
      </c>
      <c r="D11" s="124">
        <v>1653</v>
      </c>
      <c r="E11" s="124">
        <v>1648</v>
      </c>
      <c r="F11" s="124">
        <v>962</v>
      </c>
      <c r="G11" s="124">
        <v>243</v>
      </c>
      <c r="H11" s="124">
        <v>9</v>
      </c>
      <c r="I11" s="124">
        <v>26</v>
      </c>
    </row>
    <row r="12" spans="1:10" ht="18" customHeight="1" x14ac:dyDescent="0.3">
      <c r="A12" s="25" t="s">
        <v>148</v>
      </c>
      <c r="B12" s="123">
        <v>103</v>
      </c>
      <c r="C12" s="123">
        <v>51</v>
      </c>
      <c r="D12" s="124">
        <v>1</v>
      </c>
      <c r="E12" s="124">
        <v>1</v>
      </c>
      <c r="F12" s="124">
        <v>3</v>
      </c>
      <c r="G12" s="124"/>
      <c r="H12" s="124"/>
      <c r="I12" s="124"/>
    </row>
    <row r="13" spans="1:10" ht="18" customHeight="1" x14ac:dyDescent="0.3">
      <c r="A13" s="25" t="s">
        <v>149</v>
      </c>
      <c r="B13" s="123">
        <v>15326</v>
      </c>
      <c r="C13" s="123">
        <v>12547</v>
      </c>
      <c r="D13" s="124">
        <v>4131</v>
      </c>
      <c r="E13" s="124">
        <v>4035</v>
      </c>
      <c r="F13" s="124">
        <v>577</v>
      </c>
      <c r="G13" s="124">
        <v>880</v>
      </c>
      <c r="H13" s="124">
        <v>18</v>
      </c>
      <c r="I13" s="124">
        <v>25</v>
      </c>
    </row>
    <row r="14" spans="1:10" ht="18" customHeight="1" x14ac:dyDescent="0.3">
      <c r="A14" s="25" t="s">
        <v>150</v>
      </c>
      <c r="B14" s="123">
        <v>6221555</v>
      </c>
      <c r="C14" s="123">
        <v>6875614</v>
      </c>
      <c r="D14" s="124">
        <v>6791779</v>
      </c>
      <c r="E14" s="124">
        <v>6751231</v>
      </c>
      <c r="F14" s="124">
        <v>927229</v>
      </c>
      <c r="G14" s="124">
        <v>2907137</v>
      </c>
      <c r="H14" s="124">
        <v>28103</v>
      </c>
      <c r="I14" s="124">
        <v>262310</v>
      </c>
      <c r="J14" s="30"/>
    </row>
    <row r="15" spans="1:10" ht="18" customHeight="1" x14ac:dyDescent="0.3">
      <c r="A15" s="25" t="s">
        <v>151</v>
      </c>
      <c r="B15" s="123">
        <v>5760213</v>
      </c>
      <c r="C15" s="123">
        <v>6506875</v>
      </c>
      <c r="D15" s="124">
        <v>6443363</v>
      </c>
      <c r="E15" s="124">
        <v>6406791</v>
      </c>
      <c r="F15" s="124">
        <v>889146</v>
      </c>
      <c r="G15" s="124">
        <v>2793027</v>
      </c>
      <c r="H15" s="124">
        <v>26303</v>
      </c>
      <c r="I15" s="124">
        <v>260238</v>
      </c>
    </row>
    <row r="16" spans="1:10" ht="18" customHeight="1" x14ac:dyDescent="0.3">
      <c r="A16" s="25" t="s">
        <v>152</v>
      </c>
      <c r="B16" s="123">
        <v>461342</v>
      </c>
      <c r="C16" s="123">
        <v>368739</v>
      </c>
      <c r="D16" s="124">
        <v>348416</v>
      </c>
      <c r="E16" s="124">
        <v>344440</v>
      </c>
      <c r="F16" s="124">
        <v>38083</v>
      </c>
      <c r="G16" s="124">
        <v>114110</v>
      </c>
      <c r="H16" s="124">
        <v>1800</v>
      </c>
      <c r="I16" s="124">
        <v>2072</v>
      </c>
    </row>
    <row r="17" spans="1:17" ht="18" customHeight="1" x14ac:dyDescent="0.3">
      <c r="A17" s="26" t="s">
        <v>153</v>
      </c>
      <c r="B17" s="123">
        <v>47952</v>
      </c>
      <c r="C17" s="125">
        <v>46480</v>
      </c>
      <c r="D17" s="126">
        <v>93801</v>
      </c>
      <c r="E17" s="126">
        <v>91928</v>
      </c>
      <c r="F17" s="126">
        <v>10550</v>
      </c>
      <c r="G17" s="126">
        <v>1121</v>
      </c>
      <c r="H17" s="126">
        <v>1075</v>
      </c>
      <c r="I17" s="126">
        <v>10096</v>
      </c>
      <c r="J17" s="30"/>
    </row>
    <row r="18" spans="1:17" ht="35.15" customHeight="1" x14ac:dyDescent="0.3">
      <c r="A18" s="18"/>
      <c r="I18" s="29"/>
      <c r="J18" s="30"/>
      <c r="K18" s="30"/>
      <c r="L18" s="30"/>
      <c r="M18" s="30"/>
      <c r="N18" s="30"/>
      <c r="O18" s="31"/>
      <c r="P18" s="29"/>
    </row>
    <row r="19" spans="1:17" ht="15" customHeight="1" x14ac:dyDescent="0.3">
      <c r="A19" s="171" t="s">
        <v>167</v>
      </c>
      <c r="B19" s="171"/>
      <c r="C19" s="171"/>
      <c r="D19" s="171"/>
      <c r="E19" s="171"/>
      <c r="F19" s="171"/>
      <c r="G19" s="171"/>
      <c r="H19" s="171"/>
      <c r="I19" s="18"/>
      <c r="J19" s="18"/>
      <c r="K19" s="96"/>
      <c r="L19" s="96"/>
      <c r="M19" s="93"/>
      <c r="N19" s="93"/>
      <c r="O19" s="93"/>
    </row>
    <row r="20" spans="1:17" x14ac:dyDescent="0.3">
      <c r="A20" s="170"/>
      <c r="B20" s="159" t="s">
        <v>155</v>
      </c>
      <c r="C20" s="165"/>
      <c r="D20" s="165"/>
      <c r="E20" s="159" t="s">
        <v>156</v>
      </c>
      <c r="F20" s="165"/>
      <c r="G20" s="165"/>
      <c r="H20" s="165"/>
      <c r="I20" s="170"/>
      <c r="J20" s="18"/>
      <c r="K20" s="96"/>
      <c r="L20" s="96"/>
      <c r="M20" s="93"/>
      <c r="N20" s="93"/>
      <c r="O20" s="93"/>
    </row>
    <row r="21" spans="1:17" ht="11.25" customHeight="1" x14ac:dyDescent="0.3">
      <c r="A21" s="170"/>
      <c r="B21" s="166" t="s">
        <v>157</v>
      </c>
      <c r="C21" s="27"/>
      <c r="D21" s="162" t="s">
        <v>158</v>
      </c>
      <c r="E21" s="160" t="s">
        <v>159</v>
      </c>
      <c r="F21" s="163" t="s">
        <v>160</v>
      </c>
      <c r="G21" s="168" t="s">
        <v>161</v>
      </c>
      <c r="H21" s="163" t="s">
        <v>162</v>
      </c>
      <c r="I21" s="158" t="s">
        <v>163</v>
      </c>
      <c r="J21" s="30"/>
      <c r="K21" s="96"/>
      <c r="L21" s="96"/>
      <c r="M21" s="93"/>
      <c r="N21" s="93"/>
      <c r="O21" s="93"/>
    </row>
    <row r="22" spans="1:17" ht="17.25" customHeight="1" x14ac:dyDescent="0.3">
      <c r="A22" s="170"/>
      <c r="B22" s="168"/>
      <c r="C22" s="28" t="s">
        <v>164</v>
      </c>
      <c r="D22" s="173"/>
      <c r="E22" s="160"/>
      <c r="F22" s="162"/>
      <c r="G22" s="168"/>
      <c r="H22" s="162"/>
      <c r="I22" s="166"/>
      <c r="J22" s="30"/>
      <c r="K22" s="96"/>
      <c r="L22" s="96"/>
      <c r="M22" s="93"/>
      <c r="N22" s="93"/>
      <c r="O22" s="93"/>
    </row>
    <row r="23" spans="1:17" ht="20.149999999999999" customHeight="1" x14ac:dyDescent="0.3">
      <c r="A23" s="23" t="s">
        <v>142</v>
      </c>
      <c r="B23" s="124">
        <v>10340751</v>
      </c>
      <c r="C23" s="124">
        <v>10033768</v>
      </c>
      <c r="D23" s="124">
        <v>266263</v>
      </c>
      <c r="E23" s="124">
        <v>6851959</v>
      </c>
      <c r="F23" s="124">
        <v>6862</v>
      </c>
      <c r="G23" s="124">
        <v>177716</v>
      </c>
      <c r="H23" s="124">
        <v>6297418</v>
      </c>
      <c r="I23" s="124">
        <v>1484845</v>
      </c>
      <c r="K23" s="93"/>
      <c r="L23" s="93"/>
      <c r="M23" s="93"/>
      <c r="N23" s="93"/>
      <c r="O23" s="93"/>
    </row>
    <row r="24" spans="1:17" ht="20.149999999999999" customHeight="1" x14ac:dyDescent="0.3">
      <c r="A24" s="24" t="s">
        <v>143</v>
      </c>
      <c r="B24" s="124">
        <v>10249275</v>
      </c>
      <c r="C24" s="124">
        <v>9949076</v>
      </c>
      <c r="D24" s="124">
        <v>263839</v>
      </c>
      <c r="E24" s="124">
        <v>6841566</v>
      </c>
      <c r="F24" s="124">
        <v>6862</v>
      </c>
      <c r="G24" s="124">
        <v>177546</v>
      </c>
      <c r="H24" s="124">
        <v>6294997</v>
      </c>
      <c r="I24" s="124">
        <v>1451991</v>
      </c>
      <c r="K24" s="93"/>
      <c r="L24" s="93"/>
      <c r="M24" s="93"/>
      <c r="N24" s="93"/>
      <c r="O24" s="93"/>
    </row>
    <row r="25" spans="1:17" ht="20.149999999999999" customHeight="1" x14ac:dyDescent="0.3">
      <c r="A25" s="25" t="s">
        <v>144</v>
      </c>
      <c r="B25" s="124">
        <v>802503</v>
      </c>
      <c r="C25" s="124">
        <v>743612</v>
      </c>
      <c r="D25" s="124">
        <v>69486</v>
      </c>
      <c r="E25" s="124">
        <v>761351</v>
      </c>
      <c r="F25" s="124">
        <v>6862</v>
      </c>
      <c r="G25" s="124">
        <v>25136</v>
      </c>
      <c r="H25" s="124">
        <v>413294</v>
      </c>
      <c r="I25" s="124">
        <v>491844</v>
      </c>
      <c r="J25" s="30"/>
      <c r="K25" s="94"/>
      <c r="L25" s="94"/>
      <c r="M25" s="94"/>
      <c r="N25" s="94"/>
      <c r="O25" s="94"/>
      <c r="P25" s="30"/>
      <c r="Q25" s="30"/>
    </row>
    <row r="26" spans="1:17" ht="20.149999999999999" customHeight="1" x14ac:dyDescent="0.3">
      <c r="A26" s="25" t="s">
        <v>145</v>
      </c>
      <c r="B26" s="124">
        <v>657166</v>
      </c>
      <c r="C26" s="124">
        <v>603637</v>
      </c>
      <c r="D26" s="124">
        <v>60814</v>
      </c>
      <c r="E26" s="124">
        <v>679409</v>
      </c>
      <c r="F26" s="124">
        <v>1231</v>
      </c>
      <c r="G26" s="124">
        <v>18724</v>
      </c>
      <c r="H26" s="124">
        <v>384855</v>
      </c>
      <c r="I26" s="124">
        <v>472260</v>
      </c>
      <c r="J26" s="30"/>
      <c r="K26" s="94"/>
      <c r="L26" s="94"/>
      <c r="M26" s="94"/>
      <c r="N26" s="94"/>
      <c r="O26" s="94"/>
      <c r="P26" s="30"/>
      <c r="Q26" s="30"/>
    </row>
    <row r="27" spans="1:17" ht="20.149999999999999" customHeight="1" x14ac:dyDescent="0.3">
      <c r="A27" s="25" t="s">
        <v>146</v>
      </c>
      <c r="B27" s="124">
        <v>135265</v>
      </c>
      <c r="C27" s="124">
        <v>130648</v>
      </c>
      <c r="D27" s="124">
        <v>7031</v>
      </c>
      <c r="E27" s="124">
        <v>72076</v>
      </c>
      <c r="F27" s="124">
        <v>5250</v>
      </c>
      <c r="G27" s="124">
        <v>5985</v>
      </c>
      <c r="H27" s="124">
        <v>22814</v>
      </c>
      <c r="I27" s="124">
        <v>17279</v>
      </c>
      <c r="J27" s="30"/>
      <c r="K27" s="94"/>
      <c r="L27" s="94"/>
      <c r="M27" s="94"/>
      <c r="N27" s="94"/>
      <c r="O27" s="94"/>
      <c r="P27" s="30"/>
      <c r="Q27" s="30"/>
    </row>
    <row r="28" spans="1:17" ht="20.149999999999999" customHeight="1" x14ac:dyDescent="0.3">
      <c r="A28" s="25" t="s">
        <v>147</v>
      </c>
      <c r="B28" s="124">
        <v>3004</v>
      </c>
      <c r="C28" s="124">
        <v>2558</v>
      </c>
      <c r="D28" s="124">
        <v>425</v>
      </c>
      <c r="E28" s="124">
        <v>2633</v>
      </c>
      <c r="F28" s="124">
        <v>175</v>
      </c>
      <c r="G28" s="124">
        <v>59</v>
      </c>
      <c r="H28" s="124">
        <v>1394</v>
      </c>
      <c r="I28" s="124">
        <v>1529</v>
      </c>
      <c r="K28" s="94"/>
      <c r="L28" s="94"/>
      <c r="M28" s="95"/>
      <c r="N28" s="95"/>
      <c r="O28" s="95"/>
      <c r="P28" s="29"/>
      <c r="Q28" s="29"/>
    </row>
    <row r="29" spans="1:17" ht="20.149999999999999" customHeight="1" x14ac:dyDescent="0.3">
      <c r="A29" s="25" t="s">
        <v>148</v>
      </c>
      <c r="B29" s="124">
        <v>53</v>
      </c>
      <c r="C29" s="124">
        <v>51</v>
      </c>
      <c r="D29" s="124">
        <v>3</v>
      </c>
      <c r="E29" s="124"/>
      <c r="F29" s="124">
        <v>16</v>
      </c>
      <c r="G29" s="124"/>
      <c r="H29" s="124"/>
      <c r="I29" s="124"/>
      <c r="J29" s="30"/>
      <c r="K29" s="94"/>
      <c r="L29" s="94"/>
      <c r="M29" s="95"/>
      <c r="N29" s="95"/>
      <c r="O29" s="95"/>
      <c r="P29" s="29"/>
      <c r="Q29" s="29"/>
    </row>
    <row r="30" spans="1:17" ht="20.149999999999999" customHeight="1" x14ac:dyDescent="0.3">
      <c r="A30" s="25" t="s">
        <v>149</v>
      </c>
      <c r="B30" s="124">
        <v>7015</v>
      </c>
      <c r="C30" s="124">
        <v>6718</v>
      </c>
      <c r="D30" s="124">
        <v>1213</v>
      </c>
      <c r="E30" s="124">
        <v>723</v>
      </c>
      <c r="F30" s="124">
        <v>190</v>
      </c>
      <c r="G30" s="124">
        <v>368</v>
      </c>
      <c r="H30" s="124">
        <v>4231</v>
      </c>
      <c r="I30" s="124">
        <v>776</v>
      </c>
      <c r="J30" s="30"/>
      <c r="K30" s="94"/>
      <c r="L30" s="94"/>
      <c r="M30" s="95"/>
      <c r="N30" s="95"/>
      <c r="O30" s="95"/>
      <c r="P30" s="29"/>
      <c r="Q30" s="29"/>
    </row>
    <row r="31" spans="1:17" ht="20.149999999999999" customHeight="1" x14ac:dyDescent="0.3">
      <c r="A31" s="25" t="s">
        <v>150</v>
      </c>
      <c r="B31" s="124">
        <v>9446772</v>
      </c>
      <c r="C31" s="124">
        <v>9205464</v>
      </c>
      <c r="D31" s="124">
        <v>194353</v>
      </c>
      <c r="E31" s="124">
        <v>6080215</v>
      </c>
      <c r="F31" s="124"/>
      <c r="G31" s="124">
        <v>152410</v>
      </c>
      <c r="H31" s="124">
        <v>5881703</v>
      </c>
      <c r="I31" s="124">
        <v>960147</v>
      </c>
      <c r="J31" s="30"/>
      <c r="K31" s="30"/>
      <c r="L31" s="30"/>
      <c r="M31" s="29"/>
      <c r="N31" s="29"/>
      <c r="O31" s="29"/>
      <c r="P31" s="29"/>
      <c r="Q31" s="29"/>
    </row>
    <row r="32" spans="1:17" ht="20.149999999999999" customHeight="1" x14ac:dyDescent="0.3">
      <c r="A32" s="25" t="s">
        <v>151</v>
      </c>
      <c r="B32" s="124">
        <v>8876451</v>
      </c>
      <c r="C32" s="124">
        <v>8642738</v>
      </c>
      <c r="D32" s="124">
        <v>179310</v>
      </c>
      <c r="E32" s="124">
        <v>5766620</v>
      </c>
      <c r="F32" s="124"/>
      <c r="G32" s="124">
        <v>143802</v>
      </c>
      <c r="H32" s="124">
        <v>5622383</v>
      </c>
      <c r="I32" s="124">
        <v>856724</v>
      </c>
      <c r="J32" s="30"/>
      <c r="K32" s="30"/>
      <c r="L32" s="30"/>
      <c r="M32" s="29"/>
      <c r="N32" s="29"/>
      <c r="O32" s="29"/>
      <c r="P32" s="29"/>
      <c r="Q32" s="29"/>
    </row>
    <row r="33" spans="1:17" ht="20.149999999999999" customHeight="1" x14ac:dyDescent="0.3">
      <c r="A33" s="25" t="s">
        <v>152</v>
      </c>
      <c r="B33" s="124">
        <v>570321</v>
      </c>
      <c r="C33" s="124">
        <v>562726</v>
      </c>
      <c r="D33" s="124">
        <v>15043</v>
      </c>
      <c r="E33" s="124">
        <v>313595</v>
      </c>
      <c r="F33" s="124"/>
      <c r="G33" s="124">
        <v>8608</v>
      </c>
      <c r="H33" s="124">
        <v>259320</v>
      </c>
      <c r="I33" s="124">
        <v>103423</v>
      </c>
      <c r="J33" s="30"/>
      <c r="K33" s="30"/>
      <c r="L33" s="30"/>
      <c r="M33" s="30"/>
      <c r="N33" s="30"/>
      <c r="O33" s="30"/>
      <c r="P33" s="30"/>
      <c r="Q33" s="30"/>
    </row>
    <row r="34" spans="1:17" ht="20.149999999999999" customHeight="1" x14ac:dyDescent="0.3">
      <c r="A34" s="26" t="s">
        <v>153</v>
      </c>
      <c r="B34" s="126">
        <v>91476</v>
      </c>
      <c r="C34" s="126">
        <v>84692</v>
      </c>
      <c r="D34" s="126">
        <v>2424</v>
      </c>
      <c r="E34" s="126">
        <v>10393</v>
      </c>
      <c r="F34" s="126"/>
      <c r="G34" s="126">
        <v>170</v>
      </c>
      <c r="H34" s="126">
        <v>2421</v>
      </c>
      <c r="I34" s="126">
        <v>32854</v>
      </c>
      <c r="J34" s="30"/>
      <c r="K34" s="30"/>
      <c r="L34" s="30"/>
      <c r="M34" s="29"/>
      <c r="N34" s="29"/>
      <c r="O34" s="29"/>
      <c r="P34" s="29"/>
      <c r="Q34" s="29"/>
    </row>
    <row r="35" spans="1:17" x14ac:dyDescent="0.3">
      <c r="A35" s="18"/>
      <c r="B35" s="18"/>
      <c r="C35" s="18"/>
      <c r="D35" s="18"/>
      <c r="E35" s="18"/>
      <c r="F35" s="18"/>
      <c r="G35" s="18"/>
      <c r="H35" s="18"/>
      <c r="I35" s="18"/>
      <c r="J35" s="30"/>
      <c r="K35" s="30"/>
      <c r="L35" s="30"/>
      <c r="M35" s="29"/>
      <c r="N35" s="29"/>
      <c r="O35" s="29"/>
      <c r="P35" s="29"/>
      <c r="Q35" s="29"/>
    </row>
    <row r="36" spans="1:17" x14ac:dyDescent="0.3">
      <c r="A36" s="18"/>
      <c r="B36" s="18"/>
      <c r="C36" s="18"/>
      <c r="D36" s="18"/>
      <c r="E36" s="18"/>
      <c r="F36" s="18"/>
      <c r="G36" s="18"/>
      <c r="H36" s="18"/>
      <c r="I36" s="18"/>
      <c r="J36" s="30"/>
      <c r="K36" s="30"/>
      <c r="L36" s="30"/>
      <c r="M36" s="30"/>
      <c r="N36" s="30"/>
      <c r="O36" s="30"/>
      <c r="P36" s="30"/>
      <c r="Q36" s="30"/>
    </row>
    <row r="37" spans="1:17" x14ac:dyDescent="0.3">
      <c r="A37" s="18"/>
      <c r="B37" s="18"/>
      <c r="C37" s="18"/>
      <c r="D37" s="18"/>
      <c r="E37" s="18"/>
      <c r="I37" s="18"/>
      <c r="J37" s="18"/>
      <c r="K37" s="18"/>
      <c r="L37" s="18"/>
    </row>
    <row r="38" spans="1:17" x14ac:dyDescent="0.3">
      <c r="A38" s="18"/>
      <c r="B38" s="18"/>
      <c r="C38" s="18"/>
      <c r="D38" s="18"/>
      <c r="E38" s="18"/>
      <c r="I38" s="18"/>
      <c r="J38" s="18"/>
      <c r="K38" s="18"/>
      <c r="L38" s="18"/>
    </row>
    <row r="39" spans="1:17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7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7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7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7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7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7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7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7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7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</sheetData>
  <mergeCells count="23">
    <mergeCell ref="I21:I22"/>
    <mergeCell ref="E21:E22"/>
    <mergeCell ref="G4:G5"/>
    <mergeCell ref="F21:F22"/>
    <mergeCell ref="H4:H5"/>
    <mergeCell ref="G21:G22"/>
    <mergeCell ref="A1:H1"/>
    <mergeCell ref="A2:H2"/>
    <mergeCell ref="D3:G3"/>
    <mergeCell ref="H3:I3"/>
    <mergeCell ref="E20:I20"/>
    <mergeCell ref="A3:A5"/>
    <mergeCell ref="A20:A22"/>
    <mergeCell ref="H21:H22"/>
    <mergeCell ref="I4:I5"/>
    <mergeCell ref="F4:F5"/>
    <mergeCell ref="D4:D5"/>
    <mergeCell ref="C3:C5"/>
    <mergeCell ref="A19:H19"/>
    <mergeCell ref="B20:D20"/>
    <mergeCell ref="B21:B22"/>
    <mergeCell ref="D21:D22"/>
    <mergeCell ref="B3:B5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showGridLines="0" workbookViewId="0">
      <selection activeCell="E13" sqref="E13"/>
    </sheetView>
  </sheetViews>
  <sheetFormatPr defaultColWidth="8.7109375" defaultRowHeight="15" x14ac:dyDescent="0.3"/>
  <cols>
    <col min="1" max="1" width="1" customWidth="1"/>
    <col min="2" max="2" width="56.35546875" customWidth="1"/>
    <col min="3" max="3" width="1.35546875" customWidth="1"/>
    <col min="4" max="4" width="4.85546875" customWidth="1"/>
    <col min="5" max="6" width="14" customWidth="1"/>
  </cols>
  <sheetData>
    <row r="1" spans="2:6" x14ac:dyDescent="0.3">
      <c r="B1" s="9" t="s">
        <v>168</v>
      </c>
      <c r="C1" s="9"/>
      <c r="D1" s="10"/>
      <c r="E1" s="10"/>
      <c r="F1" s="10"/>
    </row>
    <row r="2" spans="2:6" x14ac:dyDescent="0.3">
      <c r="B2" s="9" t="s">
        <v>169</v>
      </c>
      <c r="C2" s="9"/>
      <c r="D2" s="10"/>
      <c r="E2" s="10"/>
      <c r="F2" s="10"/>
    </row>
    <row r="3" spans="2:6" x14ac:dyDescent="0.3">
      <c r="B3" s="11"/>
      <c r="C3" s="11"/>
      <c r="D3" s="12"/>
      <c r="E3" s="12"/>
      <c r="F3" s="12"/>
    </row>
    <row r="4" spans="2:6" ht="45" x14ac:dyDescent="0.3">
      <c r="B4" s="11" t="s">
        <v>170</v>
      </c>
      <c r="C4" s="11"/>
      <c r="D4" s="12"/>
      <c r="E4" s="12"/>
      <c r="F4" s="12"/>
    </row>
    <row r="5" spans="2:6" x14ac:dyDescent="0.3">
      <c r="B5" s="11"/>
      <c r="C5" s="11"/>
      <c r="D5" s="12"/>
      <c r="E5" s="12"/>
      <c r="F5" s="12"/>
    </row>
    <row r="6" spans="2:6" x14ac:dyDescent="0.3">
      <c r="B6" s="9" t="s">
        <v>171</v>
      </c>
      <c r="C6" s="9"/>
      <c r="D6" s="10"/>
      <c r="E6" s="10" t="s">
        <v>172</v>
      </c>
      <c r="F6" s="10" t="s">
        <v>173</v>
      </c>
    </row>
    <row r="7" spans="2:6" x14ac:dyDescent="0.3">
      <c r="B7" s="11"/>
      <c r="C7" s="11"/>
      <c r="D7" s="12"/>
      <c r="E7" s="12"/>
      <c r="F7" s="12"/>
    </row>
    <row r="8" spans="2:6" ht="30" x14ac:dyDescent="0.3">
      <c r="B8" s="13" t="s">
        <v>174</v>
      </c>
      <c r="C8" s="14"/>
      <c r="D8" s="15"/>
      <c r="E8" s="15">
        <v>4</v>
      </c>
      <c r="F8" s="16" t="s">
        <v>175</v>
      </c>
    </row>
    <row r="9" spans="2:6" x14ac:dyDescent="0.3">
      <c r="B9" s="11"/>
      <c r="C9" s="11"/>
      <c r="D9" s="12"/>
      <c r="E9" s="12"/>
      <c r="F9" s="12"/>
    </row>
  </sheetData>
  <phoneticPr fontId="3" type="noConversion"/>
  <pageMargins left="0.69930555555555551" right="0.69930555555555551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6-1</vt:lpstr>
      <vt:lpstr>6-2</vt:lpstr>
      <vt:lpstr>6-2续</vt:lpstr>
      <vt:lpstr>6-3</vt:lpstr>
      <vt:lpstr>6-4</vt:lpstr>
      <vt:lpstr>6-5</vt:lpstr>
      <vt:lpstr>6-6</vt:lpstr>
      <vt:lpstr>6-7</vt:lpstr>
      <vt:lpstr>6-8</vt:lpstr>
      <vt:lpstr>兼容性报表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cp:lastPrinted>2017-06-22T02:57:10Z</cp:lastPrinted>
  <dcterms:created xsi:type="dcterms:W3CDTF">2007-11-16T09:10:34Z</dcterms:created>
  <dcterms:modified xsi:type="dcterms:W3CDTF">2025-03-30T13:13:51Z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