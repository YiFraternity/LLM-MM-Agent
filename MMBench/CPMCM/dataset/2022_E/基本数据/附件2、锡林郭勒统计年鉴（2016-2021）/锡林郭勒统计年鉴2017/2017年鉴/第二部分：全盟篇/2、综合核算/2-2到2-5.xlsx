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、综合核算\"/>
    </mc:Choice>
  </mc:AlternateContent>
  <xr:revisionPtr revIDLastSave="0" documentId="8_{3AD2DD43-1295-4C82-9E70-505F631A623E}" xr6:coauthVersionLast="36" xr6:coauthVersionMax="36" xr10:uidLastSave="{00000000-0000-0000-0000-000000000000}"/>
  <bookViews>
    <workbookView xWindow="32769" yWindow="32769" windowWidth="19123" windowHeight="7997" activeTab="5"/>
  </bookViews>
  <sheets>
    <sheet name="2-2" sheetId="3" r:id="rId1"/>
    <sheet name="2-3" sheetId="1" r:id="rId2"/>
    <sheet name="2-3续" sheetId="4" r:id="rId3"/>
    <sheet name="2-4" sheetId="2" r:id="rId4"/>
    <sheet name="2-4续" sheetId="5" r:id="rId5"/>
    <sheet name="2-5" sheetId="6" r:id="rId6"/>
  </sheets>
  <calcPr calcId="191029"/>
</workbook>
</file>

<file path=xl/calcChain.xml><?xml version="1.0" encoding="utf-8"?>
<calcChain xmlns="http://schemas.openxmlformats.org/spreadsheetml/2006/main">
  <c r="J6" i="4" l="1"/>
  <c r="J7" i="4"/>
  <c r="J8" i="4"/>
  <c r="J9" i="4"/>
  <c r="J10" i="4"/>
  <c r="J11" i="4"/>
  <c r="J12" i="4"/>
  <c r="J13" i="4"/>
  <c r="J14" i="4"/>
  <c r="J15" i="4"/>
  <c r="J16" i="4"/>
  <c r="K16" i="4"/>
  <c r="J17" i="4"/>
  <c r="J18" i="4"/>
  <c r="J19" i="4"/>
  <c r="K19" i="4" s="1"/>
  <c r="J20" i="4"/>
  <c r="J21" i="4"/>
  <c r="J22" i="4"/>
  <c r="J23" i="4"/>
  <c r="J24" i="4"/>
  <c r="K24" i="4"/>
  <c r="J25" i="4"/>
  <c r="J26" i="4"/>
  <c r="J27" i="4"/>
  <c r="K27" i="4" s="1"/>
  <c r="J28" i="4"/>
  <c r="K28" i="4"/>
  <c r="J29" i="4"/>
  <c r="J30" i="4"/>
  <c r="J31" i="4"/>
  <c r="K31" i="4" s="1"/>
  <c r="J32" i="4"/>
  <c r="J33" i="4"/>
  <c r="J34" i="4"/>
  <c r="J35" i="4"/>
  <c r="J36" i="4"/>
  <c r="J37" i="4"/>
  <c r="J38" i="4"/>
  <c r="K38" i="4" s="1"/>
  <c r="J39" i="4"/>
  <c r="J40" i="4"/>
  <c r="K40" i="4"/>
  <c r="J5" i="4"/>
  <c r="I6" i="4"/>
  <c r="K6" i="4"/>
  <c r="I7" i="4"/>
  <c r="K7" i="4" s="1"/>
  <c r="I8" i="4"/>
  <c r="K8" i="4" s="1"/>
  <c r="I9" i="4"/>
  <c r="K9" i="4" s="1"/>
  <c r="I10" i="4"/>
  <c r="K10" i="4" s="1"/>
  <c r="I11" i="4"/>
  <c r="K11" i="4"/>
  <c r="I12" i="4"/>
  <c r="K12" i="4" s="1"/>
  <c r="I13" i="4"/>
  <c r="K13" i="4"/>
  <c r="I14" i="4"/>
  <c r="K14" i="4" s="1"/>
  <c r="I15" i="4"/>
  <c r="K15" i="4"/>
  <c r="I16" i="4"/>
  <c r="I17" i="4"/>
  <c r="K17" i="4" s="1"/>
  <c r="I18" i="4"/>
  <c r="K18" i="4"/>
  <c r="I19" i="4"/>
  <c r="I20" i="4"/>
  <c r="K20" i="4" s="1"/>
  <c r="I21" i="4"/>
  <c r="K21" i="4" s="1"/>
  <c r="I22" i="4"/>
  <c r="K22" i="4"/>
  <c r="I23" i="4"/>
  <c r="K23" i="4"/>
  <c r="I24" i="4"/>
  <c r="I25" i="4"/>
  <c r="K25" i="4"/>
  <c r="I26" i="4"/>
  <c r="K26" i="4" s="1"/>
  <c r="I27" i="4"/>
  <c r="I28" i="4"/>
  <c r="I29" i="4"/>
  <c r="K29" i="4"/>
  <c r="I30" i="4"/>
  <c r="K30" i="4"/>
  <c r="I31" i="4"/>
  <c r="I32" i="4"/>
  <c r="K32" i="4" s="1"/>
  <c r="I33" i="4"/>
  <c r="K33" i="4" s="1"/>
  <c r="I34" i="4"/>
  <c r="K34" i="4"/>
  <c r="I35" i="4"/>
  <c r="K35" i="4"/>
  <c r="I36" i="4"/>
  <c r="K36" i="4" s="1"/>
  <c r="I37" i="4"/>
  <c r="K37" i="4"/>
  <c r="I38" i="4"/>
  <c r="I39" i="4"/>
  <c r="K39" i="4" s="1"/>
  <c r="I40" i="4"/>
  <c r="I5" i="4"/>
  <c r="K5" i="4"/>
  <c r="E14" i="3"/>
  <c r="E17" i="3"/>
  <c r="D4" i="3"/>
  <c r="D9" i="3"/>
</calcChain>
</file>

<file path=xl/sharedStrings.xml><?xml version="1.0" encoding="utf-8"?>
<sst xmlns="http://schemas.openxmlformats.org/spreadsheetml/2006/main" count="117" uniqueCount="99">
  <si>
    <r>
      <t xml:space="preserve">2-2   </t>
    </r>
    <r>
      <rPr>
        <sz val="16"/>
        <rFont val="宋体"/>
        <charset val="134"/>
      </rPr>
      <t>国民经济主要指标比例关系</t>
    </r>
  </si>
  <si>
    <r>
      <t>2011</t>
    </r>
    <r>
      <rPr>
        <sz val="9"/>
        <rFont val="宋体"/>
        <charset val="134"/>
      </rPr>
      <t>年</t>
    </r>
  </si>
  <si>
    <t>一、地区生产总值中三次产业比例</t>
  </si>
  <si>
    <r>
      <t xml:space="preserve">        </t>
    </r>
    <r>
      <rPr>
        <sz val="9"/>
        <rFont val="宋体"/>
        <charset val="134"/>
      </rPr>
      <t>第一产业</t>
    </r>
  </si>
  <si>
    <r>
      <t xml:space="preserve">        </t>
    </r>
    <r>
      <rPr>
        <sz val="9"/>
        <rFont val="宋体"/>
        <charset val="134"/>
      </rPr>
      <t>第二产业</t>
    </r>
  </si>
  <si>
    <r>
      <t xml:space="preserve">        </t>
    </r>
    <r>
      <rPr>
        <sz val="9"/>
        <rFont val="宋体"/>
        <charset val="134"/>
      </rPr>
      <t>第三产业</t>
    </r>
  </si>
  <si>
    <t>二、地区支出总额中消费和投资比例</t>
  </si>
  <si>
    <r>
      <t xml:space="preserve">        </t>
    </r>
    <r>
      <rPr>
        <sz val="9"/>
        <rFont val="宋体"/>
        <charset val="134"/>
      </rPr>
      <t>总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消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费</t>
    </r>
  </si>
  <si>
    <r>
      <t xml:space="preserve">            </t>
    </r>
    <r>
      <rPr>
        <sz val="9"/>
        <rFont val="宋体"/>
        <charset val="134"/>
      </rPr>
      <t>居民消费</t>
    </r>
  </si>
  <si>
    <r>
      <t xml:space="preserve">                </t>
    </r>
    <r>
      <rPr>
        <sz val="9"/>
        <rFont val="宋体"/>
        <charset val="134"/>
      </rPr>
      <t>农村居民</t>
    </r>
  </si>
  <si>
    <r>
      <t xml:space="preserve">                </t>
    </r>
    <r>
      <rPr>
        <sz val="9"/>
        <rFont val="宋体"/>
        <charset val="134"/>
      </rPr>
      <t>城镇居民</t>
    </r>
  </si>
  <si>
    <r>
      <t xml:space="preserve">            </t>
    </r>
    <r>
      <rPr>
        <sz val="9"/>
        <rFont val="宋体"/>
        <charset val="134"/>
      </rPr>
      <t>政府消费</t>
    </r>
  </si>
  <si>
    <r>
      <t xml:space="preserve">        </t>
    </r>
    <r>
      <rPr>
        <sz val="9"/>
        <rFont val="宋体"/>
        <charset val="134"/>
      </rPr>
      <t>总投资</t>
    </r>
  </si>
  <si>
    <r>
      <t xml:space="preserve">            </t>
    </r>
    <r>
      <rPr>
        <sz val="9"/>
        <rFont val="宋体"/>
        <charset val="134"/>
      </rPr>
      <t>固定资产形成总额</t>
    </r>
  </si>
  <si>
    <r>
      <t xml:space="preserve">            </t>
    </r>
    <r>
      <rPr>
        <sz val="9"/>
        <rFont val="宋体"/>
        <charset val="134"/>
      </rPr>
      <t>存货增加</t>
    </r>
  </si>
  <si>
    <t>三、固定资产投资中资金来源</t>
  </si>
  <si>
    <r>
      <t xml:space="preserve">        </t>
    </r>
    <r>
      <rPr>
        <sz val="9"/>
        <rFont val="宋体"/>
        <charset val="134"/>
      </rPr>
      <t>国家</t>
    </r>
    <r>
      <rPr>
        <sz val="9"/>
        <color indexed="8"/>
        <rFont val="宋体"/>
        <charset val="134"/>
      </rPr>
      <t>预</t>
    </r>
    <r>
      <rPr>
        <sz val="9"/>
        <rFont val="宋体"/>
        <charset val="134"/>
      </rPr>
      <t>算内投资</t>
    </r>
  </si>
  <si>
    <r>
      <t xml:space="preserve">        </t>
    </r>
    <r>
      <rPr>
        <sz val="9"/>
        <rFont val="宋体"/>
        <charset val="134"/>
      </rPr>
      <t>国内贷款</t>
    </r>
  </si>
  <si>
    <r>
      <t xml:space="preserve">        </t>
    </r>
    <r>
      <rPr>
        <sz val="9"/>
        <rFont val="宋体"/>
        <charset val="134"/>
      </rPr>
      <t>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券</t>
    </r>
  </si>
  <si>
    <r>
      <t xml:space="preserve">        </t>
    </r>
    <r>
      <rPr>
        <sz val="9"/>
        <rFont val="宋体"/>
        <charset val="134"/>
      </rPr>
      <t>利用外资</t>
    </r>
  </si>
  <si>
    <r>
      <t xml:space="preserve">        </t>
    </r>
    <r>
      <rPr>
        <sz val="9"/>
        <rFont val="宋体"/>
        <charset val="134"/>
      </rPr>
      <t>自筹投资</t>
    </r>
  </si>
  <si>
    <r>
      <t xml:space="preserve">        </t>
    </r>
    <r>
      <rPr>
        <sz val="9"/>
        <rFont val="宋体"/>
        <charset val="134"/>
      </rPr>
      <t>其他投资</t>
    </r>
  </si>
  <si>
    <r>
      <t xml:space="preserve">        </t>
    </r>
    <r>
      <rPr>
        <sz val="9"/>
        <rFont val="宋体"/>
        <charset val="134"/>
      </rPr>
      <t>农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</si>
  <si>
    <r>
      <t xml:space="preserve">        </t>
    </r>
    <r>
      <rPr>
        <sz val="9"/>
        <rFont val="宋体"/>
        <charset val="134"/>
      </rPr>
      <t>林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</si>
  <si>
    <r>
      <t xml:space="preserve">        </t>
    </r>
    <r>
      <rPr>
        <sz val="9"/>
        <rFont val="宋体"/>
        <charset val="134"/>
      </rPr>
      <t>牧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</si>
  <si>
    <r>
      <t xml:space="preserve">        </t>
    </r>
    <r>
      <rPr>
        <sz val="9"/>
        <rFont val="宋体"/>
        <charset val="134"/>
      </rPr>
      <t>渔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</si>
  <si>
    <r>
      <t xml:space="preserve">        </t>
    </r>
    <r>
      <rPr>
        <sz val="9"/>
        <rFont val="宋体"/>
        <charset val="134"/>
      </rPr>
      <t>农林牧渔服务业</t>
    </r>
  </si>
  <si>
    <r>
      <t>2-3</t>
    </r>
    <r>
      <rPr>
        <b/>
        <sz val="16"/>
        <rFont val="宋体"/>
        <charset val="134"/>
      </rPr>
      <t>地区生产总值</t>
    </r>
  </si>
  <si>
    <t>(按当年价计算)</t>
  </si>
  <si>
    <t>地区生产总值(万元)</t>
  </si>
  <si>
    <t>人均生产总值(元)</t>
  </si>
  <si>
    <t>年  份</t>
  </si>
  <si>
    <t>第一产业</t>
  </si>
  <si>
    <t>第二产业</t>
  </si>
  <si>
    <t>第三产业</t>
  </si>
  <si>
    <t>工业</t>
  </si>
  <si>
    <t>建筑业</t>
  </si>
  <si>
    <t>2-3续表</t>
  </si>
  <si>
    <r>
      <t>地区生</t>
    </r>
    <r>
      <rPr>
        <sz val="9"/>
        <rFont val="Times New Roman"/>
        <family val="1"/>
      </rPr>
      <t xml:space="preserve">                                                     </t>
    </r>
    <r>
      <rPr>
        <sz val="9"/>
        <rFont val="宋体"/>
        <charset val="134"/>
      </rPr>
      <t>产总值</t>
    </r>
    <r>
      <rPr>
        <sz val="9"/>
        <rFont val="Times New Roman"/>
        <family val="1"/>
      </rPr>
      <t xml:space="preserve">                                                                                                            </t>
    </r>
    <r>
      <rPr>
        <sz val="9"/>
        <rFont val="宋体"/>
        <charset val="134"/>
      </rPr>
      <t>（万元）</t>
    </r>
  </si>
  <si>
    <r>
      <t>人均生</t>
    </r>
    <r>
      <rPr>
        <sz val="9"/>
        <rFont val="Times New Roman"/>
        <family val="1"/>
      </rPr>
      <t xml:space="preserve">                                                                                                         </t>
    </r>
    <r>
      <rPr>
        <sz val="9"/>
        <rFont val="宋体"/>
        <charset val="134"/>
      </rPr>
      <t>产总值</t>
    </r>
    <r>
      <rPr>
        <sz val="9"/>
        <rFont val="Times New Roman"/>
        <family val="1"/>
      </rPr>
      <t xml:space="preserve">                                                                                                          </t>
    </r>
    <r>
      <rPr>
        <sz val="9"/>
        <rFont val="宋体"/>
        <charset val="134"/>
      </rPr>
      <t>（元）</t>
    </r>
  </si>
  <si>
    <r>
      <t>注：</t>
    </r>
    <r>
      <rPr>
        <sz val="9"/>
        <rFont val="Times New Roman"/>
        <family val="1"/>
      </rPr>
      <t>1</t>
    </r>
    <r>
      <rPr>
        <sz val="9"/>
        <rFont val="宋体"/>
        <charset val="134"/>
      </rPr>
      <t>、1993年至</t>
    </r>
    <r>
      <rPr>
        <sz val="9"/>
        <rFont val="Times New Roman"/>
        <family val="1"/>
      </rPr>
      <t>2004</t>
    </r>
    <r>
      <rPr>
        <sz val="9"/>
        <rFont val="宋体"/>
        <charset val="134"/>
      </rPr>
      <t>年地区生产总值及指数已根据全盟第一次经济普查结果调整修订。</t>
    </r>
  </si>
  <si>
    <r>
      <t>2-4</t>
    </r>
    <r>
      <rPr>
        <b/>
        <sz val="16"/>
        <rFont val="宋体"/>
        <charset val="134"/>
      </rPr>
      <t>地区生产总值指数</t>
    </r>
  </si>
  <si>
    <t>(以上年为100，按可比价计算)</t>
  </si>
  <si>
    <t>地区生产总值</t>
  </si>
  <si>
    <t>人均生产总值</t>
  </si>
  <si>
    <t>2-4续表</t>
  </si>
  <si>
    <r>
      <t>地区生产</t>
    </r>
    <r>
      <rPr>
        <sz val="9"/>
        <rFont val="Times New Roman"/>
        <family val="1"/>
      </rPr>
      <t xml:space="preserve">                                                                                                        </t>
    </r>
    <r>
      <rPr>
        <sz val="9"/>
        <rFont val="宋体"/>
        <charset val="134"/>
      </rPr>
      <t>总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值</t>
    </r>
  </si>
  <si>
    <r>
      <t>人均地区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生产总值</t>
    </r>
  </si>
  <si>
    <t xml:space="preserve">     </t>
  </si>
  <si>
    <r>
      <t>工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业</t>
    </r>
  </si>
  <si>
    <t>（按当年价格计算）</t>
  </si>
  <si>
    <r>
      <t>劳动者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报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酬</t>
    </r>
  </si>
  <si>
    <r>
      <t>生产税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净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额</t>
    </r>
  </si>
  <si>
    <r>
      <t>固定资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产折旧</t>
    </r>
  </si>
  <si>
    <r>
      <t>营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盈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余</t>
    </r>
  </si>
  <si>
    <r>
      <t xml:space="preserve">        </t>
    </r>
    <r>
      <rPr>
        <sz val="9"/>
        <rFont val="宋体"/>
        <charset val="134"/>
      </rPr>
      <t>农、林、牧、渔业</t>
    </r>
  </si>
  <si>
    <r>
      <t xml:space="preserve">        </t>
    </r>
    <r>
      <rPr>
        <sz val="9"/>
        <rFont val="宋体"/>
        <charset val="134"/>
      </rPr>
      <t>畜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牧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</si>
  <si>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r>
      <t xml:space="preserve">        </t>
    </r>
    <r>
      <rPr>
        <sz val="9"/>
        <rFont val="宋体"/>
        <charset val="134"/>
      </rPr>
      <t>渔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  <r>
      <rPr>
        <sz val="9"/>
        <rFont val="Times New Roman"/>
        <family val="1"/>
      </rPr>
      <t xml:space="preserve"> </t>
    </r>
  </si>
  <si>
    <r>
      <t xml:space="preserve">        </t>
    </r>
    <r>
      <rPr>
        <sz val="9"/>
        <rFont val="宋体"/>
        <charset val="134"/>
      </rPr>
      <t>农、林、牧、渔服务业</t>
    </r>
  </si>
  <si>
    <r>
      <t xml:space="preserve">        </t>
    </r>
    <r>
      <rPr>
        <sz val="9"/>
        <rFont val="宋体"/>
        <charset val="134"/>
      </rPr>
      <t>工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业</t>
    </r>
  </si>
  <si>
    <r>
      <t xml:space="preserve">            </t>
    </r>
    <r>
      <rPr>
        <sz val="9"/>
        <rFont val="宋体"/>
        <charset val="134"/>
      </rPr>
      <t>采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矿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</si>
  <si>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r>
      <t xml:space="preserve">            </t>
    </r>
    <r>
      <rPr>
        <sz val="9"/>
        <rFont val="宋体"/>
        <charset val="134"/>
      </rPr>
      <t>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造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</si>
  <si>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r>
      <t xml:space="preserve">        </t>
    </r>
    <r>
      <rPr>
        <sz val="9"/>
        <rFont val="宋体"/>
        <charset val="134"/>
      </rPr>
      <t>建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业</t>
    </r>
  </si>
  <si>
    <t>四、农业总产值中各业的比例</t>
    <phoneticPr fontId="3" type="noConversion"/>
  </si>
  <si>
    <r>
      <t xml:space="preserve">    2、2005年至</t>
    </r>
    <r>
      <rPr>
        <sz val="9"/>
        <rFont val="Times New Roman"/>
        <family val="1"/>
      </rPr>
      <t>200</t>
    </r>
    <r>
      <rPr>
        <sz val="9"/>
        <rFont val="Times New Roman"/>
        <family val="1"/>
      </rPr>
      <t>8</t>
    </r>
    <r>
      <rPr>
        <sz val="9"/>
        <rFont val="宋体"/>
        <charset val="134"/>
      </rPr>
      <t>年地区生产总值及指数已根据全盟第二次经济普查结果调整修订。</t>
    </r>
    <phoneticPr fontId="3" type="noConversion"/>
  </si>
  <si>
    <t>3、2013年和2014年地区生产总值已根据全盟第三次经济普查结果调整修订。</t>
    <phoneticPr fontId="3" type="noConversion"/>
  </si>
  <si>
    <t>合计</t>
    <phoneticPr fontId="3" type="noConversion"/>
  </si>
  <si>
    <t>1、按行业分</t>
    <phoneticPr fontId="3" type="noConversion"/>
  </si>
  <si>
    <r>
      <t>2</t>
    </r>
    <r>
      <rPr>
        <sz val="9"/>
        <rFont val="宋体"/>
        <charset val="134"/>
      </rPr>
      <t>、按产业分</t>
    </r>
    <phoneticPr fontId="3" type="noConversion"/>
  </si>
  <si>
    <t xml:space="preserve">   第一产业</t>
    <phoneticPr fontId="3" type="noConversion"/>
  </si>
  <si>
    <t xml:space="preserve">   第二产业</t>
    <phoneticPr fontId="3" type="noConversion"/>
  </si>
  <si>
    <t xml:space="preserve">   第三产业</t>
    <phoneticPr fontId="3" type="noConversion"/>
  </si>
  <si>
    <t xml:space="preserve">    批发和零售业</t>
  </si>
  <si>
    <t xml:space="preserve">    交通运输、仓储和邮政业</t>
  </si>
  <si>
    <t xml:space="preserve">    住宿和餐饮业</t>
  </si>
  <si>
    <t xml:space="preserve">    信息传输、软件和信息技术服务业</t>
  </si>
  <si>
    <t xml:space="preserve">    金融业</t>
  </si>
  <si>
    <t xml:space="preserve">    房地产业</t>
  </si>
  <si>
    <t xml:space="preserve">    租赁和商务服务业</t>
  </si>
  <si>
    <t xml:space="preserve">    科学研究和技术服务业</t>
  </si>
  <si>
    <t xml:space="preserve">    水利、环境和公共设施管理业</t>
  </si>
  <si>
    <t xml:space="preserve">    居民服务、修理和其他服务业</t>
  </si>
  <si>
    <t xml:space="preserve">    教育</t>
  </si>
  <si>
    <t xml:space="preserve">    卫生和社会工作</t>
  </si>
  <si>
    <t xml:space="preserve">    文化、体育和娱乐业</t>
  </si>
  <si>
    <t xml:space="preserve">    公共管理、社会保障和社会组织</t>
  </si>
  <si>
    <r>
      <t xml:space="preserve">           </t>
    </r>
    <r>
      <rPr>
        <sz val="9"/>
        <rFont val="宋体"/>
        <charset val="134"/>
      </rPr>
      <t>电力、燃气及水的生产和供应业</t>
    </r>
    <phoneticPr fontId="3" type="noConversion"/>
  </si>
  <si>
    <t>2012年</t>
    <phoneticPr fontId="3" type="noConversion"/>
  </si>
  <si>
    <t>2013年</t>
    <phoneticPr fontId="3" type="noConversion"/>
  </si>
  <si>
    <t>2014年</t>
    <phoneticPr fontId="3" type="noConversion"/>
  </si>
  <si>
    <r>
      <t xml:space="preserve">2-6    </t>
    </r>
    <r>
      <rPr>
        <sz val="16"/>
        <rFont val="宋体"/>
        <charset val="134"/>
      </rPr>
      <t>按收入法计算的地区生产总值</t>
    </r>
    <r>
      <rPr>
        <sz val="16"/>
        <rFont val="Times New Roman"/>
        <family val="1"/>
      </rPr>
      <t xml:space="preserve">                                                                                                                                                         </t>
    </r>
    <phoneticPr fontId="3" type="noConversion"/>
  </si>
  <si>
    <t>2015年</t>
    <phoneticPr fontId="3" type="noConversion"/>
  </si>
  <si>
    <r>
      <t xml:space="preserve">        </t>
    </r>
    <r>
      <rPr>
        <sz val="9"/>
        <rFont val="宋体"/>
        <charset val="134"/>
      </rPr>
      <t>货物和服务净流出</t>
    </r>
    <phoneticPr fontId="3" type="noConversion"/>
  </si>
  <si>
    <t>产业结构</t>
    <phoneticPr fontId="3" type="noConversion"/>
  </si>
  <si>
    <t>一产</t>
    <phoneticPr fontId="3" type="noConversion"/>
  </si>
  <si>
    <t>二产</t>
    <phoneticPr fontId="3" type="noConversion"/>
  </si>
  <si>
    <t>三产</t>
    <phoneticPr fontId="3" type="noConversion"/>
  </si>
  <si>
    <t>2016年</t>
    <phoneticPr fontId="3" type="noConversion"/>
  </si>
  <si>
    <t>单位：亿元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</si>
</sst>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0" formatCode="0_ "/>
    <numFmt numFmtId="181" formatCode="0.0_ "/>
    <numFmt numFmtId="182" formatCode="0_);[Red]\(0\)"/>
    <numFmt numFmtId="183" formatCode="0.00_);[Red]\(0.00\)"/>
    <numFmt numFmtId="184" formatCode="0.00_ "/>
  </numFmts>
  <fonts count="29" x14ac:knownFonts="1">
    <font>
      <sz val="12"/>
      <name val="宋体"/>
      <charset val="134"/>
    </font>
    <font>
      <sz val="16"/>
      <name val="宋体"/>
      <charset val="134"/>
    </font>
    <font>
      <sz val="16"/>
      <name val="Times New Roman"/>
      <family val="1"/>
    </font>
    <font>
      <sz val="9"/>
      <name val="宋体"/>
      <charset val="134"/>
    </font>
    <font>
      <sz val="9"/>
      <name val="Times New Roman"/>
      <family val="1"/>
    </font>
    <font>
      <b/>
      <sz val="16"/>
      <name val="Times New Roman"/>
      <family val="1"/>
    </font>
    <font>
      <b/>
      <sz val="16"/>
      <name val="宋体"/>
      <charset val="134"/>
    </font>
    <font>
      <sz val="1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8"/>
      <color indexed="54"/>
      <name val="宋体"/>
      <charset val="134"/>
    </font>
    <font>
      <b/>
      <sz val="11"/>
      <color indexed="52"/>
      <name val="宋体"/>
      <charset val="134"/>
    </font>
    <font>
      <b/>
      <sz val="15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3"/>
      <color indexed="54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9"/>
      <color indexed="8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26" fillId="5" borderId="9" applyNumberFormat="0" applyFont="0" applyAlignment="0" applyProtection="0">
      <alignment vertical="center"/>
    </xf>
  </cellStyleXfs>
  <cellXfs count="113">
    <xf numFmtId="0" fontId="0" fillId="0" borderId="0" xfId="0"/>
    <xf numFmtId="0" fontId="1" fillId="0" borderId="0" xfId="0" applyFont="1"/>
    <xf numFmtId="0" fontId="0" fillId="0" borderId="0" xfId="0" applyFill="1"/>
    <xf numFmtId="0" fontId="3" fillId="0" borderId="0" xfId="0" applyFont="1"/>
    <xf numFmtId="0" fontId="3" fillId="18" borderId="0" xfId="0" applyFont="1" applyFill="1"/>
    <xf numFmtId="180" fontId="3" fillId="0" borderId="0" xfId="0" applyNumberFormat="1" applyFont="1"/>
    <xf numFmtId="0" fontId="4" fillId="18" borderId="0" xfId="0" applyFont="1" applyFill="1"/>
    <xf numFmtId="180" fontId="3" fillId="0" borderId="0" xfId="0" applyNumberFormat="1" applyFont="1" applyBorder="1"/>
    <xf numFmtId="0" fontId="4" fillId="18" borderId="10" xfId="0" applyFont="1" applyFill="1" applyBorder="1"/>
    <xf numFmtId="0" fontId="3" fillId="0" borderId="0" xfId="0" applyFont="1" applyFill="1"/>
    <xf numFmtId="0" fontId="3" fillId="14" borderId="11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/>
    </xf>
    <xf numFmtId="181" fontId="3" fillId="0" borderId="0" xfId="0" applyNumberFormat="1" applyFont="1" applyAlignment="1">
      <alignment horizontal="center" vertical="center"/>
    </xf>
    <xf numFmtId="0" fontId="3" fillId="14" borderId="0" xfId="0" applyFont="1" applyFill="1" applyAlignment="1">
      <alignment horizontal="center"/>
    </xf>
    <xf numFmtId="181" fontId="4" fillId="0" borderId="0" xfId="0" applyNumberFormat="1" applyFont="1" applyAlignment="1">
      <alignment horizontal="center" vertical="center"/>
    </xf>
    <xf numFmtId="181" fontId="3" fillId="4" borderId="0" xfId="0" applyNumberFormat="1" applyFont="1" applyFill="1" applyAlignment="1">
      <alignment horizontal="center" vertical="center"/>
    </xf>
    <xf numFmtId="0" fontId="3" fillId="14" borderId="0" xfId="0" applyFont="1" applyFill="1" applyBorder="1" applyAlignment="1">
      <alignment horizontal="center"/>
    </xf>
    <xf numFmtId="181" fontId="3" fillId="4" borderId="0" xfId="0" applyNumberFormat="1" applyFont="1" applyFill="1" applyBorder="1" applyAlignment="1">
      <alignment horizontal="center" vertical="center"/>
    </xf>
    <xf numFmtId="181" fontId="3" fillId="0" borderId="0" xfId="0" applyNumberFormat="1" applyFont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3" fillId="9" borderId="12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/>
    </xf>
    <xf numFmtId="181" fontId="3" fillId="0" borderId="15" xfId="0" applyNumberFormat="1" applyFont="1" applyBorder="1" applyAlignment="1">
      <alignment horizontal="center"/>
    </xf>
    <xf numFmtId="181" fontId="3" fillId="0" borderId="0" xfId="0" applyNumberFormat="1" applyFont="1" applyAlignment="1">
      <alignment horizontal="center"/>
    </xf>
    <xf numFmtId="0" fontId="3" fillId="9" borderId="16" xfId="0" applyFont="1" applyFill="1" applyBorder="1" applyAlignment="1">
      <alignment horizontal="center"/>
    </xf>
    <xf numFmtId="181" fontId="3" fillId="0" borderId="17" xfId="0" applyNumberFormat="1" applyFont="1" applyBorder="1" applyAlignment="1">
      <alignment horizontal="center"/>
    </xf>
    <xf numFmtId="181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14" borderId="13" xfId="0" applyFont="1" applyFill="1" applyBorder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3" fillId="9" borderId="0" xfId="0" applyFont="1" applyFill="1"/>
    <xf numFmtId="182" fontId="3" fillId="0" borderId="15" xfId="0" applyNumberFormat="1" applyFont="1" applyBorder="1"/>
    <xf numFmtId="182" fontId="3" fillId="0" borderId="0" xfId="0" applyNumberFormat="1" applyFont="1"/>
    <xf numFmtId="182" fontId="3" fillId="0" borderId="17" xfId="0" applyNumberFormat="1" applyFont="1" applyBorder="1"/>
    <xf numFmtId="182" fontId="3" fillId="0" borderId="0" xfId="0" applyNumberFormat="1" applyFont="1" applyBorder="1"/>
    <xf numFmtId="0" fontId="3" fillId="0" borderId="17" xfId="0" applyFont="1" applyBorder="1"/>
    <xf numFmtId="0" fontId="2" fillId="0" borderId="0" xfId="0" applyFont="1" applyAlignment="1">
      <alignment horizontal="center"/>
    </xf>
    <xf numFmtId="0" fontId="3" fillId="18" borderId="18" xfId="0" applyFont="1" applyFill="1" applyBorder="1"/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181" fontId="0" fillId="0" borderId="0" xfId="0" applyNumberFormat="1"/>
    <xf numFmtId="181" fontId="3" fillId="0" borderId="0" xfId="0" applyNumberFormat="1" applyFont="1" applyFill="1" applyAlignment="1">
      <alignment horizontal="center" vertical="center"/>
    </xf>
    <xf numFmtId="181" fontId="3" fillId="0" borderId="0" xfId="0" applyNumberFormat="1" applyFont="1"/>
    <xf numFmtId="181" fontId="1" fillId="0" borderId="0" xfId="0" applyNumberFormat="1" applyFont="1"/>
    <xf numFmtId="181" fontId="0" fillId="0" borderId="0" xfId="0" applyNumberFormat="1" applyAlignment="1">
      <alignment horizontal="center" vertical="center"/>
    </xf>
    <xf numFmtId="49" fontId="4" fillId="18" borderId="13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14" xfId="0" applyFont="1" applyFill="1" applyBorder="1"/>
    <xf numFmtId="0" fontId="3" fillId="0" borderId="16" xfId="0" applyFont="1" applyFill="1" applyBorder="1"/>
    <xf numFmtId="0" fontId="4" fillId="0" borderId="16" xfId="0" applyFont="1" applyFill="1" applyBorder="1"/>
    <xf numFmtId="0" fontId="25" fillId="0" borderId="16" xfId="0" applyFont="1" applyBorder="1" applyAlignment="1">
      <alignment wrapText="1"/>
    </xf>
    <xf numFmtId="183" fontId="3" fillId="0" borderId="0" xfId="0" applyNumberFormat="1" applyFont="1" applyFill="1"/>
    <xf numFmtId="183" fontId="0" fillId="0" borderId="0" xfId="0" applyNumberFormat="1" applyFill="1"/>
    <xf numFmtId="183" fontId="3" fillId="0" borderId="0" xfId="0" applyNumberFormat="1" applyFont="1" applyFill="1" applyBorder="1"/>
    <xf numFmtId="0" fontId="27" fillId="0" borderId="10" xfId="0" applyFont="1" applyFill="1" applyBorder="1" applyAlignment="1">
      <alignment horizontal="right" wrapText="1"/>
    </xf>
    <xf numFmtId="184" fontId="3" fillId="0" borderId="0" xfId="0" applyNumberFormat="1" applyFont="1" applyFill="1"/>
    <xf numFmtId="184" fontId="0" fillId="0" borderId="0" xfId="0" applyNumberFormat="1" applyFill="1"/>
    <xf numFmtId="184" fontId="3" fillId="0" borderId="0" xfId="0" applyNumberFormat="1" applyFont="1" applyFill="1" applyBorder="1"/>
    <xf numFmtId="181" fontId="28" fillId="19" borderId="0" xfId="0" applyNumberFormat="1" applyFont="1" applyFill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3" fillId="9" borderId="20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14" borderId="20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/>
    </xf>
    <xf numFmtId="0" fontId="3" fillId="14" borderId="16" xfId="0" applyFont="1" applyFill="1" applyBorder="1" applyAlignment="1">
      <alignment horizontal="center"/>
    </xf>
    <xf numFmtId="0" fontId="3" fillId="14" borderId="23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19" xfId="0" applyFont="1" applyFill="1" applyBorder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3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3" fillId="14" borderId="10" xfId="0" applyFont="1" applyFill="1" applyBorder="1" applyAlignment="1">
      <alignment horizontal="center" vertical="center"/>
    </xf>
    <xf numFmtId="0" fontId="3" fillId="14" borderId="23" xfId="0" applyFont="1" applyFill="1" applyBorder="1" applyAlignment="1">
      <alignment horizontal="center" vertical="center"/>
    </xf>
    <xf numFmtId="0" fontId="4" fillId="14" borderId="20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8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</cellXfs>
  <cellStyles count="42">
    <cellStyle name="20% - 强调文字颜色 1" xfId="1"/>
    <cellStyle name="20% - 强调文字颜色 2" xfId="2"/>
    <cellStyle name="20% - 强调文字颜色 3" xfId="3"/>
    <cellStyle name="20% - 强调文字颜色 4" xfId="4"/>
    <cellStyle name="20% - 强调文字颜色 5" xfId="5"/>
    <cellStyle name="20% - 强调文字颜色 6" xfId="6"/>
    <cellStyle name="40% - 强调文字颜色 1" xfId="7"/>
    <cellStyle name="40% - 强调文字颜色 2" xfId="8"/>
    <cellStyle name="40% - 强调文字颜色 3" xfId="9"/>
    <cellStyle name="40% - 强调文字颜色 4" xfId="10"/>
    <cellStyle name="40% - 强调文字颜色 5" xfId="11"/>
    <cellStyle name="40% - 强调文字颜色 6" xfId="12"/>
    <cellStyle name="60% - 强调文字颜色 1" xfId="13"/>
    <cellStyle name="60% - 强调文字颜色 2" xfId="14"/>
    <cellStyle name="60% - 强调文字颜色 3" xfId="15"/>
    <cellStyle name="60% - 强调文字颜色 4" xfId="16"/>
    <cellStyle name="60% - 强调文字颜色 5" xfId="17"/>
    <cellStyle name="60% - 强调文字颜色 6" xfId="18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强调文字颜色 1" xfId="32"/>
    <cellStyle name="强调文字颜色 2" xfId="33"/>
    <cellStyle name="强调文字颜色 3" xfId="34"/>
    <cellStyle name="强调文字颜色 4" xfId="35"/>
    <cellStyle name="强调文字颜色 5" xfId="36"/>
    <cellStyle name="强调文字颜色 6" xfId="37"/>
    <cellStyle name="适中" xfId="38" builtinId="28" customBuiltin="1"/>
    <cellStyle name="输出" xfId="39" builtinId="21" customBuiltin="1"/>
    <cellStyle name="输入" xfId="40" builtinId="20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I10" sqref="I10:I11"/>
    </sheetView>
  </sheetViews>
  <sheetFormatPr defaultRowHeight="15" x14ac:dyDescent="0.3"/>
  <cols>
    <col min="1" max="1" width="26.35546875" customWidth="1"/>
    <col min="2" max="2" width="7.85546875" customWidth="1"/>
    <col min="5" max="5" width="9" style="54" customWidth="1"/>
  </cols>
  <sheetData>
    <row r="1" spans="1:7" s="1" customFormat="1" ht="35.15" customHeight="1" x14ac:dyDescent="0.5">
      <c r="A1" s="74" t="s">
        <v>0</v>
      </c>
      <c r="B1" s="74"/>
      <c r="C1" s="74"/>
      <c r="D1" s="74"/>
      <c r="E1" s="57"/>
    </row>
    <row r="2" spans="1:7" s="1" customFormat="1" ht="15" customHeight="1" x14ac:dyDescent="0.5">
      <c r="A2" s="49"/>
      <c r="B2" s="49"/>
      <c r="E2" s="57"/>
    </row>
    <row r="3" spans="1:7" x14ac:dyDescent="0.3">
      <c r="A3" s="50"/>
      <c r="B3" s="59" t="s">
        <v>1</v>
      </c>
      <c r="C3" s="60" t="s">
        <v>87</v>
      </c>
      <c r="D3" s="61" t="s">
        <v>88</v>
      </c>
      <c r="E3" s="61" t="s">
        <v>89</v>
      </c>
      <c r="F3" s="21" t="s">
        <v>91</v>
      </c>
      <c r="G3" t="s">
        <v>97</v>
      </c>
    </row>
    <row r="4" spans="1:7" x14ac:dyDescent="0.3">
      <c r="A4" s="4" t="s">
        <v>2</v>
      </c>
      <c r="B4" s="55">
        <v>100</v>
      </c>
      <c r="C4" s="12">
        <v>100</v>
      </c>
      <c r="D4" s="12">
        <f>D5+D6+D7</f>
        <v>100</v>
      </c>
      <c r="E4" s="12">
        <v>100</v>
      </c>
      <c r="F4" s="12">
        <v>100</v>
      </c>
      <c r="G4" s="56">
        <v>100</v>
      </c>
    </row>
    <row r="5" spans="1:7" x14ac:dyDescent="0.3">
      <c r="A5" s="6" t="s">
        <v>3</v>
      </c>
      <c r="B5" s="54">
        <v>10.316279127992035</v>
      </c>
      <c r="C5" s="12">
        <v>9.9459391949049838</v>
      </c>
      <c r="D5" s="12">
        <v>10.139632981343642</v>
      </c>
      <c r="E5" s="12">
        <v>10.5</v>
      </c>
      <c r="F5" s="12">
        <v>10.5</v>
      </c>
      <c r="G5" s="56">
        <v>11</v>
      </c>
    </row>
    <row r="6" spans="1:7" x14ac:dyDescent="0.3">
      <c r="A6" s="6" t="s">
        <v>4</v>
      </c>
      <c r="B6" s="54">
        <v>66.459468010097581</v>
      </c>
      <c r="C6" s="12">
        <v>67.027802965703927</v>
      </c>
      <c r="D6" s="12">
        <v>65.392686200497039</v>
      </c>
      <c r="E6" s="12">
        <v>62.6</v>
      </c>
      <c r="F6" s="12">
        <v>61.2</v>
      </c>
      <c r="G6" s="56">
        <v>58.7</v>
      </c>
    </row>
    <row r="7" spans="1:7" x14ac:dyDescent="0.3">
      <c r="A7" s="6" t="s">
        <v>5</v>
      </c>
      <c r="B7" s="54">
        <v>23.224252861910387</v>
      </c>
      <c r="C7" s="12">
        <v>23.02</v>
      </c>
      <c r="D7" s="12">
        <v>24.46768081815932</v>
      </c>
      <c r="E7" s="12">
        <v>26.9</v>
      </c>
      <c r="F7" s="12">
        <v>28.3</v>
      </c>
      <c r="G7" s="56">
        <v>30.3</v>
      </c>
    </row>
    <row r="8" spans="1:7" x14ac:dyDescent="0.3">
      <c r="A8" s="4" t="s">
        <v>6</v>
      </c>
      <c r="B8" s="54"/>
      <c r="C8" s="12"/>
      <c r="D8" s="12"/>
      <c r="E8" s="12"/>
      <c r="F8" s="12"/>
      <c r="G8" s="56"/>
    </row>
    <row r="9" spans="1:7" x14ac:dyDescent="0.3">
      <c r="A9" s="6" t="s">
        <v>7</v>
      </c>
      <c r="B9" s="56">
        <v>31.85</v>
      </c>
      <c r="C9" s="12">
        <v>29.33</v>
      </c>
      <c r="D9" s="12">
        <f>D10+D13</f>
        <v>34.4</v>
      </c>
      <c r="E9" s="12">
        <v>37</v>
      </c>
      <c r="F9" s="12">
        <v>37.5</v>
      </c>
      <c r="G9" s="73"/>
    </row>
    <row r="10" spans="1:7" x14ac:dyDescent="0.3">
      <c r="A10" s="6" t="s">
        <v>8</v>
      </c>
      <c r="B10" s="56">
        <v>13.7</v>
      </c>
      <c r="C10" s="12">
        <v>12.33</v>
      </c>
      <c r="D10" s="12">
        <v>18.399999999999999</v>
      </c>
      <c r="E10" s="12">
        <v>20.2</v>
      </c>
      <c r="F10" s="12">
        <v>21</v>
      </c>
      <c r="G10" s="73"/>
    </row>
    <row r="11" spans="1:7" x14ac:dyDescent="0.3">
      <c r="A11" s="6" t="s">
        <v>9</v>
      </c>
      <c r="B11" s="56">
        <v>3.07</v>
      </c>
      <c r="C11" s="12">
        <v>2.76</v>
      </c>
      <c r="D11" s="12">
        <v>3.4</v>
      </c>
      <c r="E11" s="12">
        <v>4.0999999999999996</v>
      </c>
      <c r="F11" s="12">
        <v>4.2</v>
      </c>
      <c r="G11" s="73"/>
    </row>
    <row r="12" spans="1:7" x14ac:dyDescent="0.3">
      <c r="A12" s="6" t="s">
        <v>10</v>
      </c>
      <c r="B12" s="56">
        <v>10.63</v>
      </c>
      <c r="C12" s="12">
        <v>9.57</v>
      </c>
      <c r="D12" s="12">
        <v>15</v>
      </c>
      <c r="E12" s="12">
        <v>16.100000000000001</v>
      </c>
      <c r="F12" s="12">
        <v>16.8</v>
      </c>
      <c r="G12" s="73"/>
    </row>
    <row r="13" spans="1:7" x14ac:dyDescent="0.3">
      <c r="A13" s="6" t="s">
        <v>11</v>
      </c>
      <c r="B13" s="55">
        <v>18.149999999999999</v>
      </c>
      <c r="C13" s="12">
        <v>17</v>
      </c>
      <c r="D13" s="12">
        <v>16</v>
      </c>
      <c r="E13" s="12">
        <v>16.8</v>
      </c>
      <c r="F13" s="12">
        <v>16.5</v>
      </c>
      <c r="G13" s="73"/>
    </row>
    <row r="14" spans="1:7" x14ac:dyDescent="0.3">
      <c r="A14" s="6" t="s">
        <v>12</v>
      </c>
      <c r="B14" s="56">
        <v>101.52</v>
      </c>
      <c r="C14" s="12">
        <v>86.29</v>
      </c>
      <c r="D14" s="12">
        <v>83.23</v>
      </c>
      <c r="E14" s="12">
        <f>E15+E16</f>
        <v>72.599999999999994</v>
      </c>
      <c r="F14" s="12">
        <v>70.400000000000006</v>
      </c>
      <c r="G14" s="73"/>
    </row>
    <row r="15" spans="1:7" x14ac:dyDescent="0.3">
      <c r="A15" s="6" t="s">
        <v>13</v>
      </c>
      <c r="B15" s="56">
        <v>99.39</v>
      </c>
      <c r="C15" s="12">
        <v>84.29</v>
      </c>
      <c r="D15" s="12">
        <v>80.73</v>
      </c>
      <c r="E15" s="12">
        <v>69.8</v>
      </c>
      <c r="F15" s="12">
        <v>68.400000000000006</v>
      </c>
      <c r="G15" s="73"/>
    </row>
    <row r="16" spans="1:7" x14ac:dyDescent="0.3">
      <c r="A16" s="6" t="s">
        <v>14</v>
      </c>
      <c r="B16" s="56">
        <v>2.13</v>
      </c>
      <c r="C16" s="12">
        <v>2</v>
      </c>
      <c r="D16" s="12">
        <v>2.5</v>
      </c>
      <c r="E16" s="12">
        <v>2.8</v>
      </c>
      <c r="F16" s="12">
        <v>2</v>
      </c>
      <c r="G16" s="73"/>
    </row>
    <row r="17" spans="1:7" x14ac:dyDescent="0.3">
      <c r="A17" s="6" t="s">
        <v>92</v>
      </c>
      <c r="B17" s="56">
        <v>-33.369999999999997</v>
      </c>
      <c r="C17" s="12">
        <v>-15.62</v>
      </c>
      <c r="D17" s="12">
        <v>-17.63</v>
      </c>
      <c r="E17" s="12">
        <f>100-E9-E14</f>
        <v>-9.5999999999999943</v>
      </c>
      <c r="F17" s="12">
        <v>-7.9</v>
      </c>
      <c r="G17" s="73"/>
    </row>
    <row r="18" spans="1:7" x14ac:dyDescent="0.3">
      <c r="A18" s="4" t="s">
        <v>15</v>
      </c>
      <c r="B18" s="55">
        <v>100</v>
      </c>
      <c r="C18" s="12">
        <v>100</v>
      </c>
      <c r="D18" s="12">
        <v>100</v>
      </c>
      <c r="E18" s="12">
        <v>100</v>
      </c>
      <c r="F18" s="12">
        <v>100</v>
      </c>
      <c r="G18" s="56">
        <v>100</v>
      </c>
    </row>
    <row r="19" spans="1:7" x14ac:dyDescent="0.3">
      <c r="A19" s="6" t="s">
        <v>16</v>
      </c>
      <c r="B19" s="55">
        <v>2.86</v>
      </c>
      <c r="C19" s="12">
        <v>5.92529263163292</v>
      </c>
      <c r="D19" s="12">
        <v>3.43</v>
      </c>
      <c r="E19" s="12">
        <v>4.7479840757349647</v>
      </c>
      <c r="F19" s="12">
        <v>6.2</v>
      </c>
      <c r="G19" s="56">
        <v>8.25</v>
      </c>
    </row>
    <row r="20" spans="1:7" x14ac:dyDescent="0.3">
      <c r="A20" s="6" t="s">
        <v>17</v>
      </c>
      <c r="B20" s="55">
        <v>23.89</v>
      </c>
      <c r="C20" s="12">
        <v>15.002856585146763</v>
      </c>
      <c r="D20" s="12">
        <v>13.21</v>
      </c>
      <c r="E20" s="12">
        <v>12.364902670830901</v>
      </c>
      <c r="F20" s="12">
        <v>12.3</v>
      </c>
      <c r="G20" s="56">
        <v>10.61</v>
      </c>
    </row>
    <row r="21" spans="1:7" x14ac:dyDescent="0.3">
      <c r="A21" s="6" t="s">
        <v>18</v>
      </c>
      <c r="B21" s="54"/>
      <c r="C21" s="12"/>
      <c r="D21" s="12"/>
      <c r="E21" s="12"/>
      <c r="F21" s="12"/>
      <c r="G21" s="56"/>
    </row>
    <row r="22" spans="1:7" x14ac:dyDescent="0.3">
      <c r="A22" s="6" t="s">
        <v>19</v>
      </c>
      <c r="B22" s="55">
        <v>0.19</v>
      </c>
      <c r="C22" s="12">
        <v>1.0400858160041136E-2</v>
      </c>
      <c r="D22" s="12"/>
      <c r="E22" s="12"/>
      <c r="F22" s="12"/>
      <c r="G22" s="56">
        <v>0.06</v>
      </c>
    </row>
    <row r="23" spans="1:7" x14ac:dyDescent="0.3">
      <c r="A23" s="6" t="s">
        <v>20</v>
      </c>
      <c r="B23" s="55">
        <v>58.52</v>
      </c>
      <c r="C23" s="12">
        <v>64.285676038743105</v>
      </c>
      <c r="D23" s="12">
        <v>73.150000000000006</v>
      </c>
      <c r="E23" s="12">
        <v>78.864497863583253</v>
      </c>
      <c r="F23" s="12">
        <v>75.2</v>
      </c>
      <c r="G23" s="56">
        <v>76.97</v>
      </c>
    </row>
    <row r="24" spans="1:7" x14ac:dyDescent="0.3">
      <c r="A24" s="6" t="s">
        <v>21</v>
      </c>
      <c r="B24" s="55">
        <v>14.52</v>
      </c>
      <c r="C24" s="12">
        <v>14.775773886317159</v>
      </c>
      <c r="D24" s="12">
        <v>10.210000000000001</v>
      </c>
      <c r="E24" s="12">
        <v>4.0226153898508796</v>
      </c>
      <c r="F24" s="12">
        <v>6.3</v>
      </c>
      <c r="G24" s="56">
        <v>4.13</v>
      </c>
    </row>
    <row r="25" spans="1:7" x14ac:dyDescent="0.3">
      <c r="A25" s="4" t="s">
        <v>63</v>
      </c>
      <c r="B25" s="55">
        <v>100</v>
      </c>
      <c r="C25" s="55">
        <v>100</v>
      </c>
      <c r="D25" s="12">
        <v>100</v>
      </c>
      <c r="E25" s="12">
        <v>100</v>
      </c>
      <c r="F25" s="12">
        <v>100</v>
      </c>
      <c r="G25" s="56">
        <v>100</v>
      </c>
    </row>
    <row r="26" spans="1:7" x14ac:dyDescent="0.3">
      <c r="A26" s="6" t="s">
        <v>22</v>
      </c>
      <c r="B26" s="54">
        <v>26.073828083438116</v>
      </c>
      <c r="C26" s="12">
        <v>23.882278401503132</v>
      </c>
      <c r="D26" s="12">
        <v>22.111463931245066</v>
      </c>
      <c r="E26" s="12">
        <v>21.7</v>
      </c>
      <c r="F26" s="12">
        <v>27.081818566169467</v>
      </c>
      <c r="G26" s="56">
        <v>29.2</v>
      </c>
    </row>
    <row r="27" spans="1:7" x14ac:dyDescent="0.3">
      <c r="A27" s="6" t="s">
        <v>23</v>
      </c>
      <c r="B27" s="54">
        <v>1.391101208204639</v>
      </c>
      <c r="C27" s="12">
        <v>1.1961007075967656</v>
      </c>
      <c r="D27" s="12">
        <v>1.2078631531464334</v>
      </c>
      <c r="E27" s="12">
        <v>1.3</v>
      </c>
      <c r="F27" s="12">
        <v>1.2589117895296162</v>
      </c>
      <c r="G27" s="56">
        <v>1.2</v>
      </c>
    </row>
    <row r="28" spans="1:7" x14ac:dyDescent="0.3">
      <c r="A28" s="6" t="s">
        <v>24</v>
      </c>
      <c r="B28" s="54">
        <v>70.771885651977726</v>
      </c>
      <c r="C28" s="12">
        <v>73.220971737094075</v>
      </c>
      <c r="D28" s="12">
        <v>75.060089531068897</v>
      </c>
      <c r="E28" s="12">
        <v>75.400000000000006</v>
      </c>
      <c r="F28" s="12">
        <v>70.024025751346258</v>
      </c>
      <c r="G28" s="56">
        <v>68</v>
      </c>
    </row>
    <row r="29" spans="1:7" x14ac:dyDescent="0.3">
      <c r="A29" s="6" t="s">
        <v>25</v>
      </c>
      <c r="B29" s="54">
        <v>0.11509669442604262</v>
      </c>
      <c r="C29" s="12">
        <v>0.11415493938591198</v>
      </c>
      <c r="D29" s="12">
        <v>0.12248956043110358</v>
      </c>
      <c r="E29" s="12">
        <v>0.2</v>
      </c>
      <c r="F29" s="12">
        <v>0.1582056318281963</v>
      </c>
      <c r="G29" s="56">
        <v>0.2</v>
      </c>
    </row>
    <row r="30" spans="1:7" x14ac:dyDescent="0.3">
      <c r="A30" s="8" t="s">
        <v>26</v>
      </c>
      <c r="B30" s="54">
        <v>1.6480883619534752</v>
      </c>
      <c r="C30" s="12">
        <v>1.5864942144201175</v>
      </c>
      <c r="D30" s="12">
        <v>1.4980938241085076</v>
      </c>
      <c r="E30" s="12">
        <v>1.4</v>
      </c>
      <c r="F30" s="12">
        <v>1.4770382611264596</v>
      </c>
      <c r="G30" s="56">
        <v>1.4</v>
      </c>
    </row>
    <row r="31" spans="1:7" x14ac:dyDescent="0.3">
      <c r="A31" s="3"/>
      <c r="B31" s="20"/>
      <c r="C31" s="20"/>
      <c r="D31" s="20"/>
      <c r="E31" s="12"/>
      <c r="F31" s="20"/>
      <c r="G31" s="3"/>
    </row>
    <row r="32" spans="1:7" x14ac:dyDescent="0.3">
      <c r="A32" s="3"/>
      <c r="B32" s="20"/>
      <c r="C32" s="20"/>
      <c r="D32" s="20"/>
      <c r="E32" s="12"/>
      <c r="F32" s="20"/>
      <c r="G32" s="3"/>
    </row>
    <row r="33" spans="1:6" x14ac:dyDescent="0.3">
      <c r="A33" s="3"/>
      <c r="B33" s="20"/>
      <c r="C33" s="20"/>
      <c r="D33" s="20"/>
      <c r="E33" s="12"/>
      <c r="F33" s="20"/>
    </row>
    <row r="34" spans="1:6" x14ac:dyDescent="0.3">
      <c r="A34" s="3"/>
      <c r="B34" s="20"/>
      <c r="C34" s="20"/>
      <c r="D34" s="20"/>
      <c r="E34" s="12"/>
      <c r="F34" s="20"/>
    </row>
    <row r="35" spans="1:6" x14ac:dyDescent="0.3">
      <c r="A35" s="3"/>
      <c r="B35" s="20"/>
      <c r="C35" s="20"/>
      <c r="D35" s="20"/>
      <c r="E35" s="12"/>
      <c r="F35" s="20"/>
    </row>
    <row r="36" spans="1:6" x14ac:dyDescent="0.3">
      <c r="A36" s="3"/>
      <c r="B36" s="20"/>
      <c r="C36" s="20"/>
      <c r="D36" s="20"/>
      <c r="E36" s="12"/>
      <c r="F36" s="20"/>
    </row>
    <row r="37" spans="1:6" x14ac:dyDescent="0.3">
      <c r="A37" s="3"/>
      <c r="B37" s="20"/>
      <c r="C37" s="20"/>
      <c r="D37" s="20"/>
      <c r="E37" s="12"/>
      <c r="F37" s="20"/>
    </row>
    <row r="38" spans="1:6" x14ac:dyDescent="0.3">
      <c r="A38" s="3"/>
      <c r="B38" s="20"/>
      <c r="C38" s="20"/>
      <c r="D38" s="20"/>
      <c r="E38" s="12"/>
      <c r="F38" s="20"/>
    </row>
    <row r="39" spans="1:6" x14ac:dyDescent="0.3">
      <c r="A39" s="3"/>
      <c r="B39" s="20"/>
      <c r="C39" s="20"/>
      <c r="D39" s="20"/>
      <c r="E39" s="12"/>
      <c r="F39" s="20"/>
    </row>
    <row r="40" spans="1:6" x14ac:dyDescent="0.3">
      <c r="A40" s="3"/>
      <c r="B40" s="20"/>
      <c r="C40" s="20"/>
      <c r="D40" s="20"/>
      <c r="E40" s="12"/>
      <c r="F40" s="20"/>
    </row>
    <row r="41" spans="1:6" x14ac:dyDescent="0.3">
      <c r="A41" s="3"/>
      <c r="B41" s="20"/>
      <c r="C41" s="20"/>
      <c r="D41" s="20"/>
      <c r="E41" s="12"/>
      <c r="F41" s="20"/>
    </row>
    <row r="42" spans="1:6" x14ac:dyDescent="0.3">
      <c r="A42" s="3"/>
      <c r="B42" s="20"/>
      <c r="C42" s="20"/>
      <c r="D42" s="20"/>
      <c r="E42" s="12"/>
      <c r="F42" s="20"/>
    </row>
    <row r="43" spans="1:6" x14ac:dyDescent="0.3">
      <c r="A43" s="3"/>
      <c r="B43" s="20"/>
      <c r="C43" s="20"/>
      <c r="D43" s="20"/>
      <c r="E43" s="12"/>
      <c r="F43" s="20"/>
    </row>
    <row r="44" spans="1:6" x14ac:dyDescent="0.3">
      <c r="A44" s="3"/>
      <c r="B44" s="20"/>
      <c r="C44" s="20"/>
      <c r="D44" s="20"/>
      <c r="E44" s="12"/>
      <c r="F44" s="20"/>
    </row>
    <row r="45" spans="1:6" x14ac:dyDescent="0.3">
      <c r="B45" s="21"/>
      <c r="C45" s="21"/>
      <c r="D45" s="21"/>
      <c r="E45" s="58"/>
      <c r="F45" s="21"/>
    </row>
    <row r="46" spans="1:6" x14ac:dyDescent="0.3">
      <c r="B46" s="21"/>
      <c r="C46" s="21"/>
      <c r="D46" s="21"/>
      <c r="E46" s="58"/>
      <c r="F46" s="21"/>
    </row>
    <row r="47" spans="1:6" x14ac:dyDescent="0.3">
      <c r="B47" s="21"/>
      <c r="C47" s="21"/>
      <c r="D47" s="21"/>
      <c r="E47" s="58"/>
      <c r="F47" s="21"/>
    </row>
    <row r="48" spans="1:6" x14ac:dyDescent="0.3">
      <c r="B48" s="21"/>
      <c r="C48" s="21"/>
      <c r="D48" s="21"/>
      <c r="E48" s="58"/>
      <c r="F48" s="21"/>
    </row>
    <row r="49" spans="2:6" x14ac:dyDescent="0.3">
      <c r="B49" s="21"/>
      <c r="C49" s="21"/>
      <c r="D49" s="21"/>
      <c r="E49" s="58"/>
      <c r="F49" s="21"/>
    </row>
    <row r="50" spans="2:6" x14ac:dyDescent="0.3">
      <c r="B50" s="21"/>
      <c r="C50" s="21"/>
      <c r="D50" s="21"/>
      <c r="E50" s="58"/>
      <c r="F50" s="21"/>
    </row>
    <row r="51" spans="2:6" x14ac:dyDescent="0.3">
      <c r="B51" s="21"/>
      <c r="C51" s="21"/>
      <c r="D51" s="21"/>
      <c r="E51" s="58"/>
      <c r="F51" s="21"/>
    </row>
    <row r="52" spans="2:6" x14ac:dyDescent="0.3">
      <c r="B52" s="21"/>
      <c r="C52" s="21"/>
      <c r="D52" s="21"/>
      <c r="E52" s="58"/>
      <c r="F52" s="21"/>
    </row>
  </sheetData>
  <mergeCells count="1">
    <mergeCell ref="A1:D1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activeCell="K35" sqref="K35"/>
    </sheetView>
  </sheetViews>
  <sheetFormatPr defaultColWidth="8.7109375" defaultRowHeight="15" x14ac:dyDescent="0.3"/>
  <cols>
    <col min="7" max="7" width="7.35546875" customWidth="1"/>
    <col min="8" max="8" width="7.7109375" customWidth="1"/>
  </cols>
  <sheetData>
    <row r="1" spans="1:8" ht="20.6" x14ac:dyDescent="0.45">
      <c r="A1" s="75" t="s">
        <v>27</v>
      </c>
      <c r="B1" s="76"/>
      <c r="C1" s="76"/>
      <c r="D1" s="76"/>
      <c r="E1" s="76"/>
      <c r="F1" s="76"/>
      <c r="G1" s="76"/>
      <c r="H1" s="76"/>
    </row>
    <row r="2" spans="1:8" x14ac:dyDescent="0.3">
      <c r="A2" s="77" t="s">
        <v>28</v>
      </c>
      <c r="B2" s="77"/>
      <c r="C2" s="77"/>
      <c r="D2" s="77"/>
      <c r="E2" s="77"/>
      <c r="F2" s="77"/>
      <c r="G2" s="77"/>
      <c r="H2" s="77"/>
    </row>
    <row r="3" spans="1:8" x14ac:dyDescent="0.3">
      <c r="A3" s="42"/>
      <c r="B3" s="42"/>
      <c r="C3" s="22"/>
      <c r="D3" s="22"/>
      <c r="E3" s="22"/>
      <c r="F3" s="22"/>
      <c r="G3" s="22"/>
      <c r="H3" s="42"/>
    </row>
    <row r="4" spans="1:8" x14ac:dyDescent="0.3">
      <c r="A4" s="23"/>
      <c r="B4" s="80" t="s">
        <v>29</v>
      </c>
      <c r="C4" s="78"/>
      <c r="D4" s="78"/>
      <c r="E4" s="78"/>
      <c r="F4" s="78"/>
      <c r="G4" s="79"/>
      <c r="H4" s="80" t="s">
        <v>30</v>
      </c>
    </row>
    <row r="5" spans="1:8" x14ac:dyDescent="0.3">
      <c r="A5" s="24" t="s">
        <v>31</v>
      </c>
      <c r="B5" s="81"/>
      <c r="C5" s="80" t="s">
        <v>32</v>
      </c>
      <c r="D5" s="80" t="s">
        <v>33</v>
      </c>
      <c r="E5" s="78"/>
      <c r="F5" s="78"/>
      <c r="G5" s="83" t="s">
        <v>34</v>
      </c>
      <c r="H5" s="81"/>
    </row>
    <row r="6" spans="1:8" x14ac:dyDescent="0.3">
      <c r="A6" s="25"/>
      <c r="B6" s="82"/>
      <c r="C6" s="82"/>
      <c r="D6" s="82"/>
      <c r="E6" s="26" t="s">
        <v>35</v>
      </c>
      <c r="F6" s="27" t="s">
        <v>36</v>
      </c>
      <c r="G6" s="84"/>
      <c r="H6" s="82"/>
    </row>
    <row r="7" spans="1:8" x14ac:dyDescent="0.3">
      <c r="A7" s="43">
        <v>1949</v>
      </c>
      <c r="B7" s="44">
        <v>2116.6666666666665</v>
      </c>
      <c r="C7" s="45">
        <v>1900</v>
      </c>
      <c r="D7" s="45">
        <v>98</v>
      </c>
      <c r="E7" s="45">
        <v>90</v>
      </c>
      <c r="F7" s="45">
        <v>8</v>
      </c>
      <c r="G7" s="45">
        <v>118.66666666666667</v>
      </c>
      <c r="H7" s="5">
        <v>103.12677122259629</v>
      </c>
    </row>
    <row r="8" spans="1:8" x14ac:dyDescent="0.3">
      <c r="A8" s="43">
        <v>1950</v>
      </c>
      <c r="B8" s="46">
        <v>2440.939393939394</v>
      </c>
      <c r="C8" s="45">
        <v>2190</v>
      </c>
      <c r="D8" s="45">
        <v>107</v>
      </c>
      <c r="E8" s="45">
        <v>95</v>
      </c>
      <c r="F8" s="45">
        <v>12</v>
      </c>
      <c r="G8" s="45">
        <v>143.93939393939394</v>
      </c>
      <c r="H8" s="5">
        <v>113.08760425024411</v>
      </c>
    </row>
    <row r="9" spans="1:8" x14ac:dyDescent="0.3">
      <c r="A9" s="43">
        <v>1951</v>
      </c>
      <c r="B9" s="46">
        <v>2570.08</v>
      </c>
      <c r="C9" s="45">
        <v>2260</v>
      </c>
      <c r="D9" s="45">
        <v>128.08000000000001</v>
      </c>
      <c r="E9" s="45">
        <v>110.08</v>
      </c>
      <c r="F9" s="45">
        <v>18</v>
      </c>
      <c r="G9" s="45">
        <v>182</v>
      </c>
      <c r="H9" s="5">
        <v>116.33111239860951</v>
      </c>
    </row>
    <row r="10" spans="1:8" x14ac:dyDescent="0.3">
      <c r="A10" s="43">
        <v>1952</v>
      </c>
      <c r="B10" s="46">
        <v>2920.4724137931034</v>
      </c>
      <c r="C10" s="45">
        <v>2560</v>
      </c>
      <c r="D10" s="45">
        <v>117.8</v>
      </c>
      <c r="E10" s="45">
        <v>94.4</v>
      </c>
      <c r="F10" s="45">
        <v>23.4</v>
      </c>
      <c r="G10" s="45">
        <v>242.67241379310346</v>
      </c>
      <c r="H10" s="5">
        <v>128.66537495453841</v>
      </c>
    </row>
    <row r="11" spans="1:8" x14ac:dyDescent="0.3">
      <c r="A11" s="43">
        <v>1953</v>
      </c>
      <c r="B11" s="46">
        <v>2978.8282758620685</v>
      </c>
      <c r="C11" s="45">
        <v>2482.1999999999998</v>
      </c>
      <c r="D11" s="45">
        <v>150.68</v>
      </c>
      <c r="E11" s="45">
        <v>102.08</v>
      </c>
      <c r="F11" s="45">
        <v>48.6</v>
      </c>
      <c r="G11" s="45">
        <v>345.94827586206901</v>
      </c>
      <c r="H11" s="5">
        <v>121.73040721606118</v>
      </c>
    </row>
    <row r="12" spans="1:8" x14ac:dyDescent="0.3">
      <c r="A12" s="43">
        <v>1954</v>
      </c>
      <c r="B12" s="46">
        <v>4859.0931034482765</v>
      </c>
      <c r="C12" s="45">
        <v>4092.9</v>
      </c>
      <c r="D12" s="45">
        <v>232.4</v>
      </c>
      <c r="E12" s="45">
        <v>176</v>
      </c>
      <c r="F12" s="45">
        <v>56.4</v>
      </c>
      <c r="G12" s="45">
        <v>533.79310344827593</v>
      </c>
      <c r="H12" s="5">
        <v>190.49962965010826</v>
      </c>
    </row>
    <row r="13" spans="1:8" x14ac:dyDescent="0.3">
      <c r="A13" s="43">
        <v>1955</v>
      </c>
      <c r="B13" s="46">
        <v>4998.8255172413792</v>
      </c>
      <c r="C13" s="45">
        <v>3924.9</v>
      </c>
      <c r="D13" s="45">
        <v>359.96</v>
      </c>
      <c r="E13" s="45">
        <v>248.96</v>
      </c>
      <c r="F13" s="45">
        <v>111</v>
      </c>
      <c r="G13" s="45">
        <v>713.96551724137942</v>
      </c>
      <c r="H13" s="5">
        <v>183.03006122847077</v>
      </c>
    </row>
    <row r="14" spans="1:8" x14ac:dyDescent="0.3">
      <c r="A14" s="43">
        <v>1956</v>
      </c>
      <c r="B14" s="46">
        <v>6067.0236363636368</v>
      </c>
      <c r="C14" s="45">
        <v>4570.3</v>
      </c>
      <c r="D14" s="45">
        <v>496.76</v>
      </c>
      <c r="E14" s="45">
        <v>344.96</v>
      </c>
      <c r="F14" s="45">
        <v>151.80000000000001</v>
      </c>
      <c r="G14" s="45">
        <v>999.96363636363628</v>
      </c>
      <c r="H14" s="5">
        <v>210.20145710803962</v>
      </c>
    </row>
    <row r="15" spans="1:8" x14ac:dyDescent="0.3">
      <c r="A15" s="43">
        <v>1957</v>
      </c>
      <c r="B15" s="46">
        <v>5775.630909090909</v>
      </c>
      <c r="C15" s="45">
        <v>3984.4</v>
      </c>
      <c r="D15" s="45">
        <v>690.94</v>
      </c>
      <c r="E15" s="45">
        <v>523.84</v>
      </c>
      <c r="F15" s="45">
        <v>167.1</v>
      </c>
      <c r="G15" s="45">
        <v>1100.2909090909091</v>
      </c>
      <c r="H15" s="5">
        <v>182.08110658828028</v>
      </c>
    </row>
    <row r="16" spans="1:8" x14ac:dyDescent="0.3">
      <c r="A16" s="43">
        <v>1958</v>
      </c>
      <c r="B16" s="46">
        <v>8126.6218181818185</v>
      </c>
      <c r="C16" s="45">
        <v>5252.8</v>
      </c>
      <c r="D16" s="45">
        <v>1546.04</v>
      </c>
      <c r="E16" s="45">
        <v>1226.24</v>
      </c>
      <c r="F16" s="45">
        <v>319.8</v>
      </c>
      <c r="G16" s="45">
        <v>1327.7818181818179</v>
      </c>
      <c r="H16" s="5">
        <v>243.22173259573748</v>
      </c>
    </row>
    <row r="17" spans="1:8" x14ac:dyDescent="0.3">
      <c r="A17" s="43">
        <v>1959</v>
      </c>
      <c r="B17" s="46">
        <v>10782.372727272726</v>
      </c>
      <c r="C17" s="45">
        <v>6706.7</v>
      </c>
      <c r="D17" s="45">
        <v>2086.4</v>
      </c>
      <c r="E17" s="45">
        <v>1707.2</v>
      </c>
      <c r="F17" s="45">
        <v>379.2</v>
      </c>
      <c r="G17" s="45">
        <v>1989.272727272727</v>
      </c>
      <c r="H17" s="5">
        <v>278.10765213945461</v>
      </c>
    </row>
    <row r="18" spans="1:8" x14ac:dyDescent="0.3">
      <c r="A18" s="43">
        <v>1960</v>
      </c>
      <c r="B18" s="46">
        <v>12791.2</v>
      </c>
      <c r="C18" s="45">
        <v>7235.9</v>
      </c>
      <c r="D18" s="45">
        <v>2925.34</v>
      </c>
      <c r="E18" s="45">
        <v>2328.64</v>
      </c>
      <c r="F18" s="45">
        <v>596.70000000000005</v>
      </c>
      <c r="G18" s="45">
        <v>2629.96</v>
      </c>
      <c r="H18" s="5">
        <v>254.07646209371941</v>
      </c>
    </row>
    <row r="19" spans="1:8" x14ac:dyDescent="0.3">
      <c r="A19" s="43">
        <v>1961</v>
      </c>
      <c r="B19" s="46">
        <v>9994.74</v>
      </c>
      <c r="C19" s="45">
        <v>6185.28</v>
      </c>
      <c r="D19" s="45">
        <v>1692.18</v>
      </c>
      <c r="E19" s="45">
        <v>1519.2</v>
      </c>
      <c r="F19" s="45">
        <v>172.98</v>
      </c>
      <c r="G19" s="45">
        <v>2117.2800000000002</v>
      </c>
      <c r="H19" s="5">
        <v>221.18471340398742</v>
      </c>
    </row>
    <row r="20" spans="1:8" x14ac:dyDescent="0.3">
      <c r="A20" s="43">
        <v>1962</v>
      </c>
      <c r="B20" s="46">
        <v>10026.19</v>
      </c>
      <c r="C20" s="45">
        <v>6969.32</v>
      </c>
      <c r="D20" s="45">
        <v>1115.1500000000001</v>
      </c>
      <c r="E20" s="45">
        <v>1046.6400000000001</v>
      </c>
      <c r="F20" s="45">
        <v>68.510000000000005</v>
      </c>
      <c r="G20" s="45">
        <v>1941.72</v>
      </c>
      <c r="H20" s="5">
        <v>234.2129975705476</v>
      </c>
    </row>
    <row r="21" spans="1:8" x14ac:dyDescent="0.3">
      <c r="A21" s="43">
        <v>1963</v>
      </c>
      <c r="B21" s="46">
        <v>10924.43</v>
      </c>
      <c r="C21" s="45">
        <v>7514</v>
      </c>
      <c r="D21" s="45">
        <v>1330.11</v>
      </c>
      <c r="E21" s="45">
        <v>1125.2</v>
      </c>
      <c r="F21" s="45">
        <v>204.91</v>
      </c>
      <c r="G21" s="45">
        <v>2080.3200000000002</v>
      </c>
      <c r="H21" s="5">
        <v>245.6683652587692</v>
      </c>
    </row>
    <row r="22" spans="1:8" x14ac:dyDescent="0.3">
      <c r="A22" s="43">
        <v>1964</v>
      </c>
      <c r="B22" s="46">
        <v>13242.99</v>
      </c>
      <c r="C22" s="45">
        <v>9670.2800000000007</v>
      </c>
      <c r="D22" s="45">
        <v>1363.99</v>
      </c>
      <c r="E22" s="45">
        <v>1076</v>
      </c>
      <c r="F22" s="45">
        <v>287.99</v>
      </c>
      <c r="G22" s="45">
        <v>2208.7199999999998</v>
      </c>
      <c r="H22" s="5">
        <v>284.37778488800319</v>
      </c>
    </row>
    <row r="23" spans="1:8" x14ac:dyDescent="0.3">
      <c r="A23" s="43">
        <v>1965</v>
      </c>
      <c r="B23" s="46">
        <v>15016</v>
      </c>
      <c r="C23" s="45">
        <v>10691.64</v>
      </c>
      <c r="D23" s="45">
        <v>1746.52</v>
      </c>
      <c r="E23" s="45">
        <v>1432.8</v>
      </c>
      <c r="F23" s="45">
        <v>313.72000000000003</v>
      </c>
      <c r="G23" s="45">
        <v>2577.84</v>
      </c>
      <c r="H23" s="5">
        <v>310.14220358761992</v>
      </c>
    </row>
    <row r="24" spans="1:8" x14ac:dyDescent="0.3">
      <c r="A24" s="43">
        <v>1966</v>
      </c>
      <c r="B24" s="46">
        <v>14829.813404255319</v>
      </c>
      <c r="C24" s="45">
        <v>10222.44</v>
      </c>
      <c r="D24" s="45">
        <v>1678.65</v>
      </c>
      <c r="E24" s="45">
        <v>1454.52</v>
      </c>
      <c r="F24" s="45">
        <v>224.13</v>
      </c>
      <c r="G24" s="45">
        <v>2928.7234042553191</v>
      </c>
      <c r="H24" s="5">
        <v>296.90683263203948</v>
      </c>
    </row>
    <row r="25" spans="1:8" x14ac:dyDescent="0.3">
      <c r="A25" s="43">
        <v>1967</v>
      </c>
      <c r="B25" s="46">
        <v>15884.446659574467</v>
      </c>
      <c r="C25" s="45">
        <v>11470.24</v>
      </c>
      <c r="D25" s="45">
        <v>1578.0790000000002</v>
      </c>
      <c r="E25" s="45">
        <v>1344.6490000000001</v>
      </c>
      <c r="F25" s="45">
        <v>233.43</v>
      </c>
      <c r="G25" s="45">
        <v>2836.1276595744685</v>
      </c>
      <c r="H25" s="5">
        <v>306.24929695310311</v>
      </c>
    </row>
    <row r="26" spans="1:8" x14ac:dyDescent="0.3">
      <c r="A26" s="43">
        <v>1968</v>
      </c>
      <c r="B26" s="46">
        <v>14770.874297872342</v>
      </c>
      <c r="C26" s="45">
        <v>10280.92</v>
      </c>
      <c r="D26" s="45">
        <v>1498.316</v>
      </c>
      <c r="E26" s="45">
        <v>1308.2860000000001</v>
      </c>
      <c r="F26" s="45">
        <v>190.03</v>
      </c>
      <c r="G26" s="45">
        <v>2991.6382978723409</v>
      </c>
      <c r="H26" s="5">
        <v>271.82322962591724</v>
      </c>
    </row>
    <row r="27" spans="1:8" x14ac:dyDescent="0.3">
      <c r="A27" s="43">
        <v>1969</v>
      </c>
      <c r="B27" s="46">
        <v>14586.624468085107</v>
      </c>
      <c r="C27" s="45">
        <v>10506</v>
      </c>
      <c r="D27" s="45">
        <v>1324.85</v>
      </c>
      <c r="E27" s="45">
        <v>1152.8</v>
      </c>
      <c r="F27" s="45">
        <v>172.05</v>
      </c>
      <c r="G27" s="45">
        <v>2755.7744680851065</v>
      </c>
      <c r="H27" s="5">
        <v>256.69333565774821</v>
      </c>
    </row>
    <row r="28" spans="1:8" x14ac:dyDescent="0.3">
      <c r="A28" s="43">
        <v>1970</v>
      </c>
      <c r="B28" s="46">
        <v>16789.561914893617</v>
      </c>
      <c r="C28" s="45">
        <v>11356.5</v>
      </c>
      <c r="D28" s="45">
        <v>1784.13</v>
      </c>
      <c r="E28" s="45">
        <v>1606.5</v>
      </c>
      <c r="F28" s="45">
        <v>177.63</v>
      </c>
      <c r="G28" s="45">
        <v>3648.9319148936174</v>
      </c>
      <c r="H28" s="5">
        <v>283.87215638388528</v>
      </c>
    </row>
    <row r="29" spans="1:8" x14ac:dyDescent="0.3">
      <c r="A29" s="43">
        <v>1971</v>
      </c>
      <c r="B29" s="46">
        <v>17548.148936170215</v>
      </c>
      <c r="C29" s="45">
        <v>11259.35</v>
      </c>
      <c r="D29" s="45">
        <v>2153.0500000000002</v>
      </c>
      <c r="E29" s="45">
        <v>1751.91</v>
      </c>
      <c r="F29" s="45">
        <v>401.14</v>
      </c>
      <c r="G29" s="45">
        <v>4135.7489361702137</v>
      </c>
      <c r="H29" s="5">
        <v>282.13319918406211</v>
      </c>
    </row>
    <row r="30" spans="1:8" x14ac:dyDescent="0.3">
      <c r="A30" s="43">
        <v>1972</v>
      </c>
      <c r="B30" s="46">
        <v>17186.26744680851</v>
      </c>
      <c r="C30" s="45">
        <v>10500.24</v>
      </c>
      <c r="D30" s="45">
        <v>2474.87</v>
      </c>
      <c r="E30" s="45">
        <v>1944.46</v>
      </c>
      <c r="F30" s="45">
        <v>530.41</v>
      </c>
      <c r="G30" s="45">
        <v>4211.1574468085109</v>
      </c>
      <c r="H30" s="5">
        <v>265.02386267592692</v>
      </c>
    </row>
    <row r="31" spans="1:8" x14ac:dyDescent="0.3">
      <c r="A31" s="43">
        <v>1973</v>
      </c>
      <c r="B31" s="46">
        <v>21662.092000000001</v>
      </c>
      <c r="C31" s="45">
        <v>13552.09</v>
      </c>
      <c r="D31" s="45">
        <v>2834.8020000000001</v>
      </c>
      <c r="E31" s="45">
        <v>2216.3820000000001</v>
      </c>
      <c r="F31" s="45">
        <v>618.41999999999996</v>
      </c>
      <c r="G31" s="45">
        <v>5275.2</v>
      </c>
      <c r="H31" s="5">
        <v>324.45524193246411</v>
      </c>
    </row>
    <row r="32" spans="1:8" x14ac:dyDescent="0.3">
      <c r="A32" s="43">
        <v>1974</v>
      </c>
      <c r="B32" s="46">
        <v>23161.78</v>
      </c>
      <c r="C32" s="45">
        <v>14665.245000000001</v>
      </c>
      <c r="D32" s="45">
        <v>3290.085</v>
      </c>
      <c r="E32" s="45">
        <v>2269.0650000000001</v>
      </c>
      <c r="F32" s="45">
        <v>1021.02</v>
      </c>
      <c r="G32" s="45">
        <v>5206.45</v>
      </c>
      <c r="H32" s="5">
        <v>335.59285688412353</v>
      </c>
    </row>
    <row r="33" spans="1:8" x14ac:dyDescent="0.3">
      <c r="A33" s="43">
        <v>1975</v>
      </c>
      <c r="B33" s="46">
        <v>24845.294000000002</v>
      </c>
      <c r="C33" s="45">
        <v>15118.11</v>
      </c>
      <c r="D33" s="45">
        <v>3802.7339999999999</v>
      </c>
      <c r="E33" s="45">
        <v>2599.884</v>
      </c>
      <c r="F33" s="45">
        <v>1202.8499999999999</v>
      </c>
      <c r="G33" s="45">
        <v>5924.45</v>
      </c>
      <c r="H33" s="5">
        <v>351.98514723841208</v>
      </c>
    </row>
    <row r="34" spans="1:8" x14ac:dyDescent="0.3">
      <c r="A34" s="43">
        <v>1976</v>
      </c>
      <c r="B34" s="46">
        <v>26704.063000000002</v>
      </c>
      <c r="C34" s="45">
        <v>15857.59</v>
      </c>
      <c r="D34" s="45">
        <v>4088.8080000000004</v>
      </c>
      <c r="E34" s="45">
        <v>2843.3880000000004</v>
      </c>
      <c r="F34" s="45">
        <v>1245.42</v>
      </c>
      <c r="G34" s="45">
        <v>6757.6649999999991</v>
      </c>
      <c r="H34" s="5">
        <v>370.25467427398837</v>
      </c>
    </row>
    <row r="35" spans="1:8" x14ac:dyDescent="0.3">
      <c r="A35" s="43">
        <v>1977</v>
      </c>
      <c r="B35" s="46">
        <v>27825</v>
      </c>
      <c r="C35" s="47">
        <v>16032.485000000001</v>
      </c>
      <c r="D35" s="47">
        <v>4556.7720000000008</v>
      </c>
      <c r="E35" s="47">
        <v>3239.0820000000003</v>
      </c>
      <c r="F35" s="47">
        <v>1317.69</v>
      </c>
      <c r="G35" s="47">
        <v>7236</v>
      </c>
      <c r="H35" s="7">
        <v>378</v>
      </c>
    </row>
    <row r="36" spans="1:8" x14ac:dyDescent="0.3">
      <c r="A36" s="43">
        <v>1978</v>
      </c>
      <c r="B36" s="48">
        <v>21579</v>
      </c>
      <c r="C36" s="3">
        <v>10774</v>
      </c>
      <c r="D36" s="3">
        <v>5062</v>
      </c>
      <c r="E36" s="3">
        <v>3503</v>
      </c>
      <c r="F36" s="3">
        <v>1559</v>
      </c>
      <c r="G36" s="3">
        <v>5743</v>
      </c>
      <c r="H36" s="3">
        <v>291</v>
      </c>
    </row>
    <row r="37" spans="1:8" x14ac:dyDescent="0.3">
      <c r="A37" s="43">
        <v>1979</v>
      </c>
      <c r="B37" s="48">
        <v>29310</v>
      </c>
      <c r="C37" s="3">
        <v>15759</v>
      </c>
      <c r="D37" s="3">
        <v>5746</v>
      </c>
      <c r="E37" s="3">
        <v>3972</v>
      </c>
      <c r="F37" s="3">
        <v>1774</v>
      </c>
      <c r="G37" s="3">
        <v>7805</v>
      </c>
      <c r="H37" s="3">
        <v>391</v>
      </c>
    </row>
    <row r="38" spans="1:8" x14ac:dyDescent="0.3">
      <c r="A38" s="43">
        <v>1980</v>
      </c>
      <c r="B38" s="48">
        <v>26870</v>
      </c>
      <c r="C38" s="3">
        <v>11972</v>
      </c>
      <c r="D38" s="3">
        <v>6092</v>
      </c>
      <c r="E38" s="3">
        <v>4599</v>
      </c>
      <c r="F38" s="3">
        <v>1493</v>
      </c>
      <c r="G38" s="3">
        <v>8806</v>
      </c>
      <c r="H38" s="3">
        <v>354</v>
      </c>
    </row>
  </sheetData>
  <mergeCells count="9">
    <mergeCell ref="A1:H1"/>
    <mergeCell ref="A2:H2"/>
    <mergeCell ref="C4:G4"/>
    <mergeCell ref="E5:F5"/>
    <mergeCell ref="B4:B6"/>
    <mergeCell ref="C5:C6"/>
    <mergeCell ref="D5:D6"/>
    <mergeCell ref="G5:G6"/>
    <mergeCell ref="H4:H6"/>
  </mergeCells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activeCell="B46" sqref="B46"/>
    </sheetView>
  </sheetViews>
  <sheetFormatPr defaultColWidth="8.7109375" defaultRowHeight="15" x14ac:dyDescent="0.3"/>
  <cols>
    <col min="1" max="1" width="9" style="34" customWidth="1"/>
    <col min="2" max="8" width="7.7109375" customWidth="1"/>
    <col min="9" max="9" width="10.140625" style="54" bestFit="1" customWidth="1"/>
    <col min="10" max="11" width="8.7109375" style="54"/>
  </cols>
  <sheetData>
    <row r="1" spans="1:17" s="1" customFormat="1" ht="35.15" customHeight="1" x14ac:dyDescent="0.5">
      <c r="A1" s="85" t="s">
        <v>37</v>
      </c>
      <c r="B1" s="86"/>
      <c r="C1" s="86"/>
      <c r="D1" s="86"/>
      <c r="E1" s="86"/>
      <c r="F1" s="86"/>
      <c r="G1" s="86"/>
      <c r="H1" s="86"/>
      <c r="I1" s="57"/>
      <c r="J1" s="57"/>
      <c r="K1" s="57"/>
    </row>
    <row r="2" spans="1:17" x14ac:dyDescent="0.3">
      <c r="A2" s="89"/>
      <c r="B2" s="92" t="s">
        <v>38</v>
      </c>
      <c r="C2" s="87"/>
      <c r="D2" s="87"/>
      <c r="E2" s="87"/>
      <c r="F2" s="87"/>
      <c r="G2" s="88"/>
      <c r="H2" s="92" t="s">
        <v>39</v>
      </c>
      <c r="I2" s="99" t="s">
        <v>93</v>
      </c>
      <c r="J2" s="99"/>
      <c r="K2" s="99"/>
      <c r="L2" s="21"/>
      <c r="M2" s="21"/>
    </row>
    <row r="3" spans="1:17" x14ac:dyDescent="0.3">
      <c r="A3" s="90"/>
      <c r="B3" s="93"/>
      <c r="C3" s="95" t="s">
        <v>32</v>
      </c>
      <c r="D3" s="97" t="s">
        <v>33</v>
      </c>
      <c r="E3" s="87"/>
      <c r="F3" s="88"/>
      <c r="G3" s="95" t="s">
        <v>34</v>
      </c>
      <c r="H3" s="93"/>
      <c r="I3" s="12"/>
      <c r="J3" s="12"/>
      <c r="K3" s="12"/>
      <c r="L3" s="20"/>
      <c r="M3" s="20"/>
      <c r="N3" s="3"/>
      <c r="O3" s="3"/>
      <c r="P3" s="3"/>
      <c r="Q3" s="3"/>
    </row>
    <row r="4" spans="1:17" x14ac:dyDescent="0.3">
      <c r="A4" s="91"/>
      <c r="B4" s="94"/>
      <c r="C4" s="96"/>
      <c r="D4" s="98"/>
      <c r="E4" s="10" t="s">
        <v>35</v>
      </c>
      <c r="F4" s="35" t="s">
        <v>36</v>
      </c>
      <c r="G4" s="96"/>
      <c r="H4" s="94"/>
      <c r="I4" s="12" t="s">
        <v>94</v>
      </c>
      <c r="J4" s="12" t="s">
        <v>95</v>
      </c>
      <c r="K4" s="12" t="s">
        <v>96</v>
      </c>
      <c r="L4" s="20"/>
      <c r="M4" s="20"/>
      <c r="N4" s="3"/>
      <c r="O4" s="3"/>
      <c r="P4" s="3"/>
      <c r="Q4" s="3"/>
    </row>
    <row r="5" spans="1:17" x14ac:dyDescent="0.3">
      <c r="A5" s="13">
        <v>1981</v>
      </c>
      <c r="B5" s="20">
        <v>29911</v>
      </c>
      <c r="C5" s="20">
        <v>15062</v>
      </c>
      <c r="D5" s="20">
        <v>5792</v>
      </c>
      <c r="E5" s="20">
        <v>4384</v>
      </c>
      <c r="F5" s="20">
        <v>1408</v>
      </c>
      <c r="G5" s="20">
        <v>9057</v>
      </c>
      <c r="H5" s="20">
        <v>389</v>
      </c>
      <c r="I5" s="18">
        <f>C5/B5*100</f>
        <v>50.356056300357736</v>
      </c>
      <c r="J5" s="18">
        <f>D5/B5*100</f>
        <v>19.364113536825915</v>
      </c>
      <c r="K5" s="18">
        <f>100-I5-J5</f>
        <v>30.279830162816349</v>
      </c>
      <c r="L5" s="38"/>
      <c r="M5" s="20"/>
      <c r="N5" s="3"/>
      <c r="O5" s="3"/>
      <c r="P5" s="3"/>
      <c r="Q5" s="3"/>
    </row>
    <row r="6" spans="1:17" x14ac:dyDescent="0.3">
      <c r="A6" s="13">
        <v>1982</v>
      </c>
      <c r="B6" s="20">
        <v>37025</v>
      </c>
      <c r="C6" s="20">
        <v>21256</v>
      </c>
      <c r="D6" s="20">
        <v>6113</v>
      </c>
      <c r="E6" s="20">
        <v>4425</v>
      </c>
      <c r="F6" s="20">
        <v>1688</v>
      </c>
      <c r="G6" s="20">
        <v>9656</v>
      </c>
      <c r="H6" s="20">
        <v>469</v>
      </c>
      <c r="I6" s="18">
        <f t="shared" ref="I6:I40" si="0">C6/B6*100</f>
        <v>57.409858203916272</v>
      </c>
      <c r="J6" s="18">
        <f t="shared" ref="J6:J40" si="1">D6/B6*100</f>
        <v>16.510465901417962</v>
      </c>
      <c r="K6" s="18">
        <f t="shared" ref="K6:K40" si="2">100-I6-J6</f>
        <v>26.079675894665765</v>
      </c>
      <c r="L6" s="38"/>
      <c r="M6" s="20"/>
      <c r="N6" s="3"/>
      <c r="O6" s="3"/>
      <c r="P6" s="3"/>
      <c r="Q6" s="3"/>
    </row>
    <row r="7" spans="1:17" x14ac:dyDescent="0.3">
      <c r="A7" s="13">
        <v>1983</v>
      </c>
      <c r="B7" s="20">
        <v>40012</v>
      </c>
      <c r="C7" s="20">
        <v>20262</v>
      </c>
      <c r="D7" s="20">
        <v>7534</v>
      </c>
      <c r="E7" s="20">
        <v>5693</v>
      </c>
      <c r="F7" s="20">
        <v>1841</v>
      </c>
      <c r="G7" s="20">
        <v>12216</v>
      </c>
      <c r="H7" s="20">
        <v>494</v>
      </c>
      <c r="I7" s="18">
        <f t="shared" si="0"/>
        <v>50.639808057582727</v>
      </c>
      <c r="J7" s="18">
        <f t="shared" si="1"/>
        <v>18.829351194641607</v>
      </c>
      <c r="K7" s="18">
        <f t="shared" si="2"/>
        <v>30.530840747775667</v>
      </c>
      <c r="L7" s="38"/>
      <c r="M7" s="20"/>
      <c r="N7" s="3"/>
      <c r="O7" s="3"/>
      <c r="P7" s="3"/>
      <c r="Q7" s="3"/>
    </row>
    <row r="8" spans="1:17" x14ac:dyDescent="0.3">
      <c r="A8" s="13">
        <v>1984</v>
      </c>
      <c r="B8" s="20">
        <v>52435</v>
      </c>
      <c r="C8" s="20">
        <v>30478</v>
      </c>
      <c r="D8" s="20">
        <v>8366</v>
      </c>
      <c r="E8" s="20">
        <v>6046</v>
      </c>
      <c r="F8" s="20">
        <v>2320</v>
      </c>
      <c r="G8" s="20">
        <v>13591</v>
      </c>
      <c r="H8" s="20">
        <v>643</v>
      </c>
      <c r="I8" s="18">
        <f t="shared" si="0"/>
        <v>58.125297987985128</v>
      </c>
      <c r="J8" s="18">
        <f t="shared" si="1"/>
        <v>15.954991894726806</v>
      </c>
      <c r="K8" s="18">
        <f t="shared" si="2"/>
        <v>25.919710117288066</v>
      </c>
      <c r="L8" s="38"/>
      <c r="M8" s="20"/>
      <c r="N8" s="3"/>
      <c r="O8" s="3"/>
      <c r="P8" s="3"/>
      <c r="Q8" s="3"/>
    </row>
    <row r="9" spans="1:17" x14ac:dyDescent="0.3">
      <c r="A9" s="13">
        <v>1985</v>
      </c>
      <c r="B9" s="20">
        <v>62158</v>
      </c>
      <c r="C9" s="20">
        <v>34488</v>
      </c>
      <c r="D9" s="20">
        <v>10870</v>
      </c>
      <c r="E9" s="20">
        <v>7361</v>
      </c>
      <c r="F9" s="20">
        <v>3509</v>
      </c>
      <c r="G9" s="20">
        <v>16800</v>
      </c>
      <c r="H9" s="20">
        <v>758</v>
      </c>
      <c r="I9" s="18">
        <f t="shared" si="0"/>
        <v>55.484410695324812</v>
      </c>
      <c r="J9" s="18">
        <f t="shared" si="1"/>
        <v>17.487692654203805</v>
      </c>
      <c r="K9" s="18">
        <f t="shared" si="2"/>
        <v>27.027896650471384</v>
      </c>
      <c r="L9" s="38"/>
      <c r="M9" s="20"/>
      <c r="N9" s="3"/>
      <c r="O9" s="3"/>
      <c r="P9" s="3"/>
      <c r="Q9" s="3"/>
    </row>
    <row r="10" spans="1:17" x14ac:dyDescent="0.3">
      <c r="A10" s="13">
        <v>1986</v>
      </c>
      <c r="B10" s="20">
        <v>58631</v>
      </c>
      <c r="C10" s="20">
        <v>28773</v>
      </c>
      <c r="D10" s="20">
        <v>10140</v>
      </c>
      <c r="E10" s="20">
        <v>7186</v>
      </c>
      <c r="F10" s="20">
        <v>2954</v>
      </c>
      <c r="G10" s="20">
        <v>19718</v>
      </c>
      <c r="H10" s="20">
        <v>701</v>
      </c>
      <c r="I10" s="18">
        <f t="shared" si="0"/>
        <v>49.074721563677919</v>
      </c>
      <c r="J10" s="18">
        <f t="shared" si="1"/>
        <v>17.294605242960209</v>
      </c>
      <c r="K10" s="18">
        <f t="shared" si="2"/>
        <v>33.630673193361872</v>
      </c>
      <c r="L10" s="38"/>
      <c r="M10" s="20"/>
      <c r="N10" s="3"/>
      <c r="O10" s="3"/>
      <c r="P10" s="3"/>
      <c r="Q10" s="3"/>
    </row>
    <row r="11" spans="1:17" x14ac:dyDescent="0.3">
      <c r="A11" s="11">
        <v>1987</v>
      </c>
      <c r="B11" s="20">
        <v>68067</v>
      </c>
      <c r="C11" s="20">
        <v>33803</v>
      </c>
      <c r="D11" s="20">
        <v>12772</v>
      </c>
      <c r="E11" s="20">
        <v>8847</v>
      </c>
      <c r="F11" s="20">
        <v>3925</v>
      </c>
      <c r="G11" s="20">
        <v>21492</v>
      </c>
      <c r="H11" s="20">
        <v>812</v>
      </c>
      <c r="I11" s="18">
        <f t="shared" si="0"/>
        <v>49.661363068741096</v>
      </c>
      <c r="J11" s="18">
        <f t="shared" si="1"/>
        <v>18.763865015352522</v>
      </c>
      <c r="K11" s="18">
        <f t="shared" si="2"/>
        <v>31.574771915906382</v>
      </c>
      <c r="L11" s="38"/>
      <c r="M11" s="20"/>
      <c r="N11" s="3"/>
      <c r="O11" s="3"/>
      <c r="P11" s="3"/>
      <c r="Q11" s="3"/>
    </row>
    <row r="12" spans="1:17" x14ac:dyDescent="0.3">
      <c r="A12" s="13">
        <v>1988</v>
      </c>
      <c r="B12" s="20">
        <v>111825</v>
      </c>
      <c r="C12" s="20">
        <v>68669</v>
      </c>
      <c r="D12" s="20">
        <v>16727</v>
      </c>
      <c r="E12" s="20">
        <v>11059</v>
      </c>
      <c r="F12" s="20">
        <v>5668</v>
      </c>
      <c r="G12" s="20">
        <v>26429</v>
      </c>
      <c r="H12" s="20">
        <v>1312</v>
      </c>
      <c r="I12" s="18">
        <f t="shared" si="0"/>
        <v>61.407556449809974</v>
      </c>
      <c r="J12" s="18">
        <f t="shared" si="1"/>
        <v>14.958193606080931</v>
      </c>
      <c r="K12" s="18">
        <f t="shared" si="2"/>
        <v>23.634249944109094</v>
      </c>
      <c r="L12" s="38"/>
      <c r="M12" s="20"/>
      <c r="N12" s="3"/>
      <c r="O12" s="3"/>
      <c r="P12" s="3"/>
      <c r="Q12" s="3"/>
    </row>
    <row r="13" spans="1:17" x14ac:dyDescent="0.3">
      <c r="A13" s="13">
        <v>1989</v>
      </c>
      <c r="B13" s="20">
        <v>117692</v>
      </c>
      <c r="C13" s="20">
        <v>56794</v>
      </c>
      <c r="D13" s="20">
        <v>33733</v>
      </c>
      <c r="E13" s="20">
        <v>25128</v>
      </c>
      <c r="F13" s="20">
        <v>8605</v>
      </c>
      <c r="G13" s="20">
        <v>27165</v>
      </c>
      <c r="H13" s="20">
        <v>1358</v>
      </c>
      <c r="I13" s="18">
        <f t="shared" si="0"/>
        <v>48.256466029976544</v>
      </c>
      <c r="J13" s="18">
        <f t="shared" si="1"/>
        <v>28.662101077388435</v>
      </c>
      <c r="K13" s="18">
        <f t="shared" si="2"/>
        <v>23.081432892635021</v>
      </c>
      <c r="L13" s="38"/>
      <c r="M13" s="20"/>
      <c r="N13" s="3"/>
      <c r="O13" s="3"/>
      <c r="P13" s="3"/>
      <c r="Q13" s="3"/>
    </row>
    <row r="14" spans="1:17" x14ac:dyDescent="0.3">
      <c r="A14" s="13">
        <v>1990</v>
      </c>
      <c r="B14" s="20">
        <v>142248</v>
      </c>
      <c r="C14" s="20">
        <v>68529</v>
      </c>
      <c r="D14" s="20">
        <v>45100</v>
      </c>
      <c r="E14" s="20">
        <v>32723</v>
      </c>
      <c r="F14" s="20">
        <v>12377</v>
      </c>
      <c r="G14" s="20">
        <v>28619</v>
      </c>
      <c r="H14" s="20">
        <v>1616</v>
      </c>
      <c r="I14" s="18">
        <f t="shared" si="0"/>
        <v>48.175721275518811</v>
      </c>
      <c r="J14" s="18">
        <f t="shared" si="1"/>
        <v>31.705190934143186</v>
      </c>
      <c r="K14" s="18">
        <f t="shared" si="2"/>
        <v>20.119087790338003</v>
      </c>
      <c r="L14" s="38"/>
      <c r="M14" s="20"/>
      <c r="N14" s="3"/>
      <c r="O14" s="3"/>
      <c r="P14" s="3"/>
      <c r="Q14" s="3"/>
    </row>
    <row r="15" spans="1:17" x14ac:dyDescent="0.3">
      <c r="A15" s="13">
        <v>1991</v>
      </c>
      <c r="B15" s="20">
        <v>160645</v>
      </c>
      <c r="C15" s="20">
        <v>72429</v>
      </c>
      <c r="D15" s="20">
        <v>52824</v>
      </c>
      <c r="E15" s="20">
        <v>39179</v>
      </c>
      <c r="F15" s="20">
        <v>13645</v>
      </c>
      <c r="G15" s="20">
        <v>35392</v>
      </c>
      <c r="H15" s="20">
        <v>1804</v>
      </c>
      <c r="I15" s="18">
        <f t="shared" si="0"/>
        <v>45.086370568645151</v>
      </c>
      <c r="J15" s="18">
        <f t="shared" si="1"/>
        <v>32.882442653054873</v>
      </c>
      <c r="K15" s="18">
        <f t="shared" si="2"/>
        <v>22.031186778299976</v>
      </c>
      <c r="L15" s="38"/>
      <c r="M15" s="20"/>
      <c r="N15" s="3"/>
      <c r="O15" s="3"/>
      <c r="P15" s="3"/>
      <c r="Q15" s="3"/>
    </row>
    <row r="16" spans="1:17" x14ac:dyDescent="0.3">
      <c r="A16" s="13">
        <v>1992</v>
      </c>
      <c r="B16" s="20">
        <v>193895</v>
      </c>
      <c r="C16" s="20">
        <v>84700</v>
      </c>
      <c r="D16" s="20">
        <v>65018</v>
      </c>
      <c r="E16" s="20">
        <v>45274</v>
      </c>
      <c r="F16" s="20">
        <v>19744</v>
      </c>
      <c r="G16" s="20">
        <v>44177</v>
      </c>
      <c r="H16" s="20">
        <v>2172</v>
      </c>
      <c r="I16" s="18">
        <f t="shared" si="0"/>
        <v>43.683436911730581</v>
      </c>
      <c r="J16" s="18">
        <f t="shared" si="1"/>
        <v>33.532582067613916</v>
      </c>
      <c r="K16" s="18">
        <f t="shared" si="2"/>
        <v>22.783981020655503</v>
      </c>
      <c r="L16" s="38"/>
      <c r="M16" s="20"/>
      <c r="N16" s="3"/>
      <c r="O16" s="3"/>
      <c r="P16" s="3"/>
      <c r="Q16" s="3"/>
    </row>
    <row r="17" spans="1:17" x14ac:dyDescent="0.3">
      <c r="A17" s="13">
        <v>1993</v>
      </c>
      <c r="B17" s="20">
        <v>268576</v>
      </c>
      <c r="C17" s="20">
        <v>100776</v>
      </c>
      <c r="D17" s="20">
        <v>107469</v>
      </c>
      <c r="E17" s="20">
        <v>84932</v>
      </c>
      <c r="F17" s="20">
        <v>22537</v>
      </c>
      <c r="G17" s="20">
        <v>60331</v>
      </c>
      <c r="H17" s="20">
        <v>2984</v>
      </c>
      <c r="I17" s="18">
        <f t="shared" si="0"/>
        <v>37.522340045275826</v>
      </c>
      <c r="J17" s="18">
        <f t="shared" si="1"/>
        <v>40.014372095794116</v>
      </c>
      <c r="K17" s="18">
        <f t="shared" si="2"/>
        <v>22.463287858930059</v>
      </c>
      <c r="L17" s="38"/>
      <c r="M17" s="20"/>
      <c r="N17" s="3"/>
      <c r="O17" s="3"/>
      <c r="P17" s="3"/>
      <c r="Q17" s="3"/>
    </row>
    <row r="18" spans="1:17" x14ac:dyDescent="0.3">
      <c r="A18" s="13">
        <v>1994</v>
      </c>
      <c r="B18" s="20">
        <v>334120</v>
      </c>
      <c r="C18" s="20">
        <v>139900</v>
      </c>
      <c r="D18" s="20">
        <v>117277</v>
      </c>
      <c r="E18" s="20">
        <v>93226</v>
      </c>
      <c r="F18" s="20">
        <v>24051</v>
      </c>
      <c r="G18" s="20">
        <v>76943</v>
      </c>
      <c r="H18" s="20">
        <v>3717</v>
      </c>
      <c r="I18" s="18">
        <f t="shared" si="0"/>
        <v>41.871184005746436</v>
      </c>
      <c r="J18" s="18">
        <f t="shared" si="1"/>
        <v>35.100263378426909</v>
      </c>
      <c r="K18" s="18">
        <f t="shared" si="2"/>
        <v>23.028552615826655</v>
      </c>
      <c r="L18" s="38"/>
      <c r="M18" s="20"/>
      <c r="N18" s="3"/>
      <c r="O18" s="3"/>
      <c r="P18" s="3"/>
      <c r="Q18" s="3"/>
    </row>
    <row r="19" spans="1:17" x14ac:dyDescent="0.3">
      <c r="A19" s="13">
        <v>1995</v>
      </c>
      <c r="B19" s="20">
        <v>396269</v>
      </c>
      <c r="C19" s="20">
        <v>169014</v>
      </c>
      <c r="D19" s="20">
        <v>133778</v>
      </c>
      <c r="E19" s="20">
        <v>111790</v>
      </c>
      <c r="F19" s="20">
        <v>21988</v>
      </c>
      <c r="G19" s="20">
        <v>93477</v>
      </c>
      <c r="H19" s="20">
        <v>4354</v>
      </c>
      <c r="I19" s="18">
        <f t="shared" si="0"/>
        <v>42.651330283216701</v>
      </c>
      <c r="J19" s="18">
        <f t="shared" si="1"/>
        <v>33.759390716911994</v>
      </c>
      <c r="K19" s="18">
        <f t="shared" si="2"/>
        <v>23.589278999871304</v>
      </c>
      <c r="L19" s="38"/>
      <c r="M19" s="20"/>
      <c r="N19" s="3"/>
      <c r="O19" s="3"/>
      <c r="P19" s="3"/>
      <c r="Q19" s="3"/>
    </row>
    <row r="20" spans="1:17" x14ac:dyDescent="0.3">
      <c r="A20" s="13">
        <v>1996</v>
      </c>
      <c r="B20" s="20">
        <v>450353</v>
      </c>
      <c r="C20" s="20">
        <v>184672</v>
      </c>
      <c r="D20" s="20">
        <v>157493</v>
      </c>
      <c r="E20" s="20">
        <v>129196</v>
      </c>
      <c r="F20" s="20">
        <v>28297</v>
      </c>
      <c r="G20" s="20">
        <v>108188</v>
      </c>
      <c r="H20" s="20">
        <v>4950</v>
      </c>
      <c r="I20" s="18">
        <f t="shared" si="0"/>
        <v>41.006055249992784</v>
      </c>
      <c r="J20" s="18">
        <f t="shared" si="1"/>
        <v>34.971011628655745</v>
      </c>
      <c r="K20" s="18">
        <f t="shared" si="2"/>
        <v>24.022933121351471</v>
      </c>
      <c r="L20" s="38"/>
      <c r="M20" s="20"/>
      <c r="N20" s="3"/>
      <c r="O20" s="3"/>
      <c r="P20" s="3"/>
      <c r="Q20" s="3"/>
    </row>
    <row r="21" spans="1:17" x14ac:dyDescent="0.3">
      <c r="A21" s="13">
        <v>1997</v>
      </c>
      <c r="B21" s="20">
        <v>504756</v>
      </c>
      <c r="C21" s="20">
        <v>192407</v>
      </c>
      <c r="D21" s="20">
        <v>181490</v>
      </c>
      <c r="E21" s="20">
        <v>152869</v>
      </c>
      <c r="F21" s="20">
        <v>28621</v>
      </c>
      <c r="G21" s="20">
        <v>130859</v>
      </c>
      <c r="H21" s="20">
        <v>5293</v>
      </c>
      <c r="I21" s="18">
        <f t="shared" si="0"/>
        <v>38.118813842727974</v>
      </c>
      <c r="J21" s="18">
        <f t="shared" si="1"/>
        <v>35.955986654938229</v>
      </c>
      <c r="K21" s="18">
        <f t="shared" si="2"/>
        <v>25.925199502333797</v>
      </c>
      <c r="L21" s="38"/>
      <c r="M21" s="20"/>
      <c r="N21" s="3"/>
      <c r="O21" s="3"/>
      <c r="P21" s="3"/>
      <c r="Q21" s="3"/>
    </row>
    <row r="22" spans="1:17" x14ac:dyDescent="0.3">
      <c r="A22" s="13">
        <v>1998</v>
      </c>
      <c r="B22" s="20">
        <v>559248</v>
      </c>
      <c r="C22" s="20">
        <v>218185</v>
      </c>
      <c r="D22" s="20">
        <v>187858</v>
      </c>
      <c r="E22" s="20">
        <v>153135</v>
      </c>
      <c r="F22" s="20">
        <v>34723</v>
      </c>
      <c r="G22" s="20">
        <v>153205</v>
      </c>
      <c r="H22" s="20">
        <v>6079</v>
      </c>
      <c r="I22" s="18">
        <f t="shared" si="0"/>
        <v>39.013997367894028</v>
      </c>
      <c r="J22" s="18">
        <f t="shared" si="1"/>
        <v>33.591179584012814</v>
      </c>
      <c r="K22" s="18">
        <f t="shared" si="2"/>
        <v>27.394823048093158</v>
      </c>
      <c r="L22" s="38"/>
      <c r="M22" s="20"/>
      <c r="N22" s="3"/>
      <c r="O22" s="3"/>
      <c r="P22" s="3"/>
      <c r="Q22" s="3"/>
    </row>
    <row r="23" spans="1:17" x14ac:dyDescent="0.3">
      <c r="A23" s="13">
        <v>1999</v>
      </c>
      <c r="B23" s="20">
        <v>623167</v>
      </c>
      <c r="C23" s="20">
        <v>235230</v>
      </c>
      <c r="D23" s="20">
        <v>211571</v>
      </c>
      <c r="E23" s="20">
        <v>174148</v>
      </c>
      <c r="F23" s="20">
        <v>37423</v>
      </c>
      <c r="G23" s="20">
        <v>176366</v>
      </c>
      <c r="H23" s="20">
        <v>6757</v>
      </c>
      <c r="I23" s="18">
        <f t="shared" si="0"/>
        <v>37.747505885260288</v>
      </c>
      <c r="J23" s="18">
        <f t="shared" si="1"/>
        <v>33.950931291291099</v>
      </c>
      <c r="K23" s="18">
        <f t="shared" si="2"/>
        <v>28.301562823448613</v>
      </c>
      <c r="L23" s="38"/>
      <c r="M23" s="20"/>
      <c r="N23" s="3"/>
      <c r="O23" s="3"/>
      <c r="P23" s="3"/>
      <c r="Q23" s="3"/>
    </row>
    <row r="24" spans="1:17" x14ac:dyDescent="0.3">
      <c r="A24" s="13">
        <v>2000</v>
      </c>
      <c r="B24" s="20">
        <v>686803</v>
      </c>
      <c r="C24" s="20">
        <v>239710</v>
      </c>
      <c r="D24" s="20">
        <v>237167</v>
      </c>
      <c r="E24" s="20">
        <v>193304</v>
      </c>
      <c r="F24" s="20">
        <v>43863</v>
      </c>
      <c r="G24" s="20">
        <v>209926</v>
      </c>
      <c r="H24" s="20">
        <v>7433</v>
      </c>
      <c r="I24" s="18">
        <f t="shared" si="0"/>
        <v>34.902293670819724</v>
      </c>
      <c r="J24" s="18">
        <f t="shared" si="1"/>
        <v>34.532027379030083</v>
      </c>
      <c r="K24" s="18">
        <f t="shared" si="2"/>
        <v>30.5656789501502</v>
      </c>
      <c r="L24" s="38"/>
      <c r="M24" s="20"/>
      <c r="N24" s="3"/>
      <c r="O24" s="3"/>
      <c r="P24" s="3"/>
      <c r="Q24" s="3"/>
    </row>
    <row r="25" spans="1:17" x14ac:dyDescent="0.3">
      <c r="A25" s="13">
        <v>2001</v>
      </c>
      <c r="B25" s="20">
        <v>731906</v>
      </c>
      <c r="C25" s="20">
        <v>223002</v>
      </c>
      <c r="D25" s="20">
        <v>267628</v>
      </c>
      <c r="E25" s="20">
        <v>207835</v>
      </c>
      <c r="F25" s="20">
        <v>59793</v>
      </c>
      <c r="G25" s="20">
        <v>241276</v>
      </c>
      <c r="H25" s="20">
        <v>7879</v>
      </c>
      <c r="I25" s="18">
        <f t="shared" si="0"/>
        <v>30.468666741357499</v>
      </c>
      <c r="J25" s="18">
        <f t="shared" si="1"/>
        <v>36.565897806548932</v>
      </c>
      <c r="K25" s="18">
        <f t="shared" si="2"/>
        <v>32.965435452093573</v>
      </c>
      <c r="L25" s="38"/>
      <c r="M25" s="20"/>
      <c r="N25" s="3"/>
      <c r="O25" s="3"/>
      <c r="P25" s="3"/>
      <c r="Q25" s="3"/>
    </row>
    <row r="26" spans="1:17" x14ac:dyDescent="0.3">
      <c r="A26" s="13">
        <v>2002</v>
      </c>
      <c r="B26" s="20">
        <v>803497</v>
      </c>
      <c r="C26" s="20">
        <v>236410</v>
      </c>
      <c r="D26" s="20">
        <v>302786</v>
      </c>
      <c r="E26" s="20">
        <v>219333</v>
      </c>
      <c r="F26" s="20">
        <v>83453</v>
      </c>
      <c r="G26" s="20">
        <v>264301</v>
      </c>
      <c r="H26" s="20">
        <v>8571</v>
      </c>
      <c r="I26" s="18">
        <f t="shared" si="0"/>
        <v>29.422636301068955</v>
      </c>
      <c r="J26" s="18">
        <f t="shared" si="1"/>
        <v>37.68352588746442</v>
      </c>
      <c r="K26" s="18">
        <f t="shared" si="2"/>
        <v>32.893837811466618</v>
      </c>
      <c r="L26" s="38"/>
      <c r="M26" s="20"/>
      <c r="N26" s="3"/>
      <c r="O26" s="3"/>
      <c r="P26" s="3"/>
      <c r="Q26" s="3"/>
    </row>
    <row r="27" spans="1:17" x14ac:dyDescent="0.3">
      <c r="A27" s="13">
        <v>2003</v>
      </c>
      <c r="B27" s="20">
        <v>976702</v>
      </c>
      <c r="C27" s="20">
        <v>290777</v>
      </c>
      <c r="D27" s="20">
        <v>362637</v>
      </c>
      <c r="E27" s="20">
        <v>275907</v>
      </c>
      <c r="F27" s="20">
        <v>86730</v>
      </c>
      <c r="G27" s="20">
        <v>323288</v>
      </c>
      <c r="H27" s="20">
        <v>10266</v>
      </c>
      <c r="I27" s="18">
        <f t="shared" si="0"/>
        <v>29.77131202761948</v>
      </c>
      <c r="J27" s="18">
        <f t="shared" si="1"/>
        <v>37.12872503588607</v>
      </c>
      <c r="K27" s="18">
        <f t="shared" si="2"/>
        <v>33.099962936494457</v>
      </c>
      <c r="L27" s="38"/>
      <c r="M27" s="20"/>
      <c r="N27" s="3"/>
      <c r="O27" s="3"/>
      <c r="P27" s="3"/>
      <c r="Q27" s="3"/>
    </row>
    <row r="28" spans="1:17" x14ac:dyDescent="0.3">
      <c r="A28" s="13">
        <v>2004</v>
      </c>
      <c r="B28" s="20">
        <v>1276342</v>
      </c>
      <c r="C28" s="20">
        <v>329630</v>
      </c>
      <c r="D28" s="20">
        <v>522393</v>
      </c>
      <c r="E28" s="20">
        <v>389123</v>
      </c>
      <c r="F28" s="20">
        <v>133270</v>
      </c>
      <c r="G28" s="20">
        <v>424319</v>
      </c>
      <c r="H28" s="20">
        <v>13139</v>
      </c>
      <c r="I28" s="18">
        <f t="shared" si="0"/>
        <v>25.82615004442383</v>
      </c>
      <c r="J28" s="18">
        <f t="shared" si="1"/>
        <v>40.9289203050593</v>
      </c>
      <c r="K28" s="18">
        <f t="shared" si="2"/>
        <v>33.244929650516873</v>
      </c>
      <c r="L28" s="38"/>
      <c r="M28" s="20"/>
      <c r="N28" s="3"/>
      <c r="O28" s="3"/>
      <c r="P28" s="3"/>
      <c r="Q28" s="3"/>
    </row>
    <row r="29" spans="1:17" x14ac:dyDescent="0.3">
      <c r="A29" s="13">
        <v>2005</v>
      </c>
      <c r="B29" s="36">
        <v>1661294.741606914</v>
      </c>
      <c r="C29" s="36">
        <v>303332</v>
      </c>
      <c r="D29" s="36">
        <v>820106</v>
      </c>
      <c r="E29" s="36">
        <v>628872</v>
      </c>
      <c r="F29" s="36">
        <v>191234</v>
      </c>
      <c r="G29" s="36">
        <v>537856.74160691397</v>
      </c>
      <c r="H29" s="20">
        <v>17093</v>
      </c>
      <c r="I29" s="18">
        <f t="shared" si="0"/>
        <v>18.258770849211096</v>
      </c>
      <c r="J29" s="18">
        <f t="shared" si="1"/>
        <v>49.365472571516079</v>
      </c>
      <c r="K29" s="18">
        <f t="shared" si="2"/>
        <v>32.375756579272831</v>
      </c>
      <c r="L29" s="38"/>
      <c r="M29" s="20"/>
      <c r="N29" s="3"/>
      <c r="O29" s="3"/>
      <c r="P29" s="3"/>
      <c r="Q29" s="3"/>
    </row>
    <row r="30" spans="1:17" x14ac:dyDescent="0.3">
      <c r="A30" s="13">
        <v>2006</v>
      </c>
      <c r="B30" s="36">
        <v>2119434.4207863687</v>
      </c>
      <c r="C30" s="36">
        <v>319676</v>
      </c>
      <c r="D30" s="36">
        <v>1153854</v>
      </c>
      <c r="E30" s="36">
        <v>928801</v>
      </c>
      <c r="F30" s="36">
        <v>225053</v>
      </c>
      <c r="G30" s="36">
        <v>645904.42078636854</v>
      </c>
      <c r="H30" s="20">
        <v>21328</v>
      </c>
      <c r="I30" s="18">
        <f t="shared" si="0"/>
        <v>15.083080507930571</v>
      </c>
      <c r="J30" s="18">
        <f t="shared" si="1"/>
        <v>54.441599545782992</v>
      </c>
      <c r="K30" s="18">
        <f t="shared" si="2"/>
        <v>30.475319946286433</v>
      </c>
      <c r="L30" s="38"/>
      <c r="M30" s="20"/>
      <c r="N30" s="3"/>
      <c r="O30" s="3"/>
      <c r="P30" s="3"/>
      <c r="Q30" s="3"/>
    </row>
    <row r="31" spans="1:17" x14ac:dyDescent="0.3">
      <c r="A31" s="16">
        <v>2007</v>
      </c>
      <c r="B31" s="37">
        <v>2912429.9479944445</v>
      </c>
      <c r="C31" s="37">
        <v>391040</v>
      </c>
      <c r="D31" s="37">
        <v>1702326</v>
      </c>
      <c r="E31" s="37">
        <v>1409826</v>
      </c>
      <c r="F31" s="37">
        <v>292500</v>
      </c>
      <c r="G31" s="37">
        <v>819063.94799444429</v>
      </c>
      <c r="H31" s="38">
        <v>28746</v>
      </c>
      <c r="I31" s="18">
        <f t="shared" si="0"/>
        <v>13.426589033301134</v>
      </c>
      <c r="J31" s="18">
        <f t="shared" si="1"/>
        <v>58.450367232772571</v>
      </c>
      <c r="K31" s="18">
        <f t="shared" si="2"/>
        <v>28.123043733926302</v>
      </c>
      <c r="L31" s="38"/>
      <c r="M31" s="20"/>
      <c r="N31" s="3"/>
      <c r="O31" s="3"/>
      <c r="P31" s="3"/>
      <c r="Q31" s="3"/>
    </row>
    <row r="32" spans="1:17" x14ac:dyDescent="0.3">
      <c r="A32" s="16">
        <v>2008</v>
      </c>
      <c r="B32" s="37">
        <v>3961321</v>
      </c>
      <c r="C32" s="37">
        <v>470900</v>
      </c>
      <c r="D32" s="37">
        <v>2505000</v>
      </c>
      <c r="E32" s="37">
        <v>2126100</v>
      </c>
      <c r="F32" s="37">
        <v>378900</v>
      </c>
      <c r="G32" s="37">
        <v>985421</v>
      </c>
      <c r="H32" s="38">
        <v>38379</v>
      </c>
      <c r="I32" s="18">
        <f t="shared" si="0"/>
        <v>11.887448656647619</v>
      </c>
      <c r="J32" s="18">
        <f t="shared" si="1"/>
        <v>63.236480961780174</v>
      </c>
      <c r="K32" s="18">
        <f t="shared" si="2"/>
        <v>24.876070381572205</v>
      </c>
      <c r="L32" s="38"/>
      <c r="M32" s="20"/>
      <c r="N32" s="3"/>
      <c r="O32" s="3"/>
      <c r="P32" s="3"/>
      <c r="Q32" s="3"/>
    </row>
    <row r="33" spans="1:17" x14ac:dyDescent="0.3">
      <c r="A33" s="16">
        <v>2009</v>
      </c>
      <c r="B33" s="38">
        <v>4850489</v>
      </c>
      <c r="C33" s="38">
        <v>521400</v>
      </c>
      <c r="D33" s="38">
        <v>3163640</v>
      </c>
      <c r="E33" s="38">
        <v>2688400</v>
      </c>
      <c r="F33" s="38">
        <v>475241</v>
      </c>
      <c r="G33" s="38">
        <v>1165449</v>
      </c>
      <c r="H33" s="38">
        <v>47019</v>
      </c>
      <c r="I33" s="18">
        <f t="shared" si="0"/>
        <v>10.749431655241358</v>
      </c>
      <c r="J33" s="18">
        <f t="shared" si="1"/>
        <v>65.223114617928218</v>
      </c>
      <c r="K33" s="18">
        <f t="shared" si="2"/>
        <v>24.02745372683043</v>
      </c>
      <c r="L33" s="38"/>
      <c r="M33" s="20"/>
      <c r="N33" s="3"/>
      <c r="O33" s="3"/>
      <c r="P33" s="3"/>
      <c r="Q33" s="3"/>
    </row>
    <row r="34" spans="1:17" x14ac:dyDescent="0.3">
      <c r="A34" s="16">
        <v>2010</v>
      </c>
      <c r="B34" s="39">
        <v>5912499.7285569087</v>
      </c>
      <c r="C34" s="39">
        <v>596002.72463768581</v>
      </c>
      <c r="D34" s="39">
        <v>3988652.0000143666</v>
      </c>
      <c r="E34" s="39">
        <v>3432103</v>
      </c>
      <c r="F34" s="39">
        <v>556549.00001436681</v>
      </c>
      <c r="G34" s="39">
        <v>1327845.0039048567</v>
      </c>
      <c r="H34" s="40">
        <v>57070</v>
      </c>
      <c r="I34" s="18">
        <f t="shared" si="0"/>
        <v>10.080384811842604</v>
      </c>
      <c r="J34" s="18">
        <f t="shared" si="1"/>
        <v>67.461347706275419</v>
      </c>
      <c r="K34" s="18">
        <f t="shared" si="2"/>
        <v>22.458267481881975</v>
      </c>
      <c r="L34" s="38"/>
      <c r="M34" s="20"/>
      <c r="N34" s="3"/>
      <c r="O34" s="3"/>
      <c r="P34" s="3"/>
      <c r="Q34" s="3"/>
    </row>
    <row r="35" spans="1:17" x14ac:dyDescent="0.3">
      <c r="A35" s="16">
        <v>2011</v>
      </c>
      <c r="B35" s="39">
        <v>6966855.9243655009</v>
      </c>
      <c r="C35" s="39">
        <v>718720.30360259465</v>
      </c>
      <c r="D35" s="39">
        <v>4630135.3843632778</v>
      </c>
      <c r="E35" s="39">
        <v>4130135.3843245562</v>
      </c>
      <c r="F35" s="39">
        <v>500000.00003872137</v>
      </c>
      <c r="G35" s="39">
        <v>1618000.2363996282</v>
      </c>
      <c r="H35" s="40">
        <v>67506</v>
      </c>
      <c r="I35" s="18">
        <f t="shared" si="0"/>
        <v>10.316279127992035</v>
      </c>
      <c r="J35" s="18">
        <f t="shared" si="1"/>
        <v>66.459468010097581</v>
      </c>
      <c r="K35" s="18">
        <f t="shared" si="2"/>
        <v>23.224252861910387</v>
      </c>
      <c r="L35" s="38"/>
      <c r="M35" s="20"/>
      <c r="N35" s="3"/>
      <c r="O35" s="3"/>
      <c r="P35" s="3"/>
      <c r="Q35" s="3"/>
    </row>
    <row r="36" spans="1:17" x14ac:dyDescent="0.3">
      <c r="A36" s="16">
        <v>2012</v>
      </c>
      <c r="B36" s="39">
        <v>8202012.5333681982</v>
      </c>
      <c r="C36" s="39">
        <v>815767.1793272869</v>
      </c>
      <c r="D36" s="39">
        <v>5497628.8000883777</v>
      </c>
      <c r="E36" s="39">
        <v>4927028.8</v>
      </c>
      <c r="F36" s="39">
        <v>570600.00008837832</v>
      </c>
      <c r="G36" s="39">
        <v>1888616.553952534</v>
      </c>
      <c r="H36" s="40">
        <v>79094</v>
      </c>
      <c r="I36" s="18">
        <f t="shared" si="0"/>
        <v>9.9459391949049838</v>
      </c>
      <c r="J36" s="18">
        <f t="shared" si="1"/>
        <v>67.027802965703927</v>
      </c>
      <c r="K36" s="18">
        <f t="shared" si="2"/>
        <v>23.026257839391093</v>
      </c>
      <c r="L36" s="38"/>
      <c r="M36" s="20"/>
      <c r="N36" s="3"/>
      <c r="O36" s="3"/>
      <c r="P36" s="3"/>
      <c r="Q36" s="3"/>
    </row>
    <row r="37" spans="1:17" x14ac:dyDescent="0.3">
      <c r="A37" s="16">
        <v>2013</v>
      </c>
      <c r="B37" s="39">
        <v>9024033</v>
      </c>
      <c r="C37" s="39">
        <v>915000.52635561908</v>
      </c>
      <c r="D37" s="39">
        <v>5750558</v>
      </c>
      <c r="E37" s="39">
        <v>5110036</v>
      </c>
      <c r="F37" s="39">
        <v>640522.00016534806</v>
      </c>
      <c r="G37" s="39">
        <v>2358474</v>
      </c>
      <c r="H37" s="40">
        <v>86790.098147060489</v>
      </c>
      <c r="I37" s="18">
        <f t="shared" si="0"/>
        <v>10.139596412774853</v>
      </c>
      <c r="J37" s="18">
        <f t="shared" si="1"/>
        <v>63.724922105227236</v>
      </c>
      <c r="K37" s="18">
        <f t="shared" si="2"/>
        <v>26.135481481997914</v>
      </c>
      <c r="L37" s="38"/>
      <c r="M37" s="20"/>
      <c r="N37" s="3"/>
      <c r="O37" s="3"/>
      <c r="P37" s="3"/>
      <c r="Q37" s="3"/>
    </row>
    <row r="38" spans="1:17" x14ac:dyDescent="0.3">
      <c r="A38" s="16">
        <v>2014</v>
      </c>
      <c r="B38" s="39">
        <v>9405843</v>
      </c>
      <c r="C38" s="39">
        <v>984852</v>
      </c>
      <c r="D38" s="39">
        <v>5895206</v>
      </c>
      <c r="E38" s="39">
        <v>5223860</v>
      </c>
      <c r="F38" s="39">
        <v>671346</v>
      </c>
      <c r="G38" s="39">
        <v>2525785</v>
      </c>
      <c r="H38" s="40">
        <v>90471</v>
      </c>
      <c r="I38" s="18">
        <f t="shared" si="0"/>
        <v>10.470640430634447</v>
      </c>
      <c r="J38" s="18">
        <f t="shared" si="1"/>
        <v>62.675998312963543</v>
      </c>
      <c r="K38" s="18">
        <f t="shared" si="2"/>
        <v>26.85336125640201</v>
      </c>
      <c r="L38" s="38"/>
      <c r="M38" s="20"/>
      <c r="N38" s="3"/>
      <c r="O38" s="3"/>
      <c r="P38" s="3"/>
      <c r="Q38" s="3"/>
    </row>
    <row r="39" spans="1:17" x14ac:dyDescent="0.3">
      <c r="A39" s="16">
        <v>2015</v>
      </c>
      <c r="B39" s="39">
        <v>10001044</v>
      </c>
      <c r="C39" s="39">
        <v>1055034</v>
      </c>
      <c r="D39" s="39">
        <v>6111200</v>
      </c>
      <c r="E39" s="39">
        <v>5414500.2485000007</v>
      </c>
      <c r="F39" s="39">
        <v>696700</v>
      </c>
      <c r="G39" s="39">
        <v>2834810</v>
      </c>
      <c r="H39" s="40">
        <v>96265</v>
      </c>
      <c r="I39" s="18">
        <f t="shared" si="0"/>
        <v>10.549238659483951</v>
      </c>
      <c r="J39" s="18">
        <f t="shared" si="1"/>
        <v>61.105620573212164</v>
      </c>
      <c r="K39" s="18">
        <f t="shared" si="2"/>
        <v>28.345140767303889</v>
      </c>
      <c r="L39" s="38"/>
      <c r="M39" s="20"/>
      <c r="N39" s="3"/>
      <c r="O39" s="3"/>
      <c r="P39" s="3"/>
      <c r="Q39" s="3"/>
    </row>
    <row r="40" spans="1:17" x14ac:dyDescent="0.3">
      <c r="A40" s="16">
        <v>2016</v>
      </c>
      <c r="B40" s="39">
        <v>10455100</v>
      </c>
      <c r="C40" s="39">
        <v>1153000</v>
      </c>
      <c r="D40" s="39">
        <v>6137100</v>
      </c>
      <c r="E40" s="39">
        <v>5407700</v>
      </c>
      <c r="F40" s="39">
        <v>729400</v>
      </c>
      <c r="G40" s="39">
        <v>3165000</v>
      </c>
      <c r="H40" s="40">
        <v>100073</v>
      </c>
      <c r="I40" s="18">
        <f t="shared" si="0"/>
        <v>11.02811068282465</v>
      </c>
      <c r="J40" s="18">
        <f t="shared" si="1"/>
        <v>58.699582022170993</v>
      </c>
      <c r="K40" s="18">
        <f t="shared" si="2"/>
        <v>30.27230729500436</v>
      </c>
      <c r="L40" s="38"/>
      <c r="M40" s="20"/>
      <c r="N40" s="3"/>
      <c r="O40" s="3"/>
      <c r="P40" s="3"/>
      <c r="Q40" s="3"/>
    </row>
    <row r="41" spans="1:17" ht="12" customHeight="1" x14ac:dyDescent="0.3">
      <c r="A41" s="100" t="s">
        <v>40</v>
      </c>
      <c r="B41" s="100"/>
      <c r="C41" s="100"/>
      <c r="D41" s="100"/>
      <c r="E41" s="100"/>
      <c r="F41" s="100"/>
      <c r="G41" s="100"/>
      <c r="H41" s="100"/>
      <c r="I41" s="12"/>
      <c r="J41" s="12"/>
      <c r="K41" s="12"/>
      <c r="L41" s="20"/>
      <c r="M41" s="20"/>
      <c r="N41" s="3"/>
      <c r="O41" s="3"/>
      <c r="P41" s="3"/>
      <c r="Q41" s="3"/>
    </row>
    <row r="42" spans="1:17" x14ac:dyDescent="0.3">
      <c r="A42" s="100" t="s">
        <v>64</v>
      </c>
      <c r="B42" s="100"/>
      <c r="C42" s="100"/>
      <c r="D42" s="100"/>
      <c r="E42" s="100"/>
      <c r="F42" s="100"/>
      <c r="G42" s="100"/>
      <c r="H42" s="100"/>
      <c r="I42" s="12"/>
      <c r="J42" s="12"/>
      <c r="K42" s="12"/>
      <c r="L42" s="20"/>
      <c r="M42" s="20"/>
      <c r="N42" s="3"/>
      <c r="O42" s="3"/>
      <c r="P42" s="3"/>
      <c r="Q42" s="3"/>
    </row>
    <row r="43" spans="1:17" x14ac:dyDescent="0.3">
      <c r="A43" s="100" t="s">
        <v>65</v>
      </c>
      <c r="B43" s="100"/>
      <c r="C43" s="100"/>
      <c r="D43" s="100"/>
      <c r="E43" s="100"/>
      <c r="F43" s="100"/>
      <c r="G43" s="100"/>
      <c r="H43" s="100"/>
      <c r="I43" s="12"/>
      <c r="J43" s="12"/>
      <c r="K43" s="12"/>
      <c r="L43" s="20"/>
      <c r="M43" s="20"/>
      <c r="N43" s="3"/>
      <c r="O43" s="3"/>
      <c r="P43" s="3"/>
      <c r="Q43" s="3"/>
    </row>
    <row r="44" spans="1:17" x14ac:dyDescent="0.3">
      <c r="A44" s="41"/>
      <c r="B44" s="20"/>
      <c r="C44" s="20"/>
      <c r="D44" s="20"/>
      <c r="E44" s="20"/>
      <c r="F44" s="20"/>
      <c r="G44" s="20"/>
      <c r="H44" s="20"/>
      <c r="I44" s="12"/>
      <c r="J44" s="12"/>
      <c r="K44" s="12"/>
      <c r="L44" s="20"/>
      <c r="M44" s="20"/>
      <c r="N44" s="3"/>
      <c r="O44" s="3"/>
      <c r="P44" s="3"/>
      <c r="Q44" s="3"/>
    </row>
    <row r="45" spans="1:17" x14ac:dyDescent="0.3">
      <c r="A45" s="41"/>
      <c r="B45" s="20"/>
      <c r="C45" s="20"/>
      <c r="D45" s="20"/>
      <c r="E45" s="20"/>
      <c r="F45" s="20"/>
      <c r="G45" s="20"/>
      <c r="H45" s="20"/>
      <c r="I45" s="12"/>
      <c r="J45" s="12"/>
      <c r="K45" s="12"/>
      <c r="L45" s="20"/>
      <c r="M45" s="20"/>
      <c r="N45" s="3"/>
    </row>
    <row r="46" spans="1:17" x14ac:dyDescent="0.3">
      <c r="A46" s="41"/>
      <c r="B46" s="20"/>
      <c r="C46" s="20"/>
      <c r="D46" s="20"/>
      <c r="E46" s="20"/>
      <c r="F46" s="20"/>
      <c r="G46" s="20"/>
      <c r="H46" s="20"/>
      <c r="I46" s="12"/>
      <c r="J46" s="12"/>
      <c r="K46" s="12"/>
      <c r="L46" s="20"/>
      <c r="M46" s="20"/>
      <c r="N46" s="3"/>
    </row>
    <row r="47" spans="1:17" x14ac:dyDescent="0.3">
      <c r="A47" s="41"/>
      <c r="B47" s="20"/>
      <c r="C47" s="20"/>
      <c r="D47" s="20"/>
      <c r="E47" s="20"/>
      <c r="F47" s="20"/>
      <c r="G47" s="20"/>
      <c r="H47" s="20"/>
      <c r="I47" s="12"/>
      <c r="J47" s="12"/>
      <c r="K47" s="12"/>
      <c r="L47" s="20"/>
      <c r="M47" s="20"/>
      <c r="N47" s="3"/>
    </row>
    <row r="48" spans="1:17" x14ac:dyDescent="0.3">
      <c r="A48" s="41"/>
      <c r="B48" s="20"/>
      <c r="C48" s="20"/>
      <c r="D48" s="20"/>
      <c r="E48" s="20"/>
      <c r="F48" s="20"/>
      <c r="G48" s="20"/>
      <c r="H48" s="20"/>
      <c r="I48" s="12"/>
      <c r="J48" s="12"/>
      <c r="K48" s="12"/>
      <c r="L48" s="20"/>
      <c r="M48" s="20"/>
      <c r="N48" s="3"/>
    </row>
    <row r="49" spans="1:14" x14ac:dyDescent="0.3">
      <c r="A49" s="41"/>
      <c r="B49" s="20"/>
      <c r="C49" s="20"/>
      <c r="D49" s="20"/>
      <c r="E49" s="20"/>
      <c r="F49" s="20"/>
      <c r="G49" s="20"/>
      <c r="H49" s="20"/>
      <c r="I49" s="12"/>
      <c r="J49" s="12"/>
      <c r="K49" s="12"/>
      <c r="L49" s="20"/>
      <c r="M49" s="20"/>
      <c r="N49" s="3"/>
    </row>
    <row r="50" spans="1:14" x14ac:dyDescent="0.3">
      <c r="A50" s="41"/>
      <c r="B50" s="20"/>
      <c r="C50" s="20"/>
      <c r="D50" s="20"/>
      <c r="E50" s="20"/>
      <c r="F50" s="20"/>
      <c r="G50" s="20"/>
      <c r="H50" s="20"/>
      <c r="I50" s="12"/>
      <c r="J50" s="12"/>
      <c r="K50" s="12"/>
      <c r="L50" s="20"/>
      <c r="M50" s="20"/>
      <c r="N50" s="3"/>
    </row>
    <row r="51" spans="1:14" x14ac:dyDescent="0.3">
      <c r="A51" s="41"/>
      <c r="B51" s="20"/>
      <c r="C51" s="20"/>
      <c r="D51" s="20"/>
      <c r="E51" s="20"/>
      <c r="F51" s="20"/>
      <c r="G51" s="20"/>
      <c r="H51" s="20"/>
      <c r="I51" s="12"/>
      <c r="J51" s="12"/>
      <c r="K51" s="12"/>
      <c r="L51" s="20"/>
      <c r="M51" s="20"/>
      <c r="N51" s="3"/>
    </row>
    <row r="52" spans="1:14" x14ac:dyDescent="0.3">
      <c r="A52" s="41"/>
      <c r="B52" s="20"/>
      <c r="C52" s="20"/>
      <c r="D52" s="20"/>
      <c r="E52" s="20"/>
      <c r="F52" s="20"/>
      <c r="G52" s="20"/>
      <c r="H52" s="20"/>
      <c r="I52" s="12"/>
      <c r="J52" s="12"/>
      <c r="K52" s="12"/>
      <c r="L52" s="20"/>
      <c r="M52" s="20"/>
      <c r="N52" s="3"/>
    </row>
    <row r="53" spans="1:14" x14ac:dyDescent="0.3">
      <c r="A53" s="41"/>
      <c r="B53" s="20"/>
      <c r="C53" s="20"/>
      <c r="D53" s="20"/>
      <c r="E53" s="20"/>
      <c r="F53" s="20"/>
      <c r="G53" s="20"/>
      <c r="H53" s="20"/>
      <c r="I53" s="12"/>
      <c r="J53" s="12"/>
      <c r="K53" s="12"/>
      <c r="L53" s="20"/>
      <c r="M53" s="20"/>
      <c r="N53" s="3"/>
    </row>
    <row r="54" spans="1:14" x14ac:dyDescent="0.3">
      <c r="A54" s="41"/>
      <c r="B54" s="20"/>
      <c r="C54" s="20"/>
      <c r="D54" s="20"/>
      <c r="E54" s="20"/>
      <c r="F54" s="20"/>
      <c r="G54" s="20"/>
      <c r="H54" s="20"/>
      <c r="I54" s="12"/>
      <c r="J54" s="12"/>
      <c r="K54" s="12"/>
      <c r="L54" s="20"/>
      <c r="M54" s="20"/>
      <c r="N54" s="3"/>
    </row>
    <row r="55" spans="1:14" x14ac:dyDescent="0.3">
      <c r="A55" s="41"/>
      <c r="B55" s="20"/>
      <c r="C55" s="20"/>
      <c r="D55" s="20"/>
      <c r="E55" s="20"/>
      <c r="F55" s="20"/>
      <c r="G55" s="20"/>
      <c r="H55" s="20"/>
      <c r="I55" s="12"/>
      <c r="J55" s="12"/>
      <c r="K55" s="12"/>
      <c r="L55" s="20"/>
      <c r="M55" s="20"/>
      <c r="N55" s="3"/>
    </row>
    <row r="56" spans="1:14" x14ac:dyDescent="0.3">
      <c r="A56" s="41"/>
      <c r="B56" s="20"/>
      <c r="C56" s="20"/>
      <c r="D56" s="20"/>
      <c r="E56" s="20"/>
      <c r="F56" s="20"/>
      <c r="G56" s="20"/>
      <c r="H56" s="20"/>
      <c r="I56" s="12"/>
      <c r="J56" s="12"/>
      <c r="K56" s="12"/>
      <c r="L56" s="20"/>
      <c r="M56" s="20"/>
      <c r="N56" s="3"/>
    </row>
    <row r="57" spans="1:14" x14ac:dyDescent="0.3">
      <c r="B57" s="21"/>
      <c r="C57" s="21"/>
      <c r="D57" s="21"/>
      <c r="E57" s="21"/>
      <c r="F57" s="21"/>
      <c r="G57" s="21"/>
      <c r="H57" s="21"/>
      <c r="I57" s="58"/>
      <c r="J57" s="58"/>
      <c r="K57" s="58"/>
      <c r="L57" s="21"/>
      <c r="M57" s="21"/>
    </row>
    <row r="58" spans="1:14" x14ac:dyDescent="0.3">
      <c r="B58" s="21"/>
      <c r="C58" s="21"/>
      <c r="D58" s="21"/>
      <c r="E58" s="21"/>
      <c r="F58" s="21"/>
      <c r="G58" s="21"/>
      <c r="H58" s="21"/>
      <c r="I58" s="58"/>
      <c r="J58" s="58"/>
      <c r="K58" s="58"/>
      <c r="L58" s="21"/>
      <c r="M58" s="21"/>
    </row>
    <row r="59" spans="1:14" x14ac:dyDescent="0.3">
      <c r="B59" s="21"/>
      <c r="C59" s="21"/>
      <c r="D59" s="21"/>
      <c r="E59" s="21"/>
      <c r="F59" s="21"/>
      <c r="G59" s="21"/>
      <c r="H59" s="21"/>
      <c r="I59" s="58"/>
      <c r="J59" s="58"/>
      <c r="K59" s="58"/>
      <c r="L59" s="21"/>
      <c r="M59" s="21"/>
    </row>
    <row r="60" spans="1:14" x14ac:dyDescent="0.3">
      <c r="B60" s="21"/>
      <c r="C60" s="21"/>
      <c r="D60" s="21"/>
      <c r="E60" s="21"/>
      <c r="F60" s="21"/>
      <c r="G60" s="21"/>
      <c r="H60" s="21"/>
      <c r="I60" s="58"/>
      <c r="J60" s="58"/>
      <c r="K60" s="58"/>
      <c r="L60" s="21"/>
      <c r="M60" s="21"/>
    </row>
    <row r="61" spans="1:14" x14ac:dyDescent="0.3">
      <c r="B61" s="21"/>
      <c r="C61" s="21"/>
      <c r="D61" s="21"/>
      <c r="E61" s="21"/>
      <c r="F61" s="21"/>
      <c r="G61" s="21"/>
      <c r="H61" s="21"/>
      <c r="I61" s="58"/>
      <c r="J61" s="58"/>
      <c r="K61" s="58"/>
      <c r="L61" s="21"/>
      <c r="M61" s="21"/>
    </row>
    <row r="62" spans="1:14" x14ac:dyDescent="0.3">
      <c r="B62" s="21"/>
      <c r="C62" s="21"/>
      <c r="D62" s="21"/>
      <c r="E62" s="21"/>
      <c r="F62" s="21"/>
      <c r="G62" s="21"/>
      <c r="H62" s="21"/>
      <c r="I62" s="58"/>
      <c r="J62" s="58"/>
      <c r="K62" s="58"/>
      <c r="L62" s="21"/>
      <c r="M62" s="21"/>
    </row>
    <row r="63" spans="1:14" x14ac:dyDescent="0.3">
      <c r="B63" s="21"/>
      <c r="C63" s="21"/>
      <c r="D63" s="21"/>
      <c r="E63" s="21"/>
      <c r="F63" s="21"/>
      <c r="G63" s="21"/>
      <c r="H63" s="21"/>
      <c r="I63" s="58"/>
      <c r="J63" s="58"/>
      <c r="K63" s="58"/>
      <c r="L63" s="21"/>
      <c r="M63" s="21"/>
    </row>
    <row r="64" spans="1:14" x14ac:dyDescent="0.3">
      <c r="B64" s="21"/>
      <c r="C64" s="21"/>
      <c r="D64" s="21"/>
      <c r="E64" s="21"/>
      <c r="F64" s="21"/>
      <c r="G64" s="21"/>
      <c r="H64" s="21"/>
      <c r="I64" s="58"/>
      <c r="J64" s="58"/>
      <c r="K64" s="58"/>
      <c r="L64" s="21"/>
      <c r="M64" s="21"/>
    </row>
  </sheetData>
  <mergeCells count="13">
    <mergeCell ref="I2:K2"/>
    <mergeCell ref="G3:G4"/>
    <mergeCell ref="H2:H4"/>
    <mergeCell ref="A43:H43"/>
    <mergeCell ref="A41:H41"/>
    <mergeCell ref="A42:H42"/>
    <mergeCell ref="A1:H1"/>
    <mergeCell ref="C2:G2"/>
    <mergeCell ref="E3:F3"/>
    <mergeCell ref="A2:A4"/>
    <mergeCell ref="B2:B4"/>
    <mergeCell ref="C3:C4"/>
    <mergeCell ref="D3:D4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G40" sqref="G40"/>
    </sheetView>
  </sheetViews>
  <sheetFormatPr defaultColWidth="8.7109375" defaultRowHeight="15" x14ac:dyDescent="0.3"/>
  <sheetData>
    <row r="1" spans="1:8" ht="20.6" x14ac:dyDescent="0.45">
      <c r="A1" s="75" t="s">
        <v>41</v>
      </c>
      <c r="B1" s="76"/>
      <c r="C1" s="76"/>
      <c r="D1" s="76"/>
      <c r="E1" s="76"/>
      <c r="F1" s="76"/>
      <c r="G1" s="76"/>
      <c r="H1" s="76"/>
    </row>
    <row r="2" spans="1:8" x14ac:dyDescent="0.3">
      <c r="A2" s="101" t="s">
        <v>42</v>
      </c>
      <c r="B2" s="101"/>
      <c r="C2" s="101"/>
      <c r="D2" s="101"/>
      <c r="E2" s="101"/>
      <c r="F2" s="101"/>
      <c r="G2" s="101"/>
      <c r="H2" s="101"/>
    </row>
    <row r="3" spans="1:8" x14ac:dyDescent="0.3">
      <c r="A3" s="23"/>
      <c r="B3" s="80" t="s">
        <v>43</v>
      </c>
      <c r="C3" s="78"/>
      <c r="D3" s="78"/>
      <c r="E3" s="78"/>
      <c r="F3" s="78"/>
      <c r="G3" s="79"/>
      <c r="H3" s="80" t="s">
        <v>44</v>
      </c>
    </row>
    <row r="4" spans="1:8" x14ac:dyDescent="0.3">
      <c r="A4" s="24" t="s">
        <v>31</v>
      </c>
      <c r="B4" s="81"/>
      <c r="C4" s="80" t="s">
        <v>32</v>
      </c>
      <c r="D4" s="80" t="s">
        <v>33</v>
      </c>
      <c r="E4" s="78"/>
      <c r="F4" s="78"/>
      <c r="G4" s="83" t="s">
        <v>34</v>
      </c>
      <c r="H4" s="81"/>
    </row>
    <row r="5" spans="1:8" x14ac:dyDescent="0.3">
      <c r="A5" s="25"/>
      <c r="B5" s="82"/>
      <c r="C5" s="82"/>
      <c r="D5" s="82"/>
      <c r="E5" s="26" t="s">
        <v>35</v>
      </c>
      <c r="F5" s="27" t="s">
        <v>36</v>
      </c>
      <c r="G5" s="84"/>
      <c r="H5" s="82"/>
    </row>
    <row r="6" spans="1:8" x14ac:dyDescent="0.3">
      <c r="A6" s="28">
        <v>1949</v>
      </c>
      <c r="B6" s="29">
        <v>100</v>
      </c>
      <c r="C6" s="30">
        <v>100</v>
      </c>
      <c r="D6" s="30">
        <v>100</v>
      </c>
      <c r="E6" s="30">
        <v>100</v>
      </c>
      <c r="F6" s="30">
        <v>100</v>
      </c>
      <c r="G6" s="30">
        <v>100</v>
      </c>
      <c r="H6" s="30">
        <v>100</v>
      </c>
    </row>
    <row r="7" spans="1:8" x14ac:dyDescent="0.3">
      <c r="A7" s="31">
        <v>1950</v>
      </c>
      <c r="B7" s="32">
        <v>113.75251439102543</v>
      </c>
      <c r="C7" s="30">
        <v>113.6717533478667</v>
      </c>
      <c r="D7" s="30">
        <v>109.06243685593049</v>
      </c>
      <c r="E7" s="30">
        <v>105.55555555555556</v>
      </c>
      <c r="F7" s="30">
        <v>148.51485148514851</v>
      </c>
      <c r="G7" s="30">
        <v>118.91886478799893</v>
      </c>
      <c r="H7" s="30">
        <v>108.16831442119843</v>
      </c>
    </row>
    <row r="8" spans="1:8" x14ac:dyDescent="0.3">
      <c r="A8" s="31">
        <v>1951</v>
      </c>
      <c r="B8" s="32">
        <v>104.20210731016599</v>
      </c>
      <c r="C8" s="30">
        <v>102.07353811272353</v>
      </c>
      <c r="D8" s="30">
        <v>119.5343758674933</v>
      </c>
      <c r="E8" s="30">
        <v>115.87368421052631</v>
      </c>
      <c r="F8" s="30">
        <v>148.51485148514854</v>
      </c>
      <c r="G8" s="30">
        <v>125.19020323084939</v>
      </c>
      <c r="H8" s="30">
        <v>101.80467777901751</v>
      </c>
    </row>
    <row r="9" spans="1:8" x14ac:dyDescent="0.3">
      <c r="A9" s="31">
        <v>1952</v>
      </c>
      <c r="B9" s="32">
        <v>109.69995077962476</v>
      </c>
      <c r="C9" s="30">
        <v>108.91763104152483</v>
      </c>
      <c r="D9" s="30">
        <v>91.792876976642063</v>
      </c>
      <c r="E9" s="30">
        <v>85.755813953488385</v>
      </c>
      <c r="F9" s="30">
        <v>128.71287128712871</v>
      </c>
      <c r="G9" s="30">
        <v>132.01632781694238</v>
      </c>
      <c r="H9" s="30">
        <v>106.77406457710717</v>
      </c>
    </row>
    <row r="10" spans="1:8" x14ac:dyDescent="0.3">
      <c r="A10" s="31">
        <v>1953</v>
      </c>
      <c r="B10" s="32">
        <v>90.317612166463761</v>
      </c>
      <c r="C10" s="30">
        <v>84.331496147260268</v>
      </c>
      <c r="D10" s="30">
        <v>127.15739371742072</v>
      </c>
      <c r="E10" s="30">
        <v>107.95593635250916</v>
      </c>
      <c r="F10" s="30">
        <v>204.61968325791858</v>
      </c>
      <c r="G10" s="30">
        <v>135.5832876948885</v>
      </c>
      <c r="H10" s="30">
        <v>83.775585679070389</v>
      </c>
    </row>
    <row r="11" spans="1:8" x14ac:dyDescent="0.3">
      <c r="A11" s="31">
        <v>1954</v>
      </c>
      <c r="B11" s="32">
        <v>165.02978093627044</v>
      </c>
      <c r="C11" s="30">
        <v>167.54888304184078</v>
      </c>
      <c r="D11" s="30">
        <v>153.69235044370947</v>
      </c>
      <c r="E11" s="30">
        <v>172.56235827664401</v>
      </c>
      <c r="F11" s="30">
        <v>114.05756855922471</v>
      </c>
      <c r="G11" s="30">
        <v>151.89316041546294</v>
      </c>
      <c r="H11" s="30">
        <v>158.32431990924854</v>
      </c>
    </row>
    <row r="12" spans="1:8" x14ac:dyDescent="0.3">
      <c r="A12" s="31">
        <v>1955</v>
      </c>
      <c r="B12" s="32">
        <v>102.91000361179643</v>
      </c>
      <c r="C12" s="30">
        <v>95.975489592314318</v>
      </c>
      <c r="D12" s="30">
        <v>155.44426875025346</v>
      </c>
      <c r="E12" s="30">
        <v>141.52431011826545</v>
      </c>
      <c r="F12" s="30">
        <v>198.88243753092533</v>
      </c>
      <c r="G12" s="30">
        <v>133.20883869917805</v>
      </c>
      <c r="H12" s="30">
        <v>96.111006467109192</v>
      </c>
    </row>
    <row r="13" spans="1:8" x14ac:dyDescent="0.3">
      <c r="A13" s="31">
        <v>1956</v>
      </c>
      <c r="B13" s="32">
        <v>121.99086107280476</v>
      </c>
      <c r="C13" s="30">
        <v>119.00927203310981</v>
      </c>
      <c r="D13" s="30">
        <v>128.98160436605835</v>
      </c>
      <c r="E13" s="30">
        <v>126.09099350046424</v>
      </c>
      <c r="F13" s="30">
        <v>135.46490599757459</v>
      </c>
      <c r="G13" s="30">
        <v>134.8570999095937</v>
      </c>
      <c r="H13" s="30">
        <v>115.43377145712688</v>
      </c>
    </row>
    <row r="14" spans="1:8" x14ac:dyDescent="0.3">
      <c r="A14" s="31">
        <v>1957</v>
      </c>
      <c r="B14" s="32">
        <v>91.455981586797648</v>
      </c>
      <c r="C14" s="30">
        <v>80.153124494527418</v>
      </c>
      <c r="D14" s="30">
        <v>138.00728068764269</v>
      </c>
      <c r="E14" s="30">
        <v>147.64359351988222</v>
      </c>
      <c r="F14" s="30">
        <v>116.10910891814777</v>
      </c>
      <c r="G14" s="30">
        <v>119.98964360197424</v>
      </c>
      <c r="H14" s="30">
        <v>83.218049468368065</v>
      </c>
    </row>
    <row r="15" spans="1:8" x14ac:dyDescent="0.3">
      <c r="A15" s="31">
        <v>1958</v>
      </c>
      <c r="B15" s="32">
        <v>143.25839460849062</v>
      </c>
      <c r="C15" s="30">
        <v>133.82550787030809</v>
      </c>
      <c r="D15" s="30">
        <v>221.65130671952747</v>
      </c>
      <c r="E15" s="30">
        <v>233.74064837905237</v>
      </c>
      <c r="F15" s="30">
        <v>183.75255905390495</v>
      </c>
      <c r="G15" s="30">
        <v>128.18928457823085</v>
      </c>
      <c r="H15" s="30">
        <v>136.00252010692986</v>
      </c>
    </row>
    <row r="16" spans="1:8" x14ac:dyDescent="0.3">
      <c r="A16" s="31">
        <v>1959</v>
      </c>
      <c r="B16" s="32">
        <v>135.12051317467206</v>
      </c>
      <c r="C16" s="30">
        <v>128.70391314182314</v>
      </c>
      <c r="D16" s="30">
        <v>147.91455018994674</v>
      </c>
      <c r="E16" s="30">
        <v>155.44649525232052</v>
      </c>
      <c r="F16" s="30">
        <v>119.03408642107497</v>
      </c>
      <c r="G16" s="30">
        <v>145.60794678369822</v>
      </c>
      <c r="H16" s="30">
        <v>116.4467993551131</v>
      </c>
    </row>
    <row r="17" spans="1:8" x14ac:dyDescent="0.3">
      <c r="A17" s="31">
        <v>1960</v>
      </c>
      <c r="B17" s="32">
        <v>109.43968054445503</v>
      </c>
      <c r="C17" s="30">
        <v>99.851591486037862</v>
      </c>
      <c r="D17" s="30">
        <v>136.27019337435812</v>
      </c>
      <c r="E17" s="30">
        <v>131.92175703500345</v>
      </c>
      <c r="F17" s="30">
        <v>155.84733081778185</v>
      </c>
      <c r="G17" s="30">
        <v>113.62475522307409</v>
      </c>
      <c r="H17" s="30">
        <v>84.280938396683496</v>
      </c>
    </row>
    <row r="18" spans="1:8" x14ac:dyDescent="0.3">
      <c r="A18" s="31">
        <v>1961</v>
      </c>
      <c r="B18" s="32">
        <v>71.41000186644753</v>
      </c>
      <c r="C18" s="30">
        <v>72.094385061099956</v>
      </c>
      <c r="D18" s="30">
        <v>53.824597512482178</v>
      </c>
      <c r="E18" s="30">
        <v>60.721346443993539</v>
      </c>
      <c r="F18" s="30">
        <v>26.909823870996298</v>
      </c>
      <c r="G18" s="30">
        <v>89.087517271489219</v>
      </c>
      <c r="H18" s="30">
        <v>79.559035236985778</v>
      </c>
    </row>
    <row r="19" spans="1:8" x14ac:dyDescent="0.3">
      <c r="A19" s="31">
        <v>1962</v>
      </c>
      <c r="B19" s="32">
        <v>97.663631802097896</v>
      </c>
      <c r="C19" s="30">
        <v>109.22026930880919</v>
      </c>
      <c r="D19" s="30">
        <v>64.806692376601831</v>
      </c>
      <c r="E19" s="30">
        <v>67.957052586483869</v>
      </c>
      <c r="F19" s="30">
        <v>37.138596464630446</v>
      </c>
      <c r="G19" s="30">
        <v>90.162884106717271</v>
      </c>
      <c r="H19" s="30">
        <v>103.09184800343249</v>
      </c>
    </row>
    <row r="20" spans="1:8" x14ac:dyDescent="0.3">
      <c r="A20" s="31">
        <v>1963</v>
      </c>
      <c r="B20" s="32">
        <v>106.1829257557897</v>
      </c>
      <c r="C20" s="30">
        <v>104.28006176413822</v>
      </c>
      <c r="D20" s="30">
        <v>108.45113427920914</v>
      </c>
      <c r="E20" s="30">
        <v>96.341300048068206</v>
      </c>
      <c r="F20" s="30">
        <v>293.45532198438121</v>
      </c>
      <c r="G20" s="30">
        <v>111.71012604182739</v>
      </c>
      <c r="H20" s="30">
        <v>102.21863456928422</v>
      </c>
    </row>
    <row r="21" spans="1:8" x14ac:dyDescent="0.3">
      <c r="A21" s="31">
        <v>1964</v>
      </c>
      <c r="B21" s="32">
        <v>124.48739753072078</v>
      </c>
      <c r="C21" s="30">
        <v>132.2335847485077</v>
      </c>
      <c r="D21" s="30">
        <v>108.09886715785355</v>
      </c>
      <c r="E21" s="30">
        <v>101.89759528872892</v>
      </c>
      <c r="F21" s="30">
        <v>142.15123701359028</v>
      </c>
      <c r="G21" s="30">
        <v>106.98705978451031</v>
      </c>
      <c r="H21" s="30">
        <v>118.87336430309023</v>
      </c>
    </row>
    <row r="22" spans="1:8" x14ac:dyDescent="0.3">
      <c r="A22" s="31">
        <v>1965</v>
      </c>
      <c r="B22" s="32">
        <v>109.87493323457893</v>
      </c>
      <c r="C22" s="30">
        <v>106.63645589110125</v>
      </c>
      <c r="D22" s="30">
        <v>125.15698817682068</v>
      </c>
      <c r="E22" s="30">
        <v>127.32380799486273</v>
      </c>
      <c r="F22" s="30">
        <v>117.06122747605592</v>
      </c>
      <c r="G22" s="30">
        <v>114.61632760073539</v>
      </c>
      <c r="H22" s="30">
        <v>105.68068434000479</v>
      </c>
    </row>
    <row r="23" spans="1:8" x14ac:dyDescent="0.3">
      <c r="A23" s="31">
        <v>1966</v>
      </c>
      <c r="B23" s="32">
        <v>96.644128213761121</v>
      </c>
      <c r="C23" s="30">
        <v>92.859369616223944</v>
      </c>
      <c r="D23" s="30">
        <v>96.699359274702985</v>
      </c>
      <c r="E23" s="30">
        <v>101.21334005800024</v>
      </c>
      <c r="F23" s="30">
        <v>76.083422559452657</v>
      </c>
      <c r="G23" s="30">
        <v>112.3040660916808</v>
      </c>
      <c r="H23" s="30">
        <v>93.68139941702151</v>
      </c>
    </row>
    <row r="24" spans="1:8" x14ac:dyDescent="0.3">
      <c r="A24" s="31">
        <v>1967</v>
      </c>
      <c r="B24" s="32">
        <v>105.97530330610752</v>
      </c>
      <c r="C24" s="30">
        <v>110.70942662779397</v>
      </c>
      <c r="D24" s="30">
        <v>93.7723430870453</v>
      </c>
      <c r="E24" s="30">
        <v>91.962981003409652</v>
      </c>
      <c r="F24" s="30">
        <v>105.51442731445681</v>
      </c>
      <c r="G24" s="30">
        <v>96.445624813334945</v>
      </c>
      <c r="H24" s="30">
        <v>102.05238822894532</v>
      </c>
    </row>
    <row r="25" spans="1:8" x14ac:dyDescent="0.3">
      <c r="A25" s="31">
        <v>1968</v>
      </c>
      <c r="B25" s="32">
        <v>90.373452391991762</v>
      </c>
      <c r="C25" s="30">
        <v>86.660495403472936</v>
      </c>
      <c r="D25" s="30">
        <v>94.722620570826834</v>
      </c>
      <c r="E25" s="30">
        <v>96.84851694915254</v>
      </c>
      <c r="F25" s="30">
        <v>82.476617746771367</v>
      </c>
      <c r="G25" s="30">
        <v>102.96991527577477</v>
      </c>
      <c r="H25" s="30">
        <v>86.261743037028168</v>
      </c>
    </row>
    <row r="26" spans="1:8" x14ac:dyDescent="0.3">
      <c r="A26" s="31">
        <v>1969</v>
      </c>
      <c r="B26" s="32">
        <v>97.014760009901693</v>
      </c>
      <c r="C26" s="30">
        <v>99.91528233084091</v>
      </c>
      <c r="D26" s="30">
        <v>88.547976367817071</v>
      </c>
      <c r="E26" s="30">
        <v>87.755186248983293</v>
      </c>
      <c r="F26" s="30">
        <v>94.006042006971811</v>
      </c>
      <c r="G26" s="30">
        <v>91.287423067965094</v>
      </c>
      <c r="H26" s="30">
        <v>92.772068310272374</v>
      </c>
    </row>
    <row r="27" spans="1:8" x14ac:dyDescent="0.3">
      <c r="A27" s="31">
        <v>1970</v>
      </c>
      <c r="B27" s="32">
        <v>110.32250413419784</v>
      </c>
      <c r="C27" s="30">
        <v>103.39667607808443</v>
      </c>
      <c r="D27" s="30">
        <v>135.9528943472325</v>
      </c>
      <c r="E27" s="30">
        <v>138.7113484220593</v>
      </c>
      <c r="F27" s="30">
        <v>117.47020990979942</v>
      </c>
      <c r="G27" s="30">
        <v>124.40432669740412</v>
      </c>
      <c r="H27" s="30">
        <v>105.99557914941306</v>
      </c>
    </row>
    <row r="28" spans="1:8" x14ac:dyDescent="0.3">
      <c r="A28" s="31">
        <v>1971</v>
      </c>
      <c r="B28" s="32">
        <v>103.6872067148648</v>
      </c>
      <c r="C28" s="30">
        <v>96.481767722897501</v>
      </c>
      <c r="D28" s="30">
        <v>117.18460342744699</v>
      </c>
      <c r="E28" s="30">
        <v>108.58119559909225</v>
      </c>
      <c r="F28" s="30">
        <v>194.99451547074986</v>
      </c>
      <c r="G28" s="30">
        <v>119.51305900872453</v>
      </c>
      <c r="H28" s="30">
        <v>98.597209620701193</v>
      </c>
    </row>
    <row r="29" spans="1:8" x14ac:dyDescent="0.3">
      <c r="A29" s="31">
        <v>1972</v>
      </c>
      <c r="B29" s="32">
        <v>96.907776963967905</v>
      </c>
      <c r="C29" s="30">
        <v>89.890586029237738</v>
      </c>
      <c r="D29" s="30">
        <v>114.53055701701693</v>
      </c>
      <c r="E29" s="30">
        <v>110.50526215534072</v>
      </c>
      <c r="F29" s="30">
        <v>132.11034043706775</v>
      </c>
      <c r="G29" s="30">
        <v>106.83736475847392</v>
      </c>
      <c r="H29" s="30">
        <v>92.947810300742844</v>
      </c>
    </row>
    <row r="30" spans="1:8" x14ac:dyDescent="0.3">
      <c r="A30" s="31">
        <v>1973</v>
      </c>
      <c r="B30" s="32">
        <v>124.92414629886513</v>
      </c>
      <c r="C30" s="30">
        <v>127.25210628645497</v>
      </c>
      <c r="D30" s="30">
        <v>114.22206623197846</v>
      </c>
      <c r="E30" s="30">
        <v>113.51942828413416</v>
      </c>
      <c r="F30" s="30">
        <v>116.79790640102755</v>
      </c>
      <c r="G30" s="30">
        <v>125.40907671071496</v>
      </c>
      <c r="H30" s="30">
        <v>121.33815184999224</v>
      </c>
    </row>
    <row r="31" spans="1:8" x14ac:dyDescent="0.3">
      <c r="A31" s="31">
        <v>1974</v>
      </c>
      <c r="B31" s="32">
        <v>104.94740088210553</v>
      </c>
      <c r="C31" s="30">
        <v>105.52975430334956</v>
      </c>
      <c r="D31" s="30">
        <v>115.71192055370621</v>
      </c>
      <c r="E31" s="30">
        <v>101.94453636151393</v>
      </c>
      <c r="F31" s="30">
        <v>165.05344008842297</v>
      </c>
      <c r="G31" s="30">
        <v>97.666655532052445</v>
      </c>
      <c r="H31" s="30">
        <v>101.52150898240787</v>
      </c>
    </row>
    <row r="32" spans="1:8" x14ac:dyDescent="0.3">
      <c r="A32" s="31">
        <v>1975</v>
      </c>
      <c r="B32" s="32">
        <v>105.37024065767717</v>
      </c>
      <c r="C32" s="30">
        <v>100.45655265324449</v>
      </c>
      <c r="D32" s="30">
        <v>115.25362738912408</v>
      </c>
      <c r="E32" s="30">
        <v>114.09445373666034</v>
      </c>
      <c r="F32" s="30">
        <v>117.82971832145415</v>
      </c>
      <c r="G32" s="30">
        <v>112.96529218112097</v>
      </c>
      <c r="H32" s="30">
        <v>103.02850393690599</v>
      </c>
    </row>
    <row r="33" spans="1:8" x14ac:dyDescent="0.3">
      <c r="A33" s="31">
        <v>1976</v>
      </c>
      <c r="B33" s="32">
        <v>103.77457643171213</v>
      </c>
      <c r="C33" s="30">
        <v>99.201311279988076</v>
      </c>
      <c r="D33" s="30">
        <v>107.5224143441681</v>
      </c>
      <c r="E33" s="30">
        <v>108.9048741163339</v>
      </c>
      <c r="F33" s="30">
        <v>104.53431521102803</v>
      </c>
      <c r="G33" s="30">
        <v>113.03908114805637</v>
      </c>
      <c r="H33" s="30">
        <v>101.56263918035202</v>
      </c>
    </row>
    <row r="34" spans="1:8" x14ac:dyDescent="0.3">
      <c r="A34" s="31">
        <v>1977</v>
      </c>
      <c r="B34" s="32">
        <v>102.28378177065962</v>
      </c>
      <c r="C34" s="33">
        <v>96.124613212365205</v>
      </c>
      <c r="D34" s="33">
        <v>117.10050834688008</v>
      </c>
      <c r="E34" s="33">
        <v>122.29244960710626</v>
      </c>
      <c r="F34" s="33">
        <v>105.24691399635415</v>
      </c>
      <c r="G34" s="33">
        <v>107.7718933564901</v>
      </c>
      <c r="H34" s="33">
        <v>100.22055032565851</v>
      </c>
    </row>
    <row r="35" spans="1:8" x14ac:dyDescent="0.3">
      <c r="A35" s="31">
        <v>1978</v>
      </c>
      <c r="B35" s="32">
        <v>75.165249287067525</v>
      </c>
      <c r="C35" s="33">
        <v>66.866727210100294</v>
      </c>
      <c r="D35" s="33">
        <v>105.39299571096639</v>
      </c>
      <c r="E35" s="33">
        <v>100.13696839161584</v>
      </c>
      <c r="F35" s="33">
        <v>118.31310854601614</v>
      </c>
      <c r="G35" s="33">
        <v>74.567834409600508</v>
      </c>
      <c r="H35" s="33">
        <v>73.7</v>
      </c>
    </row>
    <row r="36" spans="1:8" x14ac:dyDescent="0.3">
      <c r="A36" s="31">
        <v>1979</v>
      </c>
      <c r="B36" s="32">
        <v>134.5</v>
      </c>
      <c r="C36" s="33">
        <v>141.9</v>
      </c>
      <c r="D36" s="33">
        <v>117.5</v>
      </c>
      <c r="E36" s="33">
        <v>118.1</v>
      </c>
      <c r="F36" s="33">
        <v>115.9</v>
      </c>
      <c r="G36" s="33">
        <v>134.5</v>
      </c>
      <c r="H36" s="33">
        <v>132.69999999999999</v>
      </c>
    </row>
    <row r="37" spans="1:8" x14ac:dyDescent="0.3">
      <c r="A37" s="31">
        <v>1980</v>
      </c>
      <c r="B37" s="32">
        <v>91.9</v>
      </c>
      <c r="C37" s="33">
        <v>78.5</v>
      </c>
      <c r="D37" s="33">
        <v>104</v>
      </c>
      <c r="E37" s="33">
        <v>112.8</v>
      </c>
      <c r="F37" s="33">
        <v>82.6</v>
      </c>
      <c r="G37" s="33">
        <v>111.3</v>
      </c>
      <c r="H37" s="33">
        <v>90.8</v>
      </c>
    </row>
  </sheetData>
  <mergeCells count="9">
    <mergeCell ref="A1:H1"/>
    <mergeCell ref="A2:H2"/>
    <mergeCell ref="C3:G3"/>
    <mergeCell ref="E4:F4"/>
    <mergeCell ref="B3:B5"/>
    <mergeCell ref="C4:C5"/>
    <mergeCell ref="D4:D5"/>
    <mergeCell ref="G4:G5"/>
    <mergeCell ref="H3:H5"/>
  </mergeCells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workbookViewId="0">
      <selection activeCell="K23" sqref="K23"/>
    </sheetView>
  </sheetViews>
  <sheetFormatPr defaultColWidth="9" defaultRowHeight="15" x14ac:dyDescent="0.3"/>
  <cols>
    <col min="2" max="8" width="8.5" customWidth="1"/>
  </cols>
  <sheetData>
    <row r="1" spans="1:17" s="1" customFormat="1" ht="15" customHeight="1" x14ac:dyDescent="0.4">
      <c r="A1" s="102" t="s">
        <v>45</v>
      </c>
      <c r="B1" s="103"/>
      <c r="C1" s="103"/>
      <c r="D1" s="103"/>
      <c r="E1" s="103"/>
      <c r="F1" s="103"/>
      <c r="G1" s="103"/>
      <c r="H1" s="103"/>
    </row>
    <row r="2" spans="1:17" x14ac:dyDescent="0.3">
      <c r="A2" s="91"/>
      <c r="B2" s="93" t="s">
        <v>46</v>
      </c>
      <c r="C2" s="104"/>
      <c r="D2" s="104"/>
      <c r="E2" s="104"/>
      <c r="F2" s="104"/>
      <c r="G2" s="105"/>
      <c r="H2" s="92" t="s">
        <v>47</v>
      </c>
      <c r="I2" s="20"/>
      <c r="J2" s="21"/>
      <c r="K2" s="21"/>
      <c r="L2" s="21"/>
      <c r="M2" s="21"/>
    </row>
    <row r="3" spans="1:17" x14ac:dyDescent="0.3">
      <c r="A3" s="107"/>
      <c r="B3" s="93"/>
      <c r="C3" s="95" t="s">
        <v>32</v>
      </c>
      <c r="D3" s="97" t="s">
        <v>33</v>
      </c>
      <c r="E3" s="106" t="s">
        <v>48</v>
      </c>
      <c r="F3" s="88"/>
      <c r="G3" s="95" t="s">
        <v>34</v>
      </c>
      <c r="H3" s="93"/>
      <c r="I3" s="20"/>
      <c r="J3" s="21"/>
      <c r="K3" s="21"/>
      <c r="L3" s="21"/>
      <c r="M3" s="21"/>
    </row>
    <row r="4" spans="1:17" x14ac:dyDescent="0.3">
      <c r="A4" s="107"/>
      <c r="B4" s="94"/>
      <c r="C4" s="96"/>
      <c r="D4" s="96"/>
      <c r="E4" s="10" t="s">
        <v>49</v>
      </c>
      <c r="F4" s="10" t="s">
        <v>36</v>
      </c>
      <c r="G4" s="96"/>
      <c r="H4" s="94"/>
      <c r="I4" s="20"/>
      <c r="J4" s="20"/>
      <c r="K4" s="20"/>
      <c r="L4" s="20"/>
      <c r="M4" s="20"/>
      <c r="N4" s="3"/>
      <c r="O4" s="3"/>
      <c r="P4" s="3"/>
      <c r="Q4" s="3"/>
    </row>
    <row r="5" spans="1:17" x14ac:dyDescent="0.3">
      <c r="A5" s="13">
        <v>1981</v>
      </c>
      <c r="B5" s="12">
        <v>102.8</v>
      </c>
      <c r="C5" s="12">
        <v>110.5</v>
      </c>
      <c r="D5" s="12">
        <v>88.4</v>
      </c>
      <c r="E5" s="12">
        <v>91.1</v>
      </c>
      <c r="F5" s="12">
        <v>79.5</v>
      </c>
      <c r="G5" s="12">
        <v>101.6</v>
      </c>
      <c r="H5" s="12">
        <v>101.4</v>
      </c>
      <c r="I5" s="20"/>
      <c r="J5" s="20"/>
      <c r="K5" s="12"/>
      <c r="L5" s="20"/>
      <c r="M5" s="20"/>
      <c r="N5" s="3"/>
      <c r="O5" s="3"/>
      <c r="P5" s="3"/>
      <c r="Q5" s="3"/>
    </row>
    <row r="6" spans="1:17" x14ac:dyDescent="0.3">
      <c r="A6" s="13">
        <v>1982</v>
      </c>
      <c r="B6" s="12">
        <v>124.5</v>
      </c>
      <c r="C6" s="12">
        <v>145.30000000000001</v>
      </c>
      <c r="D6" s="14">
        <v>102</v>
      </c>
      <c r="E6" s="12">
        <v>95.5</v>
      </c>
      <c r="F6" s="12">
        <v>126.5</v>
      </c>
      <c r="G6" s="12">
        <v>104.4</v>
      </c>
      <c r="H6" s="12">
        <v>121.4</v>
      </c>
      <c r="I6" s="20"/>
      <c r="J6" s="20"/>
      <c r="K6" s="12"/>
      <c r="L6" s="20"/>
      <c r="M6" s="20"/>
      <c r="N6" s="3"/>
      <c r="O6" s="3"/>
      <c r="P6" s="3"/>
      <c r="Q6" s="3"/>
    </row>
    <row r="7" spans="1:17" x14ac:dyDescent="0.3">
      <c r="A7" s="13">
        <v>1983</v>
      </c>
      <c r="B7" s="12">
        <v>105.6</v>
      </c>
      <c r="C7" s="12">
        <v>93.5</v>
      </c>
      <c r="D7" s="12">
        <v>123</v>
      </c>
      <c r="E7" s="12">
        <v>127.8</v>
      </c>
      <c r="F7" s="12">
        <v>109.2</v>
      </c>
      <c r="G7" s="12">
        <v>122.6</v>
      </c>
      <c r="H7" s="12">
        <v>103.3</v>
      </c>
      <c r="I7" s="20"/>
      <c r="J7" s="20"/>
      <c r="K7" s="12"/>
      <c r="L7" s="20"/>
      <c r="M7" s="20"/>
      <c r="N7" s="3"/>
      <c r="O7" s="3"/>
      <c r="P7" s="3"/>
      <c r="Q7" s="3"/>
    </row>
    <row r="8" spans="1:17" x14ac:dyDescent="0.3">
      <c r="A8" s="13">
        <v>1984</v>
      </c>
      <c r="B8" s="12">
        <v>117.5</v>
      </c>
      <c r="C8" s="12">
        <v>127.6</v>
      </c>
      <c r="D8" s="14">
        <v>108.6</v>
      </c>
      <c r="E8" s="12">
        <v>107.5</v>
      </c>
      <c r="F8" s="12">
        <v>112.4</v>
      </c>
      <c r="G8" s="12">
        <v>105.3</v>
      </c>
      <c r="H8" s="12">
        <v>116.4</v>
      </c>
      <c r="I8" s="20"/>
      <c r="J8" s="20"/>
      <c r="K8" s="12"/>
      <c r="L8" s="20"/>
      <c r="M8" s="20"/>
      <c r="N8" s="3"/>
      <c r="O8" s="3"/>
      <c r="P8" s="3"/>
      <c r="Q8" s="3"/>
    </row>
    <row r="9" spans="1:17" x14ac:dyDescent="0.3">
      <c r="A9" s="13">
        <v>1985</v>
      </c>
      <c r="B9" s="12">
        <v>106.4</v>
      </c>
      <c r="C9" s="12">
        <v>100.1</v>
      </c>
      <c r="D9" s="12">
        <v>112.8</v>
      </c>
      <c r="E9" s="12">
        <v>101.1</v>
      </c>
      <c r="F9" s="12">
        <v>150</v>
      </c>
      <c r="G9" s="12">
        <v>115.7</v>
      </c>
      <c r="H9" s="12">
        <v>105.5</v>
      </c>
      <c r="I9" s="20"/>
      <c r="J9" s="20"/>
      <c r="K9" s="12"/>
      <c r="L9" s="20"/>
      <c r="M9" s="20"/>
      <c r="N9" s="3"/>
      <c r="O9" s="3"/>
      <c r="P9" s="3"/>
      <c r="Q9" s="3"/>
    </row>
    <row r="10" spans="1:17" x14ac:dyDescent="0.3">
      <c r="A10" s="13">
        <v>1986</v>
      </c>
      <c r="B10" s="12">
        <v>88</v>
      </c>
      <c r="C10" s="12">
        <v>78.599999999999994</v>
      </c>
      <c r="D10" s="12">
        <v>90.3</v>
      </c>
      <c r="E10" s="12">
        <v>95</v>
      </c>
      <c r="F10" s="12">
        <v>80.099999999999994</v>
      </c>
      <c r="G10" s="12">
        <v>103.8</v>
      </c>
      <c r="H10" s="12">
        <v>87.2</v>
      </c>
      <c r="I10" s="20"/>
      <c r="J10" s="20"/>
      <c r="K10" s="12"/>
      <c r="L10" s="20"/>
      <c r="M10" s="20"/>
      <c r="N10" s="3"/>
      <c r="O10" s="3"/>
      <c r="P10" s="3"/>
      <c r="Q10" s="3"/>
    </row>
    <row r="11" spans="1:17" x14ac:dyDescent="0.3">
      <c r="A11" s="13">
        <v>1987</v>
      </c>
      <c r="B11" s="12">
        <v>109.7</v>
      </c>
      <c r="C11" s="12">
        <v>107</v>
      </c>
      <c r="D11" s="12">
        <v>120</v>
      </c>
      <c r="E11" s="12">
        <v>115.6</v>
      </c>
      <c r="F11" s="12">
        <v>131.5</v>
      </c>
      <c r="G11" s="12">
        <v>107.9</v>
      </c>
      <c r="H11" s="12">
        <v>108.5</v>
      </c>
      <c r="I11" s="20"/>
      <c r="J11" s="20"/>
      <c r="K11" s="12"/>
      <c r="L11" s="20"/>
      <c r="M11" s="20"/>
      <c r="N11" s="3"/>
      <c r="O11" s="3"/>
      <c r="P11" s="3"/>
      <c r="Q11" s="3"/>
    </row>
    <row r="12" spans="1:17" x14ac:dyDescent="0.3">
      <c r="A12" s="13">
        <v>1988</v>
      </c>
      <c r="B12" s="12">
        <v>123.9</v>
      </c>
      <c r="C12" s="12">
        <v>143.30000000000001</v>
      </c>
      <c r="D12" s="12">
        <v>109.6</v>
      </c>
      <c r="E12" s="12">
        <v>107.4</v>
      </c>
      <c r="F12" s="12">
        <v>114.5</v>
      </c>
      <c r="G12" s="12">
        <v>105.8</v>
      </c>
      <c r="H12" s="12">
        <v>121.8</v>
      </c>
      <c r="I12" s="20"/>
      <c r="J12" s="20"/>
      <c r="K12" s="12"/>
      <c r="L12" s="20"/>
      <c r="M12" s="20"/>
      <c r="N12" s="3"/>
      <c r="O12" s="3"/>
      <c r="P12" s="3"/>
      <c r="Q12" s="3"/>
    </row>
    <row r="13" spans="1:17" x14ac:dyDescent="0.3">
      <c r="A13" s="13">
        <v>1989</v>
      </c>
      <c r="B13" s="12">
        <v>96.3</v>
      </c>
      <c r="C13" s="12">
        <v>90</v>
      </c>
      <c r="D13" s="12">
        <v>127.8</v>
      </c>
      <c r="E13" s="12">
        <v>116.4</v>
      </c>
      <c r="F13" s="12">
        <v>151.80000000000001</v>
      </c>
      <c r="G13" s="12">
        <v>88.3</v>
      </c>
      <c r="H13" s="12">
        <v>94.7</v>
      </c>
      <c r="I13" s="20"/>
      <c r="J13" s="20"/>
      <c r="K13" s="12"/>
      <c r="L13" s="20"/>
      <c r="M13" s="20"/>
      <c r="N13" s="3"/>
      <c r="O13" s="3"/>
      <c r="P13" s="3"/>
      <c r="Q13" s="3"/>
    </row>
    <row r="14" spans="1:17" x14ac:dyDescent="0.3">
      <c r="A14" s="13">
        <v>1990</v>
      </c>
      <c r="B14" s="12">
        <v>121.9</v>
      </c>
      <c r="C14" s="12">
        <v>125.6</v>
      </c>
      <c r="D14" s="12">
        <v>133.80000000000001</v>
      </c>
      <c r="E14" s="12">
        <v>130.19999999999999</v>
      </c>
      <c r="F14" s="12">
        <v>139.69999999999999</v>
      </c>
      <c r="G14" s="12">
        <v>104</v>
      </c>
      <c r="H14" s="12">
        <v>120</v>
      </c>
      <c r="I14" s="20"/>
      <c r="J14" s="20"/>
      <c r="K14" s="12"/>
      <c r="L14" s="20"/>
      <c r="M14" s="20"/>
      <c r="N14" s="3"/>
      <c r="O14" s="3"/>
      <c r="P14" s="3"/>
      <c r="Q14" s="3"/>
    </row>
    <row r="15" spans="1:17" x14ac:dyDescent="0.3">
      <c r="A15" s="13">
        <v>1991</v>
      </c>
      <c r="B15" s="12">
        <v>116.8</v>
      </c>
      <c r="C15" s="12">
        <v>108.1</v>
      </c>
      <c r="D15" s="12">
        <v>136.80000000000001</v>
      </c>
      <c r="E15" s="12">
        <v>131.19999999999999</v>
      </c>
      <c r="F15" s="12">
        <v>146.9</v>
      </c>
      <c r="G15" s="12">
        <v>116.6</v>
      </c>
      <c r="H15" s="12">
        <v>115.5</v>
      </c>
      <c r="I15" s="20"/>
      <c r="J15" s="20"/>
      <c r="K15" s="12"/>
      <c r="L15" s="20"/>
      <c r="M15" s="20"/>
      <c r="N15" s="3"/>
      <c r="O15" s="3"/>
      <c r="P15" s="3"/>
      <c r="Q15" s="3"/>
    </row>
    <row r="16" spans="1:17" x14ac:dyDescent="0.3">
      <c r="A16" s="13">
        <v>1992</v>
      </c>
      <c r="B16" s="12">
        <v>114.2</v>
      </c>
      <c r="C16" s="12">
        <v>105.4</v>
      </c>
      <c r="D16" s="12">
        <v>126.4</v>
      </c>
      <c r="E16" s="12">
        <v>139.30000000000001</v>
      </c>
      <c r="F16" s="12">
        <v>105.3</v>
      </c>
      <c r="G16" s="12">
        <v>119.5</v>
      </c>
      <c r="H16" s="12">
        <v>113.9</v>
      </c>
      <c r="I16" s="20"/>
      <c r="J16" s="20"/>
      <c r="K16" s="12"/>
      <c r="L16" s="20"/>
      <c r="M16" s="20"/>
      <c r="N16" s="3"/>
      <c r="O16" s="3"/>
      <c r="P16" s="3"/>
      <c r="Q16" s="3"/>
    </row>
    <row r="17" spans="1:17" x14ac:dyDescent="0.3">
      <c r="A17" s="13">
        <v>1993</v>
      </c>
      <c r="B17" s="12">
        <v>110.3</v>
      </c>
      <c r="C17" s="12">
        <v>101.9</v>
      </c>
      <c r="D17" s="12">
        <v>120.1</v>
      </c>
      <c r="E17" s="12">
        <v>128.5</v>
      </c>
      <c r="F17" s="12">
        <v>102.1</v>
      </c>
      <c r="G17" s="12">
        <v>114.7</v>
      </c>
      <c r="H17" s="12">
        <v>110</v>
      </c>
      <c r="I17" s="20"/>
      <c r="J17" s="20"/>
      <c r="K17" s="12"/>
      <c r="L17" s="20"/>
      <c r="M17" s="20"/>
      <c r="N17" s="3"/>
      <c r="O17" s="3"/>
      <c r="P17" s="3"/>
      <c r="Q17" s="3"/>
    </row>
    <row r="18" spans="1:17" x14ac:dyDescent="0.3">
      <c r="A18" s="13">
        <v>1994</v>
      </c>
      <c r="B18" s="12">
        <v>110.1</v>
      </c>
      <c r="C18" s="12">
        <v>105.6</v>
      </c>
      <c r="D18" s="12">
        <v>112.9</v>
      </c>
      <c r="E18" s="12">
        <v>119.2</v>
      </c>
      <c r="F18" s="12">
        <v>95.6</v>
      </c>
      <c r="G18" s="12">
        <v>115.2</v>
      </c>
      <c r="H18" s="12">
        <v>109.6</v>
      </c>
      <c r="I18" s="20"/>
      <c r="J18" s="20"/>
      <c r="K18" s="12"/>
      <c r="L18" s="20"/>
      <c r="M18" s="20"/>
      <c r="N18" s="3"/>
      <c r="O18" s="3"/>
      <c r="P18" s="3"/>
      <c r="Q18" s="3"/>
    </row>
    <row r="19" spans="1:17" x14ac:dyDescent="0.3">
      <c r="A19" s="13">
        <v>1995</v>
      </c>
      <c r="B19" s="12">
        <v>107.7</v>
      </c>
      <c r="C19" s="12">
        <v>112.4</v>
      </c>
      <c r="D19" s="12">
        <v>101</v>
      </c>
      <c r="E19" s="12">
        <v>104.2</v>
      </c>
      <c r="F19" s="12">
        <v>90.4</v>
      </c>
      <c r="G19" s="12">
        <v>109.4</v>
      </c>
      <c r="H19" s="12">
        <v>107.2</v>
      </c>
      <c r="I19" s="20"/>
      <c r="J19" s="20"/>
      <c r="K19" s="12"/>
      <c r="L19" s="20"/>
      <c r="M19" s="20"/>
      <c r="N19" s="3"/>
      <c r="O19" s="3"/>
      <c r="P19" s="3"/>
      <c r="Q19" s="3"/>
    </row>
    <row r="20" spans="1:17" x14ac:dyDescent="0.3">
      <c r="A20" s="13">
        <v>1996</v>
      </c>
      <c r="B20" s="12">
        <v>110</v>
      </c>
      <c r="C20" s="12">
        <v>111</v>
      </c>
      <c r="D20" s="12">
        <v>106.6</v>
      </c>
      <c r="E20" s="12">
        <v>104</v>
      </c>
      <c r="F20" s="12">
        <v>116.7</v>
      </c>
      <c r="G20" s="12">
        <v>113</v>
      </c>
      <c r="H20" s="12">
        <v>109.3</v>
      </c>
      <c r="I20" s="20"/>
      <c r="J20" s="20"/>
      <c r="K20" s="12"/>
      <c r="L20" s="20"/>
      <c r="M20" s="20"/>
      <c r="N20" s="3"/>
      <c r="O20" s="3"/>
      <c r="P20" s="3"/>
      <c r="Q20" s="3"/>
    </row>
    <row r="21" spans="1:17" x14ac:dyDescent="0.3">
      <c r="A21" s="13">
        <v>1997</v>
      </c>
      <c r="B21" s="12">
        <v>107.6</v>
      </c>
      <c r="C21" s="12">
        <v>103.3</v>
      </c>
      <c r="D21" s="12">
        <v>109.4</v>
      </c>
      <c r="E21" s="12">
        <v>112.1</v>
      </c>
      <c r="F21" s="12">
        <v>100.2</v>
      </c>
      <c r="G21" s="12">
        <v>113.2</v>
      </c>
      <c r="H21" s="12">
        <v>107</v>
      </c>
      <c r="I21" s="20"/>
      <c r="J21" s="20"/>
      <c r="K21" s="12"/>
      <c r="L21" s="20"/>
      <c r="M21" s="20"/>
      <c r="N21" s="3"/>
      <c r="O21" s="3"/>
      <c r="P21" s="3"/>
      <c r="Q21" s="3"/>
    </row>
    <row r="22" spans="1:17" x14ac:dyDescent="0.3">
      <c r="A22" s="13">
        <v>1998</v>
      </c>
      <c r="B22" s="12">
        <v>110.6</v>
      </c>
      <c r="C22" s="12">
        <v>112.4</v>
      </c>
      <c r="D22" s="12">
        <v>104.2</v>
      </c>
      <c r="E22" s="12">
        <v>102.5</v>
      </c>
      <c r="F22" s="12">
        <v>110.6</v>
      </c>
      <c r="G22" s="12">
        <v>116</v>
      </c>
      <c r="H22" s="12">
        <v>110</v>
      </c>
      <c r="I22" s="20"/>
      <c r="J22" s="20"/>
      <c r="K22" s="12"/>
      <c r="L22" s="20"/>
      <c r="M22" s="20"/>
      <c r="N22" s="3"/>
      <c r="O22" s="3"/>
      <c r="P22" s="3"/>
      <c r="Q22" s="3"/>
    </row>
    <row r="23" spans="1:17" x14ac:dyDescent="0.3">
      <c r="A23" s="13">
        <v>1999</v>
      </c>
      <c r="B23" s="12">
        <v>108.4</v>
      </c>
      <c r="C23" s="12">
        <v>109.2</v>
      </c>
      <c r="D23" s="12">
        <v>102.6</v>
      </c>
      <c r="E23" s="12">
        <v>101.7</v>
      </c>
      <c r="F23" s="12">
        <v>105.7</v>
      </c>
      <c r="G23" s="12">
        <v>113.9</v>
      </c>
      <c r="H23" s="12">
        <v>108.2</v>
      </c>
      <c r="I23" s="20"/>
      <c r="J23" s="20"/>
      <c r="K23" s="12"/>
      <c r="L23" s="20"/>
      <c r="M23" s="20"/>
      <c r="N23" s="3"/>
      <c r="O23" s="3"/>
      <c r="P23" s="3"/>
      <c r="Q23" s="3"/>
    </row>
    <row r="24" spans="1:17" x14ac:dyDescent="0.3">
      <c r="A24" s="13">
        <v>2000</v>
      </c>
      <c r="B24" s="12">
        <v>107.4</v>
      </c>
      <c r="C24" s="12">
        <v>98.8</v>
      </c>
      <c r="D24" s="12">
        <v>112.5</v>
      </c>
      <c r="E24" s="12">
        <v>111</v>
      </c>
      <c r="F24" s="12">
        <v>117.5</v>
      </c>
      <c r="G24" s="12">
        <v>115.9</v>
      </c>
      <c r="H24" s="12">
        <v>107.2</v>
      </c>
      <c r="I24" s="20"/>
      <c r="J24" s="20"/>
      <c r="K24" s="12"/>
      <c r="L24" s="20"/>
      <c r="M24" s="20"/>
      <c r="N24" s="3"/>
      <c r="O24" s="3"/>
      <c r="P24" s="3"/>
      <c r="Q24" s="3"/>
    </row>
    <row r="25" spans="1:17" x14ac:dyDescent="0.3">
      <c r="A25" s="13">
        <v>2001</v>
      </c>
      <c r="B25" s="12">
        <v>107.3</v>
      </c>
      <c r="C25" s="12">
        <v>93.3</v>
      </c>
      <c r="D25" s="12">
        <v>114.7</v>
      </c>
      <c r="E25" s="12">
        <v>112.7</v>
      </c>
      <c r="F25" s="12">
        <v>123.5</v>
      </c>
      <c r="G25" s="12">
        <v>114.5</v>
      </c>
      <c r="H25" s="12">
        <v>106.8</v>
      </c>
      <c r="I25" s="20"/>
      <c r="J25" s="20"/>
      <c r="K25" s="20"/>
      <c r="L25" s="20"/>
      <c r="M25" s="20"/>
      <c r="N25" s="3"/>
      <c r="O25" s="3"/>
      <c r="P25" s="3"/>
      <c r="Q25" s="3"/>
    </row>
    <row r="26" spans="1:17" x14ac:dyDescent="0.3">
      <c r="A26" s="13">
        <v>2002</v>
      </c>
      <c r="B26" s="12">
        <v>109.4</v>
      </c>
      <c r="C26" s="12">
        <v>103.6</v>
      </c>
      <c r="D26" s="12">
        <v>110.6</v>
      </c>
      <c r="E26" s="12">
        <v>108</v>
      </c>
      <c r="F26" s="12">
        <v>120.8</v>
      </c>
      <c r="G26" s="12">
        <v>113.3</v>
      </c>
      <c r="H26" s="12">
        <v>108.4</v>
      </c>
      <c r="I26" s="20"/>
      <c r="J26" s="20"/>
      <c r="K26" s="20"/>
      <c r="L26" s="20"/>
      <c r="M26" s="20"/>
      <c r="N26" s="3"/>
      <c r="O26" s="3"/>
      <c r="P26" s="3"/>
      <c r="Q26" s="3"/>
    </row>
    <row r="27" spans="1:17" x14ac:dyDescent="0.3">
      <c r="A27" s="13">
        <v>2003</v>
      </c>
      <c r="B27" s="12">
        <v>114.3</v>
      </c>
      <c r="C27" s="12">
        <v>112</v>
      </c>
      <c r="D27" s="12">
        <v>118.3</v>
      </c>
      <c r="E27" s="12">
        <v>115.5</v>
      </c>
      <c r="F27" s="12">
        <v>128.4</v>
      </c>
      <c r="G27" s="12">
        <v>112</v>
      </c>
      <c r="H27" s="12">
        <v>112.6</v>
      </c>
      <c r="I27" s="20"/>
      <c r="J27" s="20"/>
      <c r="K27" s="20"/>
      <c r="L27" s="20"/>
      <c r="M27" s="20"/>
      <c r="N27" s="3"/>
      <c r="O27" s="3"/>
      <c r="P27" s="3"/>
      <c r="Q27" s="3"/>
    </row>
    <row r="28" spans="1:17" x14ac:dyDescent="0.3">
      <c r="A28" s="13">
        <v>2004</v>
      </c>
      <c r="B28" s="12">
        <v>123.3</v>
      </c>
      <c r="C28" s="12">
        <v>110.3</v>
      </c>
      <c r="D28" s="12">
        <v>131.6</v>
      </c>
      <c r="E28" s="12">
        <v>130.19999999999999</v>
      </c>
      <c r="F28" s="12">
        <v>136.1</v>
      </c>
      <c r="G28" s="12">
        <v>124.6</v>
      </c>
      <c r="H28" s="12">
        <v>120.7</v>
      </c>
      <c r="I28" s="20"/>
      <c r="J28" s="20"/>
      <c r="K28" s="20"/>
      <c r="L28" s="20"/>
      <c r="M28" s="20"/>
      <c r="N28" s="3"/>
      <c r="O28" s="3"/>
      <c r="P28" s="3"/>
      <c r="Q28" s="3"/>
    </row>
    <row r="29" spans="1:17" x14ac:dyDescent="0.3">
      <c r="A29" s="13">
        <v>2005</v>
      </c>
      <c r="B29" s="15">
        <v>123.2</v>
      </c>
      <c r="C29" s="15">
        <v>106.6</v>
      </c>
      <c r="D29" s="15">
        <v>136.19999999999999</v>
      </c>
      <c r="E29" s="15">
        <v>137.1</v>
      </c>
      <c r="F29" s="15">
        <v>133.30000000000001</v>
      </c>
      <c r="G29" s="15">
        <v>119.72524080090774</v>
      </c>
      <c r="H29" s="12">
        <v>120.6</v>
      </c>
      <c r="I29" s="20"/>
      <c r="J29" s="20"/>
      <c r="K29" s="20"/>
      <c r="L29" s="20"/>
      <c r="M29" s="20"/>
      <c r="N29" s="3"/>
      <c r="O29" s="3"/>
      <c r="P29" s="3"/>
      <c r="Q29" s="3"/>
    </row>
    <row r="30" spans="1:17" x14ac:dyDescent="0.3">
      <c r="A30" s="16">
        <v>2006</v>
      </c>
      <c r="B30" s="17">
        <v>118.55975794004124</v>
      </c>
      <c r="C30" s="17">
        <v>104.8</v>
      </c>
      <c r="D30" s="17">
        <v>126.3</v>
      </c>
      <c r="E30" s="17">
        <v>130.80000000000001</v>
      </c>
      <c r="F30" s="17">
        <v>111.2</v>
      </c>
      <c r="G30" s="17">
        <v>116.04540317837071</v>
      </c>
      <c r="H30" s="18">
        <v>116.3</v>
      </c>
      <c r="I30" s="20"/>
      <c r="J30" s="20"/>
      <c r="K30" s="20"/>
      <c r="L30" s="20"/>
      <c r="M30" s="20"/>
      <c r="N30" s="3"/>
      <c r="O30" s="3"/>
      <c r="P30" s="3"/>
      <c r="Q30" s="3"/>
    </row>
    <row r="31" spans="1:17" x14ac:dyDescent="0.3">
      <c r="A31" s="16">
        <v>2007</v>
      </c>
      <c r="B31" s="17">
        <v>122.78755496079012</v>
      </c>
      <c r="C31" s="17">
        <v>104.3</v>
      </c>
      <c r="D31" s="17">
        <v>128.9</v>
      </c>
      <c r="E31" s="17">
        <v>130.1</v>
      </c>
      <c r="F31" s="17">
        <v>124.3</v>
      </c>
      <c r="G31" s="17">
        <v>121.88818141661044</v>
      </c>
      <c r="H31" s="18">
        <v>121.3</v>
      </c>
      <c r="I31" s="20"/>
      <c r="J31" s="20"/>
      <c r="K31" s="20"/>
      <c r="L31" s="20"/>
      <c r="M31" s="20"/>
      <c r="N31" s="3"/>
      <c r="O31" s="3"/>
      <c r="P31" s="3"/>
      <c r="Q31" s="3"/>
    </row>
    <row r="32" spans="1:17" x14ac:dyDescent="0.3">
      <c r="A32" s="16">
        <v>2008</v>
      </c>
      <c r="B32" s="17">
        <v>120.9</v>
      </c>
      <c r="C32" s="17">
        <v>108.8</v>
      </c>
      <c r="D32" s="17">
        <v>126.3</v>
      </c>
      <c r="E32" s="17">
        <v>128.6</v>
      </c>
      <c r="F32" s="17">
        <v>117.1</v>
      </c>
      <c r="G32" s="17">
        <v>116.76265557054761</v>
      </c>
      <c r="H32" s="18">
        <v>119.6</v>
      </c>
      <c r="I32" s="20"/>
      <c r="J32" s="20"/>
      <c r="K32" s="20"/>
      <c r="L32" s="20"/>
      <c r="M32" s="20"/>
      <c r="N32" s="3"/>
      <c r="O32" s="3"/>
      <c r="P32" s="3"/>
      <c r="Q32" s="3"/>
    </row>
    <row r="33" spans="1:17" x14ac:dyDescent="0.3">
      <c r="A33" s="16">
        <v>2009</v>
      </c>
      <c r="B33" s="18">
        <v>121.5</v>
      </c>
      <c r="C33" s="18">
        <v>106.3</v>
      </c>
      <c r="D33" s="18">
        <v>128</v>
      </c>
      <c r="E33" s="18">
        <v>128.1</v>
      </c>
      <c r="F33" s="18">
        <v>127.8</v>
      </c>
      <c r="G33" s="18">
        <v>115.3</v>
      </c>
      <c r="H33" s="18">
        <v>120.4</v>
      </c>
      <c r="I33" s="20"/>
      <c r="J33" s="20"/>
      <c r="K33" s="20"/>
      <c r="L33" s="20"/>
      <c r="M33" s="20"/>
      <c r="N33" s="3"/>
      <c r="O33" s="3"/>
      <c r="P33" s="3"/>
      <c r="Q33" s="3"/>
    </row>
    <row r="34" spans="1:17" x14ac:dyDescent="0.3">
      <c r="A34" s="16">
        <v>2010</v>
      </c>
      <c r="B34" s="19">
        <v>116.3232242380986</v>
      </c>
      <c r="C34" s="19">
        <v>102.37764927311134</v>
      </c>
      <c r="D34" s="19">
        <v>120.09215929225019</v>
      </c>
      <c r="E34" s="19">
        <v>122.20259026029849</v>
      </c>
      <c r="F34" s="19">
        <v>110.68884047810022</v>
      </c>
      <c r="G34" s="19">
        <v>113.47475692672818</v>
      </c>
      <c r="H34" s="19">
        <v>115.3</v>
      </c>
      <c r="I34" s="20"/>
      <c r="J34" s="20"/>
      <c r="K34" s="20"/>
      <c r="L34" s="20"/>
      <c r="M34" s="20"/>
      <c r="N34" s="3"/>
      <c r="O34" s="3"/>
      <c r="P34" s="3"/>
      <c r="Q34" s="3"/>
    </row>
    <row r="35" spans="1:17" x14ac:dyDescent="0.3">
      <c r="A35" s="16">
        <v>2011</v>
      </c>
      <c r="B35" s="19">
        <v>109.27371387909339</v>
      </c>
      <c r="C35" s="19">
        <v>105.81089073639723</v>
      </c>
      <c r="D35" s="19">
        <v>107.65113401014112</v>
      </c>
      <c r="E35" s="19">
        <v>111.63110255129473</v>
      </c>
      <c r="F35" s="19">
        <v>83.107631156580595</v>
      </c>
      <c r="G35" s="19">
        <v>115.66349606191078</v>
      </c>
      <c r="H35" s="19">
        <v>108.7</v>
      </c>
      <c r="I35" s="20"/>
      <c r="J35" s="20"/>
      <c r="K35" s="20"/>
      <c r="L35" s="20"/>
      <c r="M35" s="20"/>
      <c r="N35" s="3"/>
      <c r="O35" s="3"/>
      <c r="P35" s="3"/>
      <c r="Q35" s="3"/>
    </row>
    <row r="36" spans="1:17" x14ac:dyDescent="0.3">
      <c r="A36" s="16">
        <v>2012</v>
      </c>
      <c r="B36" s="12">
        <v>114.57964112749681</v>
      </c>
      <c r="C36" s="12">
        <v>107.70716764966943</v>
      </c>
      <c r="D36" s="12">
        <v>116.11594301369168</v>
      </c>
      <c r="E36" s="12">
        <v>116.49568528919743</v>
      </c>
      <c r="F36" s="12">
        <v>112.9704395691884</v>
      </c>
      <c r="G36" s="12">
        <v>113.11526214853669</v>
      </c>
      <c r="H36" s="12">
        <v>113.9</v>
      </c>
      <c r="I36" s="20"/>
      <c r="J36" s="20"/>
      <c r="K36" s="20"/>
      <c r="L36" s="20"/>
      <c r="M36" s="20"/>
      <c r="N36" s="3"/>
      <c r="O36" s="3"/>
      <c r="P36" s="3"/>
      <c r="Q36" s="3"/>
    </row>
    <row r="37" spans="1:17" x14ac:dyDescent="0.3">
      <c r="A37" s="16">
        <v>2013</v>
      </c>
      <c r="B37" s="12">
        <v>110.03476440649662</v>
      </c>
      <c r="C37" s="12">
        <v>105.81378591047479</v>
      </c>
      <c r="D37" s="12">
        <v>109.69586307758958</v>
      </c>
      <c r="E37" s="12">
        <v>110.04830737146445</v>
      </c>
      <c r="F37" s="12">
        <v>106.68537631318181</v>
      </c>
      <c r="G37" s="12">
        <v>112.59739615245212</v>
      </c>
      <c r="H37" s="12">
        <v>109.8</v>
      </c>
      <c r="I37" s="20"/>
      <c r="J37" s="20"/>
      <c r="K37" s="20"/>
      <c r="L37" s="20"/>
      <c r="M37" s="20"/>
      <c r="N37" s="3"/>
      <c r="O37" s="3"/>
      <c r="P37" s="3"/>
      <c r="Q37" s="3"/>
    </row>
    <row r="38" spans="1:17" x14ac:dyDescent="0.3">
      <c r="A38" s="16">
        <v>2014</v>
      </c>
      <c r="B38" s="20">
        <v>108.1</v>
      </c>
      <c r="C38" s="20">
        <v>104.6</v>
      </c>
      <c r="D38" s="20">
        <v>109.5</v>
      </c>
      <c r="E38" s="20">
        <v>109.9</v>
      </c>
      <c r="F38" s="20">
        <v>105.9</v>
      </c>
      <c r="G38" s="20">
        <v>105.7</v>
      </c>
      <c r="H38" s="20">
        <v>108.2</v>
      </c>
      <c r="I38" s="20"/>
      <c r="J38" s="20"/>
      <c r="K38" s="20"/>
      <c r="L38" s="20"/>
      <c r="M38" s="20"/>
      <c r="N38" s="3"/>
      <c r="O38" s="3"/>
      <c r="P38" s="3"/>
      <c r="Q38" s="3"/>
    </row>
    <row r="39" spans="1:17" x14ac:dyDescent="0.3">
      <c r="A39" s="16">
        <v>2015</v>
      </c>
      <c r="B39" s="20">
        <v>107.7</v>
      </c>
      <c r="C39" s="20">
        <v>104.6</v>
      </c>
      <c r="D39" s="20">
        <v>108.7</v>
      </c>
      <c r="E39" s="20">
        <v>108.8</v>
      </c>
      <c r="F39" s="20">
        <v>106.8</v>
      </c>
      <c r="G39" s="20">
        <v>106.1</v>
      </c>
      <c r="H39" s="20">
        <v>107.5</v>
      </c>
      <c r="I39" s="20"/>
      <c r="J39" s="20"/>
      <c r="K39" s="20"/>
      <c r="L39" s="20"/>
      <c r="M39" s="20"/>
      <c r="N39" s="3"/>
      <c r="O39" s="3"/>
      <c r="P39" s="3"/>
      <c r="Q39" s="3"/>
    </row>
    <row r="40" spans="1:17" x14ac:dyDescent="0.3">
      <c r="A40" s="16">
        <v>2016</v>
      </c>
      <c r="B40" s="20">
        <v>107.2</v>
      </c>
      <c r="C40" s="20">
        <v>103.9</v>
      </c>
      <c r="D40" s="20">
        <v>106.7</v>
      </c>
      <c r="E40" s="20">
        <v>106.9</v>
      </c>
      <c r="F40" s="20">
        <v>105.1</v>
      </c>
      <c r="G40" s="20">
        <v>109.3</v>
      </c>
      <c r="H40" s="20">
        <v>106.9</v>
      </c>
      <c r="I40" s="20"/>
      <c r="J40" s="20"/>
      <c r="K40" s="20"/>
      <c r="L40" s="20"/>
      <c r="M40" s="20"/>
      <c r="N40" s="3"/>
      <c r="O40" s="3"/>
      <c r="P40" s="3"/>
      <c r="Q40" s="3"/>
    </row>
    <row r="41" spans="1:17" x14ac:dyDescent="0.3">
      <c r="A41" s="3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3"/>
    </row>
    <row r="42" spans="1:17" x14ac:dyDescent="0.3">
      <c r="A42" s="3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3"/>
    </row>
    <row r="43" spans="1:17" x14ac:dyDescent="0.3">
      <c r="A43" s="3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3"/>
    </row>
    <row r="44" spans="1:17" x14ac:dyDescent="0.3">
      <c r="A44" s="3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3"/>
    </row>
    <row r="45" spans="1:17" x14ac:dyDescent="0.3">
      <c r="A45" s="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3"/>
    </row>
    <row r="46" spans="1:17" x14ac:dyDescent="0.3">
      <c r="A46" s="3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3"/>
    </row>
    <row r="47" spans="1:17" x14ac:dyDescent="0.3">
      <c r="A47" s="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3"/>
    </row>
    <row r="48" spans="1:17" x14ac:dyDescent="0.3">
      <c r="A48" s="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3"/>
    </row>
    <row r="49" spans="1:14" x14ac:dyDescent="0.3">
      <c r="A49" s="3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3"/>
    </row>
    <row r="50" spans="1:14" x14ac:dyDescent="0.3">
      <c r="A50" s="3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3"/>
    </row>
    <row r="51" spans="1:14" x14ac:dyDescent="0.3">
      <c r="A51" s="3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3"/>
    </row>
    <row r="52" spans="1:14" x14ac:dyDescent="0.3">
      <c r="A52" s="3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3"/>
    </row>
    <row r="53" spans="1:14" x14ac:dyDescent="0.3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4" x14ac:dyDescent="0.3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1:14" x14ac:dyDescent="0.3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4" x14ac:dyDescent="0.3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spans="1:14" x14ac:dyDescent="0.3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14" x14ac:dyDescent="0.3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14" x14ac:dyDescent="0.3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14" x14ac:dyDescent="0.3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</sheetData>
  <mergeCells count="9">
    <mergeCell ref="A1:H1"/>
    <mergeCell ref="C2:G2"/>
    <mergeCell ref="E3:F3"/>
    <mergeCell ref="A2:A4"/>
    <mergeCell ref="B2:B4"/>
    <mergeCell ref="C3:C4"/>
    <mergeCell ref="D3:D4"/>
    <mergeCell ref="G3:G4"/>
    <mergeCell ref="H2:H4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workbookViewId="0">
      <selection activeCell="I11" sqref="I11"/>
    </sheetView>
  </sheetViews>
  <sheetFormatPr defaultColWidth="9" defaultRowHeight="15" x14ac:dyDescent="0.3"/>
  <cols>
    <col min="1" max="1" width="27.2109375" style="2" customWidth="1"/>
    <col min="2" max="6" width="8.35546875" style="2" customWidth="1"/>
  </cols>
  <sheetData>
    <row r="1" spans="1:10" s="1" customFormat="1" ht="35.15" customHeight="1" x14ac:dyDescent="0.5">
      <c r="A1" s="108" t="s">
        <v>90</v>
      </c>
      <c r="B1" s="108"/>
      <c r="C1" s="108"/>
      <c r="D1" s="108"/>
      <c r="E1" s="108"/>
      <c r="F1" s="108"/>
    </row>
    <row r="2" spans="1:10" x14ac:dyDescent="0.3">
      <c r="A2" s="109" t="s">
        <v>50</v>
      </c>
      <c r="B2" s="109"/>
      <c r="C2" s="109"/>
      <c r="D2" s="109"/>
      <c r="E2" s="109"/>
      <c r="F2" s="69" t="s">
        <v>98</v>
      </c>
    </row>
    <row r="3" spans="1:10" x14ac:dyDescent="0.3">
      <c r="A3" s="110"/>
      <c r="B3" s="111"/>
      <c r="C3" s="112"/>
      <c r="D3" s="112"/>
      <c r="E3" s="112"/>
      <c r="F3" s="112"/>
      <c r="G3" s="3"/>
    </row>
    <row r="4" spans="1:10" ht="24" x14ac:dyDescent="0.3">
      <c r="A4" s="110"/>
      <c r="B4" s="53" t="s">
        <v>66</v>
      </c>
      <c r="C4" s="51" t="s">
        <v>51</v>
      </c>
      <c r="D4" s="51" t="s">
        <v>52</v>
      </c>
      <c r="E4" s="51" t="s">
        <v>53</v>
      </c>
      <c r="F4" s="52" t="s">
        <v>54</v>
      </c>
      <c r="G4" s="3"/>
    </row>
    <row r="5" spans="1:10" x14ac:dyDescent="0.3">
      <c r="A5" s="62" t="s">
        <v>43</v>
      </c>
      <c r="B5" s="66">
        <v>1045.51</v>
      </c>
      <c r="C5" s="66">
        <v>429.12508400641383</v>
      </c>
      <c r="D5" s="66">
        <v>200.76033540068477</v>
      </c>
      <c r="E5" s="70">
        <v>347.05616492096874</v>
      </c>
      <c r="F5" s="70">
        <v>68.568415671932769</v>
      </c>
      <c r="G5" s="3"/>
    </row>
    <row r="6" spans="1:10" x14ac:dyDescent="0.3">
      <c r="A6" s="63" t="s">
        <v>67</v>
      </c>
      <c r="B6" s="66"/>
      <c r="C6" s="66"/>
      <c r="D6" s="66"/>
      <c r="E6" s="70"/>
      <c r="F6" s="70"/>
      <c r="G6" s="3"/>
      <c r="I6" s="39"/>
      <c r="J6" s="39"/>
    </row>
    <row r="7" spans="1:10" x14ac:dyDescent="0.3">
      <c r="A7" s="64" t="s">
        <v>55</v>
      </c>
      <c r="B7" s="66">
        <v>117.07</v>
      </c>
      <c r="C7" s="66">
        <v>91.526915181772296</v>
      </c>
      <c r="D7" s="66">
        <v>0</v>
      </c>
      <c r="E7" s="70">
        <v>24.933279016598142</v>
      </c>
      <c r="F7" s="70">
        <v>0.60980580162961806</v>
      </c>
      <c r="G7" s="3"/>
    </row>
    <row r="8" spans="1:10" x14ac:dyDescent="0.3">
      <c r="A8" s="64" t="s">
        <v>22</v>
      </c>
      <c r="B8" s="66">
        <v>37.012183683179877</v>
      </c>
      <c r="C8" s="66">
        <v>29.018085699827552</v>
      </c>
      <c r="D8" s="66">
        <v>0</v>
      </c>
      <c r="E8" s="70">
        <v>7.9940979833523294</v>
      </c>
      <c r="F8" s="70">
        <v>0</v>
      </c>
      <c r="G8" s="3"/>
    </row>
    <row r="9" spans="1:10" x14ac:dyDescent="0.3">
      <c r="A9" s="64" t="s">
        <v>23</v>
      </c>
      <c r="B9" s="66">
        <v>1.8189491523495922</v>
      </c>
      <c r="C9" s="66">
        <v>1.351657959371795</v>
      </c>
      <c r="D9" s="66">
        <v>0</v>
      </c>
      <c r="E9" s="70">
        <v>0.46729119297779714</v>
      </c>
      <c r="F9" s="70">
        <v>0</v>
      </c>
      <c r="G9" s="3"/>
    </row>
    <row r="10" spans="1:10" x14ac:dyDescent="0.3">
      <c r="A10" s="64" t="s">
        <v>56</v>
      </c>
      <c r="B10" s="66">
        <v>76.249531010375023</v>
      </c>
      <c r="C10" s="66">
        <v>60.28196799053714</v>
      </c>
      <c r="D10" s="67">
        <v>0</v>
      </c>
      <c r="E10" s="70">
        <v>15.967563019837899</v>
      </c>
      <c r="F10" s="71">
        <v>0</v>
      </c>
      <c r="G10" s="3"/>
    </row>
    <row r="11" spans="1:10" x14ac:dyDescent="0.3">
      <c r="A11" s="64" t="s">
        <v>57</v>
      </c>
      <c r="B11" s="66">
        <v>0.2193361540955078</v>
      </c>
      <c r="C11" s="66">
        <v>0.17534031731780775</v>
      </c>
      <c r="D11" s="66">
        <v>0</v>
      </c>
      <c r="E11" s="70">
        <v>4.3995836777700074E-2</v>
      </c>
      <c r="F11" s="70">
        <v>0</v>
      </c>
    </row>
    <row r="12" spans="1:10" x14ac:dyDescent="0.3">
      <c r="A12" s="64" t="s">
        <v>58</v>
      </c>
      <c r="B12" s="66">
        <v>1.77</v>
      </c>
      <c r="C12" s="66">
        <v>0.6998632147179652</v>
      </c>
      <c r="D12" s="66">
        <v>0</v>
      </c>
      <c r="E12" s="70">
        <v>0.46033098365241665</v>
      </c>
      <c r="F12" s="70">
        <v>0.60980580162961806</v>
      </c>
      <c r="G12" s="3"/>
    </row>
    <row r="13" spans="1:10" x14ac:dyDescent="0.3">
      <c r="A13" s="64" t="s">
        <v>59</v>
      </c>
      <c r="B13" s="66">
        <v>540.77</v>
      </c>
      <c r="C13" s="66">
        <v>170.12796871545086</v>
      </c>
      <c r="D13" s="66">
        <v>141.53</v>
      </c>
      <c r="E13" s="70">
        <v>232.95</v>
      </c>
      <c r="F13" s="70">
        <v>-3.8353170489895945</v>
      </c>
      <c r="G13" s="3"/>
    </row>
    <row r="14" spans="1:10" x14ac:dyDescent="0.3">
      <c r="A14" s="64" t="s">
        <v>60</v>
      </c>
      <c r="B14" s="66">
        <v>229.55261999999999</v>
      </c>
      <c r="C14" s="66">
        <v>79.726766411632426</v>
      </c>
      <c r="D14" s="66">
        <v>72.39</v>
      </c>
      <c r="E14" s="70">
        <v>50.83</v>
      </c>
      <c r="F14" s="70">
        <v>26.602570528653175</v>
      </c>
      <c r="G14" s="3"/>
    </row>
    <row r="15" spans="1:10" x14ac:dyDescent="0.3">
      <c r="A15" s="64" t="s">
        <v>61</v>
      </c>
      <c r="B15" s="66">
        <v>241.88336000000001</v>
      </c>
      <c r="C15" s="66">
        <v>81.057469536505124</v>
      </c>
      <c r="D15" s="66">
        <v>62.13</v>
      </c>
      <c r="E15" s="70">
        <v>143.63</v>
      </c>
      <c r="F15" s="70">
        <v>-44.934681388291025</v>
      </c>
      <c r="G15" s="3"/>
    </row>
    <row r="16" spans="1:10" x14ac:dyDescent="0.3">
      <c r="A16" s="64" t="s">
        <v>86</v>
      </c>
      <c r="B16" s="66">
        <v>69.334019999999995</v>
      </c>
      <c r="C16" s="66">
        <v>9.3437327673132948</v>
      </c>
      <c r="D16" s="66">
        <v>7.0057057497971673</v>
      </c>
      <c r="E16" s="70">
        <v>38.487787672241275</v>
      </c>
      <c r="F16" s="70">
        <v>14.5</v>
      </c>
      <c r="G16" s="3"/>
    </row>
    <row r="17" spans="1:7" x14ac:dyDescent="0.3">
      <c r="A17" s="64" t="s">
        <v>62</v>
      </c>
      <c r="B17" s="66">
        <v>72.94</v>
      </c>
      <c r="C17" s="66">
        <v>33.556176378720465</v>
      </c>
      <c r="D17" s="66">
        <v>12.464535145405046</v>
      </c>
      <c r="E17" s="70">
        <v>3.7305900039657875</v>
      </c>
      <c r="F17" s="70">
        <v>23.188698471908697</v>
      </c>
      <c r="G17" s="3"/>
    </row>
    <row r="18" spans="1:7" x14ac:dyDescent="0.3">
      <c r="A18" s="65" t="s">
        <v>72</v>
      </c>
      <c r="B18" s="66">
        <v>82.47</v>
      </c>
      <c r="C18" s="66">
        <v>19.683320890495384</v>
      </c>
      <c r="D18" s="66">
        <v>26.458519849618867</v>
      </c>
      <c r="E18" s="70">
        <v>29.10450908988301</v>
      </c>
      <c r="F18" s="70">
        <v>7.2236501700027294</v>
      </c>
      <c r="G18" s="3"/>
    </row>
    <row r="19" spans="1:7" x14ac:dyDescent="0.3">
      <c r="A19" s="65" t="s">
        <v>73</v>
      </c>
      <c r="B19" s="66">
        <v>58.99</v>
      </c>
      <c r="C19" s="66">
        <v>20.59365984972569</v>
      </c>
      <c r="D19" s="66">
        <v>7.5931452845726177</v>
      </c>
      <c r="E19" s="70">
        <v>18.84039995803629</v>
      </c>
      <c r="F19" s="70">
        <v>11.962794907665405</v>
      </c>
      <c r="G19" s="3"/>
    </row>
    <row r="20" spans="1:7" x14ac:dyDescent="0.3">
      <c r="A20" s="65" t="s">
        <v>74</v>
      </c>
      <c r="B20" s="66">
        <v>35.33</v>
      </c>
      <c r="C20" s="66">
        <v>21.544418512226855</v>
      </c>
      <c r="D20" s="66">
        <v>4.4497660709813092</v>
      </c>
      <c r="E20" s="70">
        <v>6.6139316099416652</v>
      </c>
      <c r="F20" s="70">
        <v>2.7218838068501734</v>
      </c>
      <c r="G20" s="3"/>
    </row>
    <row r="21" spans="1:7" x14ac:dyDescent="0.3">
      <c r="A21" s="65" t="s">
        <v>75</v>
      </c>
      <c r="B21" s="66">
        <v>12.8062</v>
      </c>
      <c r="C21" s="66">
        <v>2.3619701326468179</v>
      </c>
      <c r="D21" s="66">
        <v>0.79023220570289832</v>
      </c>
      <c r="E21" s="70">
        <v>7.2949152363480465</v>
      </c>
      <c r="F21" s="70">
        <v>2.3590824253022391</v>
      </c>
      <c r="G21" s="3"/>
    </row>
    <row r="22" spans="1:7" x14ac:dyDescent="0.3">
      <c r="A22" s="65" t="s">
        <v>76</v>
      </c>
      <c r="B22" s="66">
        <v>32.93</v>
      </c>
      <c r="C22" s="66">
        <v>8.9434388451229374</v>
      </c>
      <c r="D22" s="66">
        <v>3.2930000000000001</v>
      </c>
      <c r="E22" s="70">
        <v>1.0148232920235993</v>
      </c>
      <c r="F22" s="70">
        <v>19.678737862853463</v>
      </c>
      <c r="G22" s="3"/>
    </row>
    <row r="23" spans="1:7" x14ac:dyDescent="0.3">
      <c r="A23" s="65" t="s">
        <v>77</v>
      </c>
      <c r="B23" s="66">
        <v>14.91</v>
      </c>
      <c r="C23" s="66">
        <v>3.05</v>
      </c>
      <c r="D23" s="66">
        <v>2.57</v>
      </c>
      <c r="E23" s="70">
        <v>8.57</v>
      </c>
      <c r="F23" s="70">
        <v>0.72</v>
      </c>
      <c r="G23" s="3"/>
    </row>
    <row r="24" spans="1:7" x14ac:dyDescent="0.3">
      <c r="A24" s="65" t="s">
        <v>78</v>
      </c>
      <c r="B24" s="66">
        <v>9.2881</v>
      </c>
      <c r="C24" s="66">
        <v>5.4148961006325731</v>
      </c>
      <c r="D24" s="66">
        <v>0.89381628446940631</v>
      </c>
      <c r="E24" s="70">
        <v>1.7876325689388126</v>
      </c>
      <c r="F24" s="70">
        <v>1.1917550459592086</v>
      </c>
      <c r="G24" s="3"/>
    </row>
    <row r="25" spans="1:7" x14ac:dyDescent="0.3">
      <c r="A25" s="65" t="s">
        <v>79</v>
      </c>
      <c r="B25" s="66">
        <v>3.3923999999999999</v>
      </c>
      <c r="C25" s="66">
        <v>2.3890077759309989</v>
      </c>
      <c r="D25" s="66">
        <v>0.13608315266631046</v>
      </c>
      <c r="E25" s="70">
        <v>0.22595613432823405</v>
      </c>
      <c r="F25" s="70">
        <v>0.64135293707445584</v>
      </c>
      <c r="G25" s="3"/>
    </row>
    <row r="26" spans="1:7" x14ac:dyDescent="0.3">
      <c r="A26" s="65" t="s">
        <v>80</v>
      </c>
      <c r="B26" s="66">
        <v>1.2591000000000001</v>
      </c>
      <c r="C26" s="66">
        <v>1.0905606650054485</v>
      </c>
      <c r="D26" s="66">
        <v>1.3287122105359985E-2</v>
      </c>
      <c r="E26" s="70">
        <v>8.4268298199212208E-2</v>
      </c>
      <c r="F26" s="70">
        <v>7.0983914689979458E-2</v>
      </c>
      <c r="G26" s="3"/>
    </row>
    <row r="27" spans="1:7" x14ac:dyDescent="0.3">
      <c r="A27" s="65" t="s">
        <v>81</v>
      </c>
      <c r="B27" s="66">
        <v>10.2829</v>
      </c>
      <c r="C27" s="66">
        <v>6.3141258718992654</v>
      </c>
      <c r="D27" s="66">
        <v>0.2895803279855455</v>
      </c>
      <c r="E27" s="70">
        <v>2.4844581954323077</v>
      </c>
      <c r="F27" s="70">
        <v>1.1947356046828792</v>
      </c>
      <c r="G27" s="3"/>
    </row>
    <row r="28" spans="1:7" x14ac:dyDescent="0.3">
      <c r="A28" s="65" t="s">
        <v>82</v>
      </c>
      <c r="B28" s="66">
        <v>12.182600000000001</v>
      </c>
      <c r="C28" s="66">
        <v>10.782480449513514</v>
      </c>
      <c r="D28" s="66">
        <v>1.7358819155148461E-2</v>
      </c>
      <c r="E28" s="70">
        <v>1.23176278388587</v>
      </c>
      <c r="F28" s="70">
        <v>0.15099794744546871</v>
      </c>
      <c r="G28" s="3"/>
    </row>
    <row r="29" spans="1:7" x14ac:dyDescent="0.3">
      <c r="A29" s="65" t="s">
        <v>83</v>
      </c>
      <c r="B29" s="68">
        <v>3.7671000000000001</v>
      </c>
      <c r="C29" s="68">
        <v>3.1961570277985736</v>
      </c>
      <c r="D29" s="68">
        <v>7.0635101154513319E-3</v>
      </c>
      <c r="E29" s="72">
        <v>0.36949372459748803</v>
      </c>
      <c r="F29" s="72">
        <v>0.19438573748848692</v>
      </c>
      <c r="G29" s="3"/>
    </row>
    <row r="30" spans="1:7" x14ac:dyDescent="0.3">
      <c r="A30" s="65" t="s">
        <v>84</v>
      </c>
      <c r="B30" s="68">
        <v>7.2927999999999997</v>
      </c>
      <c r="C30" s="68">
        <v>5.7502221877895785</v>
      </c>
      <c r="D30" s="68">
        <v>0.25394762790679398</v>
      </c>
      <c r="E30" s="72">
        <v>0.82447099393868772</v>
      </c>
      <c r="F30" s="72">
        <v>0.46415919036494152</v>
      </c>
      <c r="G30" s="3"/>
    </row>
    <row r="31" spans="1:7" x14ac:dyDescent="0.3">
      <c r="A31" s="65" t="s">
        <v>85</v>
      </c>
      <c r="B31" s="68">
        <v>29.828800000000001</v>
      </c>
      <c r="C31" s="68">
        <v>22.797734137133432</v>
      </c>
      <c r="D31" s="68">
        <v>0</v>
      </c>
      <c r="E31" s="72">
        <v>6.9956740148515415</v>
      </c>
      <c r="F31" s="72">
        <v>3.5391848015023319E-2</v>
      </c>
      <c r="G31" s="3"/>
    </row>
    <row r="32" spans="1:7" x14ac:dyDescent="0.3">
      <c r="A32" s="64" t="s">
        <v>68</v>
      </c>
      <c r="B32" s="68"/>
      <c r="C32" s="68"/>
      <c r="D32" s="68"/>
      <c r="E32" s="72"/>
      <c r="F32" s="72"/>
      <c r="G32" s="3"/>
    </row>
    <row r="33" spans="1:7" x14ac:dyDescent="0.3">
      <c r="A33" s="63" t="s">
        <v>69</v>
      </c>
      <c r="B33" s="66">
        <v>115.3</v>
      </c>
      <c r="C33" s="66">
        <v>90.827051967054302</v>
      </c>
      <c r="D33" s="66">
        <v>0</v>
      </c>
      <c r="E33" s="70">
        <v>24.472948032945723</v>
      </c>
      <c r="F33" s="70">
        <v>0</v>
      </c>
      <c r="G33" s="3"/>
    </row>
    <row r="34" spans="1:7" x14ac:dyDescent="0.3">
      <c r="A34" s="63" t="s">
        <v>70</v>
      </c>
      <c r="B34" s="66">
        <v>613.71</v>
      </c>
      <c r="C34" s="66">
        <v>203.68617637872046</v>
      </c>
      <c r="D34" s="66">
        <v>153.99453514540505</v>
      </c>
      <c r="E34" s="70">
        <v>236.68059000396579</v>
      </c>
      <c r="F34" s="70">
        <v>19.348698471908698</v>
      </c>
      <c r="G34" s="3"/>
    </row>
    <row r="35" spans="1:7" x14ac:dyDescent="0.3">
      <c r="A35" s="63" t="s">
        <v>71</v>
      </c>
      <c r="B35" s="66">
        <v>316.5</v>
      </c>
      <c r="C35" s="66">
        <v>134.61185566063904</v>
      </c>
      <c r="D35" s="66">
        <v>46.765800255279714</v>
      </c>
      <c r="E35" s="70">
        <v>85.902626884057184</v>
      </c>
      <c r="F35" s="70">
        <v>49.219717200024078</v>
      </c>
      <c r="G35" s="3"/>
    </row>
    <row r="36" spans="1:7" x14ac:dyDescent="0.3">
      <c r="A36" s="9"/>
      <c r="B36" s="66"/>
      <c r="C36" s="66"/>
      <c r="D36" s="66"/>
      <c r="E36" s="9"/>
      <c r="F36" s="9"/>
      <c r="G36" s="3"/>
    </row>
    <row r="37" spans="1:7" x14ac:dyDescent="0.3">
      <c r="A37" s="9"/>
      <c r="B37" s="66"/>
      <c r="C37" s="66"/>
      <c r="D37" s="66"/>
      <c r="E37" s="9"/>
      <c r="F37" s="9"/>
      <c r="G37" s="3"/>
    </row>
    <row r="38" spans="1:7" x14ac:dyDescent="0.3">
      <c r="A38" s="9"/>
      <c r="B38" s="66"/>
      <c r="C38" s="66"/>
      <c r="D38" s="66"/>
      <c r="E38" s="9"/>
      <c r="F38" s="9"/>
      <c r="G38" s="3"/>
    </row>
    <row r="39" spans="1:7" x14ac:dyDescent="0.3">
      <c r="A39" s="9"/>
      <c r="B39" s="66"/>
      <c r="C39" s="66"/>
      <c r="D39" s="66"/>
      <c r="E39" s="9"/>
      <c r="F39" s="9"/>
      <c r="G39" s="3"/>
    </row>
    <row r="40" spans="1:7" x14ac:dyDescent="0.3">
      <c r="A40" s="9"/>
      <c r="B40" s="66"/>
      <c r="C40" s="66"/>
      <c r="D40" s="66"/>
      <c r="E40" s="9"/>
      <c r="F40" s="9"/>
      <c r="G40" s="3"/>
    </row>
    <row r="41" spans="1:7" x14ac:dyDescent="0.3">
      <c r="A41" s="9"/>
      <c r="B41" s="66"/>
      <c r="C41" s="66"/>
      <c r="D41" s="66"/>
      <c r="E41" s="9"/>
      <c r="F41" s="9"/>
      <c r="G41" s="3"/>
    </row>
    <row r="42" spans="1:7" x14ac:dyDescent="0.3">
      <c r="A42" s="9"/>
      <c r="B42" s="66"/>
      <c r="C42" s="66"/>
      <c r="D42" s="66"/>
      <c r="E42" s="9"/>
      <c r="F42" s="9"/>
      <c r="G42" s="3"/>
    </row>
    <row r="43" spans="1:7" x14ac:dyDescent="0.3">
      <c r="A43" s="9"/>
      <c r="B43" s="66"/>
      <c r="C43" s="66"/>
      <c r="D43" s="66"/>
      <c r="E43" s="9"/>
      <c r="F43" s="9"/>
      <c r="G43" s="3"/>
    </row>
    <row r="44" spans="1:7" x14ac:dyDescent="0.3">
      <c r="A44" s="9"/>
      <c r="B44" s="66"/>
      <c r="C44" s="66"/>
      <c r="D44" s="66"/>
      <c r="E44" s="9"/>
      <c r="F44" s="9"/>
      <c r="G44" s="3"/>
    </row>
    <row r="45" spans="1:7" x14ac:dyDescent="0.3">
      <c r="A45" s="9"/>
      <c r="B45" s="66"/>
      <c r="C45" s="66"/>
      <c r="D45" s="66"/>
      <c r="E45" s="9"/>
      <c r="F45" s="9"/>
      <c r="G45" s="3"/>
    </row>
    <row r="46" spans="1:7" x14ac:dyDescent="0.3">
      <c r="A46" s="9"/>
      <c r="B46" s="66"/>
      <c r="C46" s="66"/>
      <c r="D46" s="66"/>
      <c r="E46" s="9"/>
      <c r="F46" s="9"/>
      <c r="G46" s="3"/>
    </row>
    <row r="47" spans="1:7" x14ac:dyDescent="0.3">
      <c r="A47" s="9"/>
      <c r="B47" s="66"/>
      <c r="C47" s="66"/>
      <c r="D47" s="66"/>
      <c r="E47" s="9"/>
      <c r="F47" s="9"/>
      <c r="G47" s="3"/>
    </row>
    <row r="48" spans="1:7" x14ac:dyDescent="0.3">
      <c r="A48" s="9"/>
      <c r="B48" s="66"/>
      <c r="C48" s="66"/>
      <c r="D48" s="66"/>
      <c r="E48" s="9"/>
      <c r="F48" s="9"/>
      <c r="G48" s="3"/>
    </row>
    <row r="49" spans="1:7" x14ac:dyDescent="0.3">
      <c r="A49" s="9"/>
      <c r="B49" s="66"/>
      <c r="C49" s="66"/>
      <c r="D49" s="66"/>
      <c r="E49" s="9"/>
      <c r="F49" s="9"/>
      <c r="G49" s="3"/>
    </row>
    <row r="50" spans="1:7" x14ac:dyDescent="0.3">
      <c r="A50" s="9"/>
      <c r="B50" s="66"/>
      <c r="C50" s="66"/>
      <c r="D50" s="66"/>
      <c r="E50" s="9"/>
      <c r="F50" s="9"/>
      <c r="G50" s="3"/>
    </row>
    <row r="51" spans="1:7" x14ac:dyDescent="0.3">
      <c r="A51" s="9"/>
      <c r="B51" s="66"/>
      <c r="C51" s="66"/>
      <c r="D51" s="66"/>
      <c r="E51" s="9"/>
      <c r="F51" s="9"/>
      <c r="G51" s="3"/>
    </row>
    <row r="52" spans="1:7" x14ac:dyDescent="0.3">
      <c r="A52" s="9"/>
      <c r="B52" s="66"/>
      <c r="C52" s="66"/>
      <c r="D52" s="66"/>
      <c r="E52" s="9"/>
      <c r="F52" s="9"/>
      <c r="G52" s="3"/>
    </row>
    <row r="53" spans="1:7" x14ac:dyDescent="0.3">
      <c r="A53" s="9"/>
      <c r="B53" s="66"/>
      <c r="C53" s="66"/>
      <c r="D53" s="66"/>
      <c r="E53" s="9"/>
      <c r="F53" s="9"/>
      <c r="G53" s="3"/>
    </row>
    <row r="54" spans="1:7" x14ac:dyDescent="0.3">
      <c r="A54" s="9"/>
      <c r="B54" s="66"/>
      <c r="C54" s="66"/>
      <c r="D54" s="66"/>
      <c r="E54" s="9"/>
      <c r="F54" s="9"/>
      <c r="G54" s="3"/>
    </row>
    <row r="55" spans="1:7" x14ac:dyDescent="0.3">
      <c r="A55" s="9"/>
      <c r="B55" s="66"/>
      <c r="C55" s="66"/>
      <c r="D55" s="66"/>
      <c r="E55" s="9"/>
      <c r="F55" s="9"/>
      <c r="G55" s="3"/>
    </row>
    <row r="56" spans="1:7" x14ac:dyDescent="0.3">
      <c r="A56" s="9"/>
      <c r="B56" s="66"/>
      <c r="C56" s="66"/>
      <c r="D56" s="66"/>
      <c r="E56" s="9"/>
      <c r="F56" s="9"/>
      <c r="G56" s="3"/>
    </row>
    <row r="57" spans="1:7" x14ac:dyDescent="0.3">
      <c r="A57" s="9"/>
      <c r="B57" s="66"/>
      <c r="C57" s="66"/>
      <c r="D57" s="66"/>
      <c r="E57" s="9"/>
      <c r="F57" s="9"/>
      <c r="G57" s="3"/>
    </row>
    <row r="58" spans="1:7" x14ac:dyDescent="0.3">
      <c r="A58" s="9"/>
      <c r="B58" s="66"/>
      <c r="C58" s="66"/>
      <c r="D58" s="66"/>
      <c r="E58" s="9"/>
      <c r="F58" s="9"/>
      <c r="G58" s="3"/>
    </row>
    <row r="59" spans="1:7" x14ac:dyDescent="0.3">
      <c r="A59" s="9"/>
      <c r="B59" s="66"/>
      <c r="C59" s="66"/>
      <c r="D59" s="66"/>
      <c r="E59" s="9"/>
      <c r="F59" s="9"/>
      <c r="G59" s="3"/>
    </row>
    <row r="60" spans="1:7" x14ac:dyDescent="0.3">
      <c r="A60" s="9"/>
      <c r="B60" s="66"/>
      <c r="C60" s="66"/>
      <c r="D60" s="66"/>
      <c r="E60" s="9"/>
      <c r="F60" s="9"/>
      <c r="G60" s="3"/>
    </row>
    <row r="61" spans="1:7" x14ac:dyDescent="0.3">
      <c r="A61" s="9"/>
      <c r="B61" s="66"/>
      <c r="C61" s="66"/>
      <c r="D61" s="66"/>
      <c r="E61" s="9"/>
      <c r="F61" s="9"/>
      <c r="G61" s="3"/>
    </row>
    <row r="62" spans="1:7" x14ac:dyDescent="0.3">
      <c r="A62" s="9"/>
      <c r="B62" s="66"/>
      <c r="C62" s="66"/>
      <c r="D62" s="66"/>
      <c r="E62" s="9"/>
      <c r="F62" s="9"/>
      <c r="G62" s="3"/>
    </row>
    <row r="63" spans="1:7" x14ac:dyDescent="0.3">
      <c r="A63" s="9"/>
      <c r="B63" s="66"/>
      <c r="C63" s="66"/>
      <c r="D63" s="66"/>
      <c r="E63" s="9"/>
      <c r="F63" s="9"/>
      <c r="G63" s="3"/>
    </row>
    <row r="64" spans="1:7" x14ac:dyDescent="0.3">
      <c r="A64" s="9"/>
      <c r="B64" s="66"/>
      <c r="C64" s="66"/>
      <c r="D64" s="66"/>
      <c r="E64" s="9"/>
      <c r="F64" s="9"/>
      <c r="G64" s="3"/>
    </row>
    <row r="65" spans="1:7" x14ac:dyDescent="0.3">
      <c r="A65" s="9"/>
      <c r="B65" s="66"/>
      <c r="C65" s="66"/>
      <c r="D65" s="66"/>
      <c r="E65" s="9"/>
      <c r="F65" s="9"/>
      <c r="G65" s="3"/>
    </row>
    <row r="66" spans="1:7" x14ac:dyDescent="0.3">
      <c r="A66" s="9"/>
      <c r="B66" s="66"/>
      <c r="C66" s="66"/>
      <c r="D66" s="66"/>
      <c r="E66" s="9"/>
      <c r="F66" s="9"/>
      <c r="G66" s="3"/>
    </row>
    <row r="67" spans="1:7" x14ac:dyDescent="0.3">
      <c r="A67" s="9"/>
      <c r="B67" s="66"/>
      <c r="C67" s="66"/>
      <c r="D67" s="66"/>
      <c r="E67" s="9"/>
      <c r="F67" s="9"/>
      <c r="G67" s="3"/>
    </row>
    <row r="68" spans="1:7" x14ac:dyDescent="0.3">
      <c r="A68" s="9"/>
      <c r="B68" s="66"/>
      <c r="C68" s="66"/>
      <c r="D68" s="66"/>
      <c r="E68" s="9"/>
      <c r="F68" s="9"/>
      <c r="G68" s="3"/>
    </row>
    <row r="69" spans="1:7" x14ac:dyDescent="0.3">
      <c r="A69" s="9"/>
      <c r="B69" s="66"/>
      <c r="C69" s="66"/>
      <c r="D69" s="66"/>
      <c r="E69" s="9"/>
      <c r="F69" s="9"/>
      <c r="G69" s="3"/>
    </row>
    <row r="70" spans="1:7" x14ac:dyDescent="0.3">
      <c r="A70" s="9"/>
      <c r="B70" s="66"/>
      <c r="C70" s="66"/>
      <c r="D70" s="66"/>
      <c r="E70" s="9"/>
      <c r="F70" s="9"/>
      <c r="G70" s="3"/>
    </row>
    <row r="71" spans="1:7" x14ac:dyDescent="0.3">
      <c r="A71" s="9"/>
      <c r="B71" s="66"/>
      <c r="C71" s="66"/>
      <c r="D71" s="66"/>
      <c r="E71" s="9"/>
      <c r="F71" s="9"/>
      <c r="G71" s="3"/>
    </row>
    <row r="72" spans="1:7" x14ac:dyDescent="0.3">
      <c r="A72" s="9"/>
      <c r="B72" s="66"/>
      <c r="C72" s="66"/>
      <c r="D72" s="66"/>
      <c r="E72" s="9"/>
      <c r="F72" s="9"/>
      <c r="G72" s="3"/>
    </row>
    <row r="73" spans="1:7" x14ac:dyDescent="0.3">
      <c r="A73" s="9"/>
      <c r="B73" s="66"/>
      <c r="C73" s="66"/>
      <c r="D73" s="66"/>
      <c r="E73" s="9"/>
      <c r="F73" s="9"/>
      <c r="G73" s="3"/>
    </row>
    <row r="74" spans="1:7" x14ac:dyDescent="0.3">
      <c r="A74" s="9"/>
      <c r="B74" s="66"/>
      <c r="C74" s="66"/>
      <c r="D74" s="66"/>
      <c r="E74" s="9"/>
      <c r="F74" s="9"/>
      <c r="G74" s="3"/>
    </row>
    <row r="75" spans="1:7" x14ac:dyDescent="0.3">
      <c r="A75" s="9"/>
      <c r="B75" s="66"/>
      <c r="C75" s="66"/>
      <c r="D75" s="66"/>
      <c r="E75" s="9"/>
      <c r="F75" s="9"/>
      <c r="G75" s="3"/>
    </row>
    <row r="76" spans="1:7" x14ac:dyDescent="0.3">
      <c r="A76" s="9"/>
      <c r="B76" s="66"/>
      <c r="C76" s="66"/>
      <c r="D76" s="66"/>
      <c r="E76" s="9"/>
      <c r="F76" s="9"/>
      <c r="G76" s="3"/>
    </row>
    <row r="77" spans="1:7" x14ac:dyDescent="0.3">
      <c r="A77" s="9"/>
      <c r="B77" s="66"/>
      <c r="C77" s="66"/>
      <c r="D77" s="66"/>
      <c r="E77" s="9"/>
      <c r="F77" s="9"/>
      <c r="G77" s="3"/>
    </row>
    <row r="78" spans="1:7" x14ac:dyDescent="0.3">
      <c r="A78" s="9"/>
      <c r="B78" s="66"/>
      <c r="C78" s="66"/>
      <c r="D78" s="66"/>
      <c r="E78" s="9"/>
      <c r="F78" s="9"/>
      <c r="G78" s="3"/>
    </row>
    <row r="79" spans="1:7" x14ac:dyDescent="0.3">
      <c r="A79" s="9"/>
      <c r="B79" s="66"/>
      <c r="C79" s="66"/>
      <c r="D79" s="66"/>
      <c r="E79" s="9"/>
      <c r="F79" s="9"/>
      <c r="G79" s="3"/>
    </row>
    <row r="80" spans="1:7" x14ac:dyDescent="0.3">
      <c r="A80" s="9"/>
      <c r="B80" s="66"/>
      <c r="C80" s="66"/>
      <c r="D80" s="66"/>
      <c r="E80" s="9"/>
      <c r="F80" s="9"/>
      <c r="G80" s="3"/>
    </row>
    <row r="81" spans="1:7" x14ac:dyDescent="0.3">
      <c r="A81" s="9"/>
      <c r="B81" s="67"/>
      <c r="C81" s="67"/>
      <c r="D81" s="67"/>
      <c r="E81" s="9"/>
      <c r="F81" s="9"/>
      <c r="G81" s="3"/>
    </row>
    <row r="82" spans="1:7" x14ac:dyDescent="0.3">
      <c r="A82" s="9"/>
      <c r="E82" s="9"/>
      <c r="F82" s="9"/>
      <c r="G82" s="3"/>
    </row>
  </sheetData>
  <mergeCells count="4">
    <mergeCell ref="A1:F1"/>
    <mergeCell ref="A2:E2"/>
    <mergeCell ref="A3:A4"/>
    <mergeCell ref="B3:F3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2-2</vt:lpstr>
      <vt:lpstr>2-3</vt:lpstr>
      <vt:lpstr>2-3续</vt:lpstr>
      <vt:lpstr>2-4</vt:lpstr>
      <vt:lpstr>2-4续</vt:lpstr>
      <vt:lpstr>2-5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/>
  <cp:lastPrinted>2016-07-25T01:06:54Z</cp:lastPrinted>
  <dcterms:created xsi:type="dcterms:W3CDTF">2013-05-30T07:23:53Z</dcterms:created>
  <dcterms:modified xsi:type="dcterms:W3CDTF">2025-03-30T13:13:20Z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