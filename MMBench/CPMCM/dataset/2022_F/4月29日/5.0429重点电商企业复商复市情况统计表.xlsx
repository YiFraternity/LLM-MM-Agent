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9日\"/>
    </mc:Choice>
  </mc:AlternateContent>
  <xr:revisionPtr revIDLastSave="0" documentId="8_{5FEE2A41-5650-45A7-B721-F463E263E9FB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C31" i="1"/>
  <c r="D31" i="1"/>
  <c r="E31" i="1" s="1"/>
  <c r="F31" i="1"/>
</calcChain>
</file>

<file path=xl/sharedStrings.xml><?xml version="1.0" encoding="utf-8"?>
<sst xmlns="http://schemas.openxmlformats.org/spreadsheetml/2006/main" count="40" uniqueCount="37">
  <si>
    <t>附件5</t>
  </si>
  <si>
    <t>重点电商企业复商复市情况统计表</t>
  </si>
  <si>
    <t>序号</t>
  </si>
  <si>
    <t>企业名称</t>
  </si>
  <si>
    <t>总人数</t>
  </si>
  <si>
    <t>在岗人数</t>
  </si>
  <si>
    <t>在岗率</t>
  </si>
  <si>
    <t>订单数</t>
  </si>
  <si>
    <t>京东商城</t>
  </si>
  <si>
    <t>美团</t>
  </si>
  <si>
    <t>饿了么</t>
  </si>
  <si>
    <t>楼楼管家</t>
  </si>
  <si>
    <t>供销社</t>
  </si>
  <si>
    <t>多多买菜</t>
  </si>
  <si>
    <t>吉林省榴小敏科技有限公司</t>
  </si>
  <si>
    <t>上农苹果公社生态农业有限公司</t>
  </si>
  <si>
    <t>吉林省占林绿色农业科技有限公司</t>
  </si>
  <si>
    <t>吉林省京天科技发展有限公司</t>
  </si>
  <si>
    <t>吉林省吉聚客商贸有限公司</t>
  </si>
  <si>
    <t>吉林省星拓传媒有限公司</t>
  </si>
  <si>
    <t>吉林省地海农业开发有限公司</t>
  </si>
  <si>
    <t>吉林省露选电子商务有限公司</t>
  </si>
  <si>
    <t>鼎盛优鲜</t>
  </si>
  <si>
    <t>吉林省龚萍电子商务有限责任公司</t>
  </si>
  <si>
    <t>好货家优选(长春)科技发展有限公司</t>
  </si>
  <si>
    <t>吉林省龙新通信网络科技有限责任公司</t>
  </si>
  <si>
    <t>优邮到家</t>
  </si>
  <si>
    <t>吉林省智辉供应链科技有限公司</t>
  </si>
  <si>
    <t>长春市润龙文化传媒有限公司</t>
  </si>
  <si>
    <t>长春市鹏耀网络信息有限公司</t>
  </si>
  <si>
    <t>吉林森工中森电子商务有限责任公司</t>
  </si>
  <si>
    <t>吉林省逸航网络科技有限公司</t>
  </si>
  <si>
    <t>吉林省百欣康生物科技有限公司</t>
  </si>
  <si>
    <t>美团优选</t>
  </si>
  <si>
    <t>美菜网（未营业）</t>
  </si>
  <si>
    <t>——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</si>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</sst>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8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2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2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view="pageBreakPreview" zoomScale="89" zoomScaleNormal="100" workbookViewId="0">
      <selection activeCell="E12" sqref="E12"/>
    </sheetView>
  </sheetViews>
  <sheetFormatPr defaultColWidth="9" defaultRowHeight="14.15" x14ac:dyDescent="0.35"/>
  <cols>
    <col min="1" max="1" width="6.140625" customWidth="1"/>
    <col min="2" max="2" width="40.7109375" customWidth="1"/>
    <col min="3" max="6" width="10.2109375" customWidth="1"/>
  </cols>
  <sheetData>
    <row r="1" spans="1:6" ht="19" customHeight="1" x14ac:dyDescent="0.35">
      <c r="A1" s="2" t="s">
        <v>0</v>
      </c>
    </row>
    <row r="2" spans="1:6" ht="30" customHeight="1" x14ac:dyDescent="0.35">
      <c r="A2" s="15" t="s">
        <v>1</v>
      </c>
      <c r="B2" s="15"/>
      <c r="C2" s="15"/>
      <c r="D2" s="15"/>
      <c r="E2" s="15"/>
      <c r="F2" s="15"/>
    </row>
    <row r="3" spans="1:6" s="1" customFormat="1" ht="24" customHeight="1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1" customFormat="1" ht="24" customHeight="1" x14ac:dyDescent="0.35">
      <c r="A4" s="4">
        <v>1</v>
      </c>
      <c r="B4" s="4" t="s">
        <v>8</v>
      </c>
      <c r="C4" s="5">
        <v>807</v>
      </c>
      <c r="D4" s="4">
        <v>1009</v>
      </c>
      <c r="E4" s="11">
        <f>D4/C4</f>
        <v>1.2503097893432467</v>
      </c>
      <c r="F4" s="12">
        <v>150000</v>
      </c>
    </row>
    <row r="5" spans="1:6" s="1" customFormat="1" ht="24" customHeight="1" x14ac:dyDescent="0.35">
      <c r="A5" s="4">
        <v>2</v>
      </c>
      <c r="B5" s="4" t="s">
        <v>9</v>
      </c>
      <c r="C5" s="5">
        <v>435</v>
      </c>
      <c r="D5" s="4">
        <v>170</v>
      </c>
      <c r="E5" s="11">
        <f t="shared" ref="E5:E29" si="0">D5/C5</f>
        <v>0.39080459770114945</v>
      </c>
      <c r="F5" s="4">
        <v>4500</v>
      </c>
    </row>
    <row r="6" spans="1:6" s="1" customFormat="1" ht="24" customHeight="1" x14ac:dyDescent="0.35">
      <c r="A6" s="4">
        <v>3</v>
      </c>
      <c r="B6" s="4" t="s">
        <v>10</v>
      </c>
      <c r="C6" s="5">
        <v>653</v>
      </c>
      <c r="D6" s="4">
        <v>124</v>
      </c>
      <c r="E6" s="11">
        <f t="shared" si="0"/>
        <v>0.18989280245022971</v>
      </c>
      <c r="F6" s="4">
        <v>1400</v>
      </c>
    </row>
    <row r="7" spans="1:6" s="1" customFormat="1" ht="24" customHeight="1" x14ac:dyDescent="0.35">
      <c r="A7" s="4">
        <v>4</v>
      </c>
      <c r="B7" s="4" t="s">
        <v>11</v>
      </c>
      <c r="C7" s="5">
        <v>80</v>
      </c>
      <c r="D7" s="4">
        <v>64</v>
      </c>
      <c r="E7" s="11">
        <f t="shared" si="0"/>
        <v>0.8</v>
      </c>
      <c r="F7" s="4">
        <v>1900</v>
      </c>
    </row>
    <row r="8" spans="1:6" s="1" customFormat="1" ht="24" customHeight="1" x14ac:dyDescent="0.35">
      <c r="A8" s="4">
        <v>5</v>
      </c>
      <c r="B8" s="4" t="s">
        <v>12</v>
      </c>
      <c r="C8" s="5">
        <v>2244</v>
      </c>
      <c r="D8" s="4">
        <v>1750</v>
      </c>
      <c r="E8" s="11">
        <f t="shared" si="0"/>
        <v>0.77985739750445637</v>
      </c>
      <c r="F8" s="4">
        <v>233890</v>
      </c>
    </row>
    <row r="9" spans="1:6" s="1" customFormat="1" ht="24" customHeight="1" x14ac:dyDescent="0.35">
      <c r="A9" s="4">
        <v>6</v>
      </c>
      <c r="B9" s="4" t="s">
        <v>13</v>
      </c>
      <c r="C9" s="5">
        <v>600</v>
      </c>
      <c r="D9" s="4">
        <v>90</v>
      </c>
      <c r="E9" s="11">
        <f t="shared" si="0"/>
        <v>0.15</v>
      </c>
      <c r="F9" s="4">
        <v>30000</v>
      </c>
    </row>
    <row r="10" spans="1:6" s="1" customFormat="1" ht="24" customHeight="1" x14ac:dyDescent="0.35">
      <c r="A10" s="4">
        <v>7</v>
      </c>
      <c r="B10" s="4" t="s">
        <v>14</v>
      </c>
      <c r="C10" s="5">
        <v>30</v>
      </c>
      <c r="D10" s="4">
        <v>30</v>
      </c>
      <c r="E10" s="11">
        <f t="shared" si="0"/>
        <v>1</v>
      </c>
      <c r="F10" s="4">
        <v>8700</v>
      </c>
    </row>
    <row r="11" spans="1:6" s="1" customFormat="1" ht="24" customHeight="1" x14ac:dyDescent="0.35">
      <c r="A11" s="4">
        <v>8</v>
      </c>
      <c r="B11" s="4" t="s">
        <v>15</v>
      </c>
      <c r="C11" s="5">
        <v>20</v>
      </c>
      <c r="D11" s="4">
        <v>11</v>
      </c>
      <c r="E11" s="11">
        <f t="shared" si="0"/>
        <v>0.55000000000000004</v>
      </c>
      <c r="F11" s="4">
        <v>50</v>
      </c>
    </row>
    <row r="12" spans="1:6" s="1" customFormat="1" ht="24" customHeight="1" x14ac:dyDescent="0.35">
      <c r="A12" s="4">
        <v>9</v>
      </c>
      <c r="B12" s="4" t="s">
        <v>16</v>
      </c>
      <c r="C12" s="5">
        <v>206</v>
      </c>
      <c r="D12" s="4">
        <v>33</v>
      </c>
      <c r="E12" s="11">
        <f t="shared" si="0"/>
        <v>0.16019417475728157</v>
      </c>
      <c r="F12" s="4">
        <v>255</v>
      </c>
    </row>
    <row r="13" spans="1:6" s="1" customFormat="1" ht="24" customHeight="1" x14ac:dyDescent="0.35">
      <c r="A13" s="4">
        <v>10</v>
      </c>
      <c r="B13" s="4" t="s">
        <v>17</v>
      </c>
      <c r="C13" s="5">
        <v>60</v>
      </c>
      <c r="D13" s="4">
        <v>54</v>
      </c>
      <c r="E13" s="11">
        <f t="shared" si="0"/>
        <v>0.9</v>
      </c>
      <c r="F13" s="4">
        <v>21480</v>
      </c>
    </row>
    <row r="14" spans="1:6" s="1" customFormat="1" ht="24" customHeight="1" x14ac:dyDescent="0.35">
      <c r="A14" s="4">
        <v>11</v>
      </c>
      <c r="B14" s="4" t="s">
        <v>18</v>
      </c>
      <c r="C14" s="5">
        <v>50</v>
      </c>
      <c r="D14" s="4">
        <v>20</v>
      </c>
      <c r="E14" s="11">
        <f t="shared" si="0"/>
        <v>0.4</v>
      </c>
      <c r="F14" s="4">
        <v>19850</v>
      </c>
    </row>
    <row r="15" spans="1:6" s="1" customFormat="1" ht="24" customHeight="1" x14ac:dyDescent="0.35">
      <c r="A15" s="4">
        <v>12</v>
      </c>
      <c r="B15" s="4" t="s">
        <v>19</v>
      </c>
      <c r="C15" s="5">
        <v>39</v>
      </c>
      <c r="D15" s="4">
        <v>22</v>
      </c>
      <c r="E15" s="11">
        <f t="shared" si="0"/>
        <v>0.5641025641025641</v>
      </c>
      <c r="F15" s="4">
        <v>270</v>
      </c>
    </row>
    <row r="16" spans="1:6" s="1" customFormat="1" ht="24" customHeight="1" x14ac:dyDescent="0.35">
      <c r="A16" s="4">
        <v>13</v>
      </c>
      <c r="B16" s="4" t="s">
        <v>20</v>
      </c>
      <c r="C16" s="5">
        <v>73</v>
      </c>
      <c r="D16" s="4">
        <v>20</v>
      </c>
      <c r="E16" s="11">
        <f t="shared" si="0"/>
        <v>0.27397260273972601</v>
      </c>
      <c r="F16" s="4">
        <v>377</v>
      </c>
    </row>
    <row r="17" spans="1:6" s="1" customFormat="1" ht="24" customHeight="1" x14ac:dyDescent="0.35">
      <c r="A17" s="4">
        <v>14</v>
      </c>
      <c r="B17" s="4" t="s">
        <v>21</v>
      </c>
      <c r="C17" s="5">
        <v>12</v>
      </c>
      <c r="D17" s="4">
        <v>12</v>
      </c>
      <c r="E17" s="11">
        <f t="shared" si="0"/>
        <v>1</v>
      </c>
      <c r="F17" s="4">
        <v>1680</v>
      </c>
    </row>
    <row r="18" spans="1:6" s="1" customFormat="1" ht="24" customHeight="1" x14ac:dyDescent="0.35">
      <c r="A18" s="4">
        <v>15</v>
      </c>
      <c r="B18" s="4" t="s">
        <v>22</v>
      </c>
      <c r="C18" s="5">
        <v>188</v>
      </c>
      <c r="D18" s="4">
        <v>15</v>
      </c>
      <c r="E18" s="11">
        <f t="shared" si="0"/>
        <v>7.9787234042553196E-2</v>
      </c>
      <c r="F18" s="4">
        <v>4504</v>
      </c>
    </row>
    <row r="19" spans="1:6" s="1" customFormat="1" ht="24" customHeight="1" x14ac:dyDescent="0.35">
      <c r="A19" s="4">
        <v>16</v>
      </c>
      <c r="B19" s="4" t="s">
        <v>23</v>
      </c>
      <c r="C19" s="5">
        <v>20</v>
      </c>
      <c r="D19" s="6">
        <v>14</v>
      </c>
      <c r="E19" s="11">
        <f t="shared" si="0"/>
        <v>0.7</v>
      </c>
      <c r="F19" s="6">
        <v>308</v>
      </c>
    </row>
    <row r="20" spans="1:6" s="1" customFormat="1" ht="24" customHeight="1" x14ac:dyDescent="0.35">
      <c r="A20" s="4">
        <v>17</v>
      </c>
      <c r="B20" s="4" t="s">
        <v>24</v>
      </c>
      <c r="C20" s="5">
        <v>4</v>
      </c>
      <c r="D20" s="6">
        <v>4</v>
      </c>
      <c r="E20" s="11">
        <f t="shared" si="0"/>
        <v>1</v>
      </c>
      <c r="F20" s="6">
        <v>500</v>
      </c>
    </row>
    <row r="21" spans="1:6" s="1" customFormat="1" ht="24" customHeight="1" x14ac:dyDescent="0.35">
      <c r="A21" s="4">
        <v>18</v>
      </c>
      <c r="B21" s="4" t="s">
        <v>25</v>
      </c>
      <c r="C21" s="5">
        <v>21</v>
      </c>
      <c r="D21" s="6">
        <v>11</v>
      </c>
      <c r="E21" s="11">
        <f t="shared" si="0"/>
        <v>0.52380952380952384</v>
      </c>
      <c r="F21" s="6">
        <v>300</v>
      </c>
    </row>
    <row r="22" spans="1:6" s="1" customFormat="1" ht="24" customHeight="1" x14ac:dyDescent="0.35">
      <c r="A22" s="4">
        <v>19</v>
      </c>
      <c r="B22" s="4" t="s">
        <v>26</v>
      </c>
      <c r="C22" s="5">
        <v>37</v>
      </c>
      <c r="D22" s="6">
        <v>11</v>
      </c>
      <c r="E22" s="11">
        <f t="shared" si="0"/>
        <v>0.29729729729729731</v>
      </c>
      <c r="F22" s="6">
        <v>400</v>
      </c>
    </row>
    <row r="23" spans="1:6" s="1" customFormat="1" ht="24" customHeight="1" x14ac:dyDescent="0.35">
      <c r="A23" s="4">
        <v>20</v>
      </c>
      <c r="B23" s="4" t="s">
        <v>27</v>
      </c>
      <c r="C23" s="5">
        <v>80</v>
      </c>
      <c r="D23" s="6">
        <v>11</v>
      </c>
      <c r="E23" s="11">
        <f t="shared" si="0"/>
        <v>0.13750000000000001</v>
      </c>
      <c r="F23" s="6">
        <v>500</v>
      </c>
    </row>
    <row r="24" spans="1:6" s="1" customFormat="1" ht="24" customHeight="1" x14ac:dyDescent="0.35">
      <c r="A24" s="4">
        <v>21</v>
      </c>
      <c r="B24" s="4" t="s">
        <v>28</v>
      </c>
      <c r="C24" s="5">
        <v>19</v>
      </c>
      <c r="D24" s="6">
        <v>15</v>
      </c>
      <c r="E24" s="11">
        <f t="shared" si="0"/>
        <v>0.78947368421052633</v>
      </c>
      <c r="F24" s="6">
        <v>480</v>
      </c>
    </row>
    <row r="25" spans="1:6" s="1" customFormat="1" ht="24" customHeight="1" x14ac:dyDescent="0.35">
      <c r="A25" s="4">
        <v>22</v>
      </c>
      <c r="B25" s="4" t="s">
        <v>29</v>
      </c>
      <c r="C25" s="5">
        <v>40</v>
      </c>
      <c r="D25" s="6">
        <v>14</v>
      </c>
      <c r="E25" s="11">
        <f t="shared" si="0"/>
        <v>0.35</v>
      </c>
      <c r="F25" s="6">
        <v>300</v>
      </c>
    </row>
    <row r="26" spans="1:6" s="1" customFormat="1" ht="24" customHeight="1" x14ac:dyDescent="0.35">
      <c r="A26" s="4">
        <v>23</v>
      </c>
      <c r="B26" s="4" t="s">
        <v>30</v>
      </c>
      <c r="C26" s="5">
        <v>20</v>
      </c>
      <c r="D26" s="6">
        <v>13</v>
      </c>
      <c r="E26" s="11">
        <f t="shared" si="0"/>
        <v>0.65</v>
      </c>
      <c r="F26" s="6">
        <v>510</v>
      </c>
    </row>
    <row r="27" spans="1:6" s="1" customFormat="1" ht="24" customHeight="1" x14ac:dyDescent="0.35">
      <c r="A27" s="4">
        <v>24</v>
      </c>
      <c r="B27" s="4" t="s">
        <v>31</v>
      </c>
      <c r="C27" s="5">
        <v>30</v>
      </c>
      <c r="D27" s="6">
        <v>15</v>
      </c>
      <c r="E27" s="11">
        <f t="shared" si="0"/>
        <v>0.5</v>
      </c>
      <c r="F27" s="6">
        <v>300</v>
      </c>
    </row>
    <row r="28" spans="1:6" s="1" customFormat="1" ht="24" customHeight="1" x14ac:dyDescent="0.35">
      <c r="A28" s="4">
        <v>25</v>
      </c>
      <c r="B28" s="7" t="s">
        <v>32</v>
      </c>
      <c r="C28" s="5">
        <v>28</v>
      </c>
      <c r="D28" s="8">
        <v>28</v>
      </c>
      <c r="E28" s="11">
        <f t="shared" si="0"/>
        <v>1</v>
      </c>
      <c r="F28" s="6">
        <v>0</v>
      </c>
    </row>
    <row r="29" spans="1:6" s="1" customFormat="1" ht="24" customHeight="1" x14ac:dyDescent="0.35">
      <c r="A29" s="4">
        <v>26</v>
      </c>
      <c r="B29" s="4" t="s">
        <v>33</v>
      </c>
      <c r="C29" s="5">
        <v>356</v>
      </c>
      <c r="D29" s="6">
        <v>160</v>
      </c>
      <c r="E29" s="11">
        <f t="shared" si="0"/>
        <v>0.449438202247191</v>
      </c>
      <c r="F29" s="4">
        <v>20000</v>
      </c>
    </row>
    <row r="30" spans="1:6" s="1" customFormat="1" ht="24" customHeight="1" x14ac:dyDescent="0.35">
      <c r="A30" s="4">
        <v>27</v>
      </c>
      <c r="B30" s="9" t="s">
        <v>34</v>
      </c>
      <c r="C30" s="9" t="s">
        <v>35</v>
      </c>
      <c r="D30" s="9" t="s">
        <v>35</v>
      </c>
      <c r="E30" s="9" t="s">
        <v>35</v>
      </c>
      <c r="F30" s="9" t="s">
        <v>35</v>
      </c>
    </row>
    <row r="31" spans="1:6" s="1" customFormat="1" ht="24" customHeight="1" x14ac:dyDescent="0.35">
      <c r="A31" s="4"/>
      <c r="B31" s="9" t="s">
        <v>36</v>
      </c>
      <c r="C31" s="10">
        <f>SUM(C4:C30)</f>
        <v>6152</v>
      </c>
      <c r="D31" s="9">
        <f>SUM(D4:D30)</f>
        <v>3720</v>
      </c>
      <c r="E31" s="13">
        <f>D31/C31</f>
        <v>0.60468140442132645</v>
      </c>
      <c r="F31" s="14">
        <f>SUM(F4:F30)</f>
        <v>502454</v>
      </c>
    </row>
  </sheetData>
  <mergeCells count="1">
    <mergeCell ref="A2:F2"/>
  </mergeCells>
  <phoneticPr fontId="7" type="noConversion"/>
  <pageMargins left="0.75138888888888888" right="0.75138888888888888" top="0.78680555555555554" bottom="0.78680555555555554" header="0.5" footer="0.5"/>
  <pageSetup paperSize="9" orientation="portrait" r:id="rId1"/>
  <ignoredErrors>
    <ignoredError sqref="E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2022-04-30T22:20:38Z</dcterms:created>
  <dcterms:modified xsi:type="dcterms:W3CDTF">2025-03-30T13:24:25Z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