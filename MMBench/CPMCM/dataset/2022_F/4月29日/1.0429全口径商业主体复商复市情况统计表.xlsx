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9日\"/>
    </mc:Choice>
  </mc:AlternateContent>
  <xr:revisionPtr revIDLastSave="0" documentId="8_{A5F4A174-054A-4FC2-9027-8344D9B84B51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5" i="1" l="1"/>
  <c r="J5" i="1"/>
  <c r="J16" i="1" s="1"/>
  <c r="D6" i="1"/>
  <c r="J6" i="1"/>
  <c r="D7" i="1"/>
  <c r="J7" i="1"/>
  <c r="D8" i="1"/>
  <c r="J8" i="1"/>
  <c r="D9" i="1"/>
  <c r="J9" i="1"/>
  <c r="D10" i="1"/>
  <c r="J10" i="1"/>
  <c r="D11" i="1"/>
  <c r="J11" i="1"/>
  <c r="D12" i="1"/>
  <c r="J12" i="1"/>
  <c r="D13" i="1"/>
  <c r="J13" i="1"/>
  <c r="D14" i="1"/>
  <c r="J14" i="1"/>
  <c r="D15" i="1"/>
  <c r="J15" i="1"/>
  <c r="C16" i="1"/>
  <c r="E16" i="1"/>
  <c r="D16" i="1" s="1"/>
  <c r="F16" i="1"/>
  <c r="G16" i="1"/>
  <c r="H16" i="1"/>
  <c r="I16" i="1"/>
</calcChain>
</file>

<file path=xl/sharedStrings.xml><?xml version="1.0" encoding="utf-8"?>
<sst xmlns="http://schemas.openxmlformats.org/spreadsheetml/2006/main" count="32" uniqueCount="32">
  <si>
    <t>附件1</t>
  </si>
  <si>
    <t>各区全口径商贸主体复商复市情况统计表</t>
  </si>
  <si>
    <t>序号</t>
  </si>
  <si>
    <t>地区</t>
  </si>
  <si>
    <r>
      <t>商贸主体总数</t>
    </r>
    <r>
      <rPr>
        <b/>
        <sz val="10"/>
        <color indexed="8"/>
        <rFont val="宋体"/>
        <charset val="134"/>
      </rPr>
      <t>（按市场局反馈数据，仅参考）</t>
    </r>
  </si>
  <si>
    <r>
      <t xml:space="preserve">复市率
</t>
    </r>
    <r>
      <rPr>
        <b/>
        <sz val="10"/>
        <color indexed="8"/>
        <rFont val="宋体"/>
        <charset val="134"/>
      </rPr>
      <t>（按市场局反馈数据计算，仅参考）</t>
    </r>
  </si>
  <si>
    <t>商贸主体
复市数</t>
  </si>
  <si>
    <t>商贸主体
到岗人数</t>
  </si>
  <si>
    <t>商贸主体当日核酸
检测人数</t>
  </si>
  <si>
    <t>商贸主体当日抗原
检测人数</t>
  </si>
  <si>
    <t>持电子在岗证人数</t>
  </si>
  <si>
    <t>无电子在岗证人数</t>
  </si>
  <si>
    <t>无电子在岗证原因</t>
  </si>
  <si>
    <t>中韩示范区</t>
  </si>
  <si>
    <t>791（京东亚一封闭管理非流动人员）
42（村屯商超封闭管理非流动人）正在积极办理在岗证。</t>
  </si>
  <si>
    <t>经开区</t>
  </si>
  <si>
    <t>核酸待审核</t>
  </si>
  <si>
    <t>汽开区</t>
  </si>
  <si>
    <t>申办中</t>
  </si>
  <si>
    <t>南关区</t>
  </si>
  <si>
    <t>系统原因</t>
  </si>
  <si>
    <t>宽城区</t>
  </si>
  <si>
    <t>绿园区</t>
  </si>
  <si>
    <t>企业申办中，等待灵动长春系统审核</t>
  </si>
  <si>
    <t>莲花山</t>
  </si>
  <si>
    <t>二道区</t>
  </si>
  <si>
    <t>正在申请中，暂未审核通过</t>
  </si>
  <si>
    <t>新区</t>
  </si>
  <si>
    <t>净月区</t>
  </si>
  <si>
    <t>朝阳区</t>
  </si>
  <si>
    <t>电子在岗证系统后台导入企业存在延迟。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</si>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</sst>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indexed="8"/>
      <name val="宋体"/>
      <charset val="134"/>
    </font>
    <font>
      <sz val="11"/>
      <color indexed="8"/>
      <name val="方正小标宋简体"/>
      <charset val="134"/>
    </font>
    <font>
      <b/>
      <sz val="12"/>
      <color indexed="8"/>
      <name val="宋体"/>
      <charset val="134"/>
    </font>
    <font>
      <b/>
      <sz val="18"/>
      <color indexed="8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b/>
      <sz val="12"/>
      <color indexed="8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23">
    <xf numFmtId="0" fontId="0" fillId="0" borderId="0" xfId="0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Protection="1">
      <alignment vertical="center"/>
    </xf>
    <xf numFmtId="0" fontId="0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0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0" fontId="4" fillId="0" borderId="1" xfId="0" applyNumberFormat="1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10" fontId="5" fillId="0" borderId="1" xfId="0" applyNumberFormat="1" applyFont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2" fillId="0" borderId="2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horizontal="center" vertical="center" wrapText="1"/>
    </xf>
    <xf numFmtId="0" fontId="11" fillId="0" borderId="2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Views>
    <sheetView tabSelected="1" view="pageBreakPreview" zoomScaleNormal="100" workbookViewId="0"/>
  </sheetViews>
  <sheetFormatPr defaultColWidth="9" defaultRowHeight="14.15"/>
  <cols>
    <col min="1" max="1" width="6.15234375" style="3" customWidth="1"/>
    <col min="2" max="2" width="10.765625" style="3" bestFit="1" customWidth="1"/>
    <col min="3" max="3" width="13.23046875" style="3" customWidth="1"/>
    <col min="4" max="10" width="10.61328125" style="3" customWidth="1"/>
    <col min="11" max="11" width="31.765625" style="3" customWidth="1"/>
    <col min="12" max="27" width="8.4609375" style="3" bestFit="1" customWidth="1"/>
    <col min="28" max="16384" width="9" style="3"/>
  </cols>
  <sheetData>
    <row r="1" spans="1:28" ht="18" customHeight="1">
      <c r="A1" s="4" t="s">
        <v>0</v>
      </c>
    </row>
    <row r="2" spans="1:28" ht="40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s="1" customFormat="1" ht="30" customHeight="1">
      <c r="A3" s="18" t="s">
        <v>2</v>
      </c>
      <c r="B3" s="18" t="s">
        <v>3</v>
      </c>
      <c r="C3" s="19" t="s">
        <v>4</v>
      </c>
      <c r="D3" s="19" t="s">
        <v>5</v>
      </c>
      <c r="E3" s="21" t="s">
        <v>6</v>
      </c>
      <c r="F3" s="22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2" customFormat="1" ht="42" customHeight="1">
      <c r="A4" s="18"/>
      <c r="B4" s="18"/>
      <c r="C4" s="20"/>
      <c r="D4" s="20"/>
      <c r="E4" s="22"/>
      <c r="F4" s="22"/>
      <c r="G4" s="20"/>
      <c r="H4" s="22"/>
      <c r="I4" s="20"/>
      <c r="J4" s="20"/>
      <c r="K4" s="2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37.299999999999997">
      <c r="A5" s="5">
        <v>1</v>
      </c>
      <c r="B5" s="5" t="s">
        <v>13</v>
      </c>
      <c r="C5" s="6">
        <v>38</v>
      </c>
      <c r="D5" s="7">
        <f t="shared" ref="D5:D16" si="0">E5/C5</f>
        <v>0.97368421052631582</v>
      </c>
      <c r="E5" s="5">
        <v>37</v>
      </c>
      <c r="F5" s="6">
        <v>1377</v>
      </c>
      <c r="G5" s="6">
        <v>1377</v>
      </c>
      <c r="H5" s="6">
        <v>1377</v>
      </c>
      <c r="I5" s="6">
        <v>207</v>
      </c>
      <c r="J5" s="5">
        <f t="shared" ref="J5:J15" si="1">F5-I5</f>
        <v>1170</v>
      </c>
      <c r="K5" s="11" t="s">
        <v>14</v>
      </c>
    </row>
    <row r="6" spans="1:28" ht="27" customHeight="1">
      <c r="A6" s="5">
        <v>2</v>
      </c>
      <c r="B6" s="5" t="s">
        <v>15</v>
      </c>
      <c r="C6" s="6">
        <v>24819</v>
      </c>
      <c r="D6" s="7">
        <f t="shared" si="0"/>
        <v>6.7206575607397553E-2</v>
      </c>
      <c r="E6" s="6">
        <v>1668</v>
      </c>
      <c r="F6" s="6">
        <v>5755</v>
      </c>
      <c r="G6" s="6">
        <v>5755</v>
      </c>
      <c r="H6" s="6">
        <v>5755</v>
      </c>
      <c r="I6" s="6">
        <v>2807</v>
      </c>
      <c r="J6" s="5">
        <f t="shared" si="1"/>
        <v>2948</v>
      </c>
      <c r="K6" s="11" t="s">
        <v>16</v>
      </c>
    </row>
    <row r="7" spans="1:28" ht="27" customHeight="1">
      <c r="A7" s="5">
        <v>3</v>
      </c>
      <c r="B7" s="5" t="s">
        <v>17</v>
      </c>
      <c r="C7" s="6">
        <v>13560</v>
      </c>
      <c r="D7" s="7">
        <f t="shared" si="0"/>
        <v>5.2802359882005899E-2</v>
      </c>
      <c r="E7" s="6">
        <v>716</v>
      </c>
      <c r="F7" s="6">
        <v>2864</v>
      </c>
      <c r="G7" s="6">
        <v>2864</v>
      </c>
      <c r="H7" s="6">
        <v>2864</v>
      </c>
      <c r="I7" s="6">
        <v>2864</v>
      </c>
      <c r="J7" s="5">
        <f t="shared" si="1"/>
        <v>0</v>
      </c>
      <c r="K7" s="12" t="s">
        <v>18</v>
      </c>
    </row>
    <row r="8" spans="1:28" ht="27" customHeight="1">
      <c r="A8" s="5">
        <v>4</v>
      </c>
      <c r="B8" s="5" t="s">
        <v>19</v>
      </c>
      <c r="C8" s="6">
        <v>35551</v>
      </c>
      <c r="D8" s="7">
        <f t="shared" si="0"/>
        <v>4.1911619926303059E-2</v>
      </c>
      <c r="E8" s="5">
        <v>1490</v>
      </c>
      <c r="F8" s="5">
        <v>5616</v>
      </c>
      <c r="G8" s="5">
        <v>5616</v>
      </c>
      <c r="H8" s="5">
        <v>5616</v>
      </c>
      <c r="I8" s="5">
        <v>5616</v>
      </c>
      <c r="J8" s="5">
        <f t="shared" si="1"/>
        <v>0</v>
      </c>
      <c r="K8" s="13" t="s">
        <v>20</v>
      </c>
    </row>
    <row r="9" spans="1:28" ht="27" customHeight="1">
      <c r="A9" s="5">
        <v>5</v>
      </c>
      <c r="B9" s="5" t="s">
        <v>21</v>
      </c>
      <c r="C9" s="6">
        <v>43934</v>
      </c>
      <c r="D9" s="7">
        <f t="shared" si="0"/>
        <v>3.9673146082760506E-2</v>
      </c>
      <c r="E9" s="6">
        <v>1743</v>
      </c>
      <c r="F9" s="6">
        <v>6757</v>
      </c>
      <c r="G9" s="6">
        <v>6757</v>
      </c>
      <c r="H9" s="6">
        <v>6757</v>
      </c>
      <c r="I9" s="6">
        <v>6449</v>
      </c>
      <c r="J9" s="5">
        <f t="shared" si="1"/>
        <v>308</v>
      </c>
      <c r="K9" s="14"/>
    </row>
    <row r="10" spans="1:28" ht="27" customHeight="1">
      <c r="A10" s="5">
        <v>6</v>
      </c>
      <c r="B10" s="5" t="s">
        <v>22</v>
      </c>
      <c r="C10" s="6">
        <v>37175</v>
      </c>
      <c r="D10" s="7">
        <f t="shared" si="0"/>
        <v>3.1768661735036986E-2</v>
      </c>
      <c r="E10" s="5">
        <v>1181</v>
      </c>
      <c r="F10" s="6">
        <v>4393</v>
      </c>
      <c r="G10" s="6">
        <v>4393</v>
      </c>
      <c r="H10" s="6">
        <v>4393</v>
      </c>
      <c r="I10" s="6">
        <v>4393</v>
      </c>
      <c r="J10" s="5">
        <f t="shared" si="1"/>
        <v>0</v>
      </c>
      <c r="K10" s="11" t="s">
        <v>23</v>
      </c>
    </row>
    <row r="11" spans="1:28" ht="27" customHeight="1">
      <c r="A11" s="5">
        <v>7</v>
      </c>
      <c r="B11" s="5" t="s">
        <v>24</v>
      </c>
      <c r="C11" s="6">
        <v>1838</v>
      </c>
      <c r="D11" s="7">
        <f t="shared" si="0"/>
        <v>3.1556039173014146E-2</v>
      </c>
      <c r="E11" s="5">
        <v>58</v>
      </c>
      <c r="F11" s="5">
        <v>275</v>
      </c>
      <c r="G11" s="5">
        <v>275</v>
      </c>
      <c r="H11" s="5">
        <v>275</v>
      </c>
      <c r="I11" s="6">
        <v>275</v>
      </c>
      <c r="J11" s="5">
        <f t="shared" si="1"/>
        <v>0</v>
      </c>
      <c r="K11" s="15"/>
    </row>
    <row r="12" spans="1:28" ht="27" customHeight="1">
      <c r="A12" s="5">
        <v>8</v>
      </c>
      <c r="B12" s="5" t="s">
        <v>25</v>
      </c>
      <c r="C12" s="6">
        <v>32854</v>
      </c>
      <c r="D12" s="7">
        <f t="shared" si="0"/>
        <v>2.9311499360808426E-2</v>
      </c>
      <c r="E12" s="6">
        <v>963</v>
      </c>
      <c r="F12" s="6">
        <v>3982</v>
      </c>
      <c r="G12" s="6">
        <v>3982</v>
      </c>
      <c r="H12" s="6">
        <v>3982</v>
      </c>
      <c r="I12" s="6">
        <v>3982</v>
      </c>
      <c r="J12" s="5">
        <f t="shared" si="1"/>
        <v>0</v>
      </c>
      <c r="K12" s="11" t="s">
        <v>26</v>
      </c>
    </row>
    <row r="13" spans="1:28" ht="27" customHeight="1">
      <c r="A13" s="5">
        <v>9</v>
      </c>
      <c r="B13" s="5" t="s">
        <v>27</v>
      </c>
      <c r="C13" s="6">
        <v>29895</v>
      </c>
      <c r="D13" s="7">
        <f t="shared" si="0"/>
        <v>2.7362435189831075E-2</v>
      </c>
      <c r="E13" s="5">
        <v>818</v>
      </c>
      <c r="F13" s="5">
        <v>2785</v>
      </c>
      <c r="G13" s="5">
        <v>2785</v>
      </c>
      <c r="H13" s="5">
        <v>2785</v>
      </c>
      <c r="I13" s="5">
        <v>2785</v>
      </c>
      <c r="J13" s="5">
        <f t="shared" si="1"/>
        <v>0</v>
      </c>
      <c r="K13" s="15"/>
    </row>
    <row r="14" spans="1:28" ht="27" customHeight="1">
      <c r="A14" s="5">
        <v>10</v>
      </c>
      <c r="B14" s="5" t="s">
        <v>28</v>
      </c>
      <c r="C14" s="6">
        <v>14838</v>
      </c>
      <c r="D14" s="7">
        <f t="shared" si="0"/>
        <v>2.6014287639843644E-2</v>
      </c>
      <c r="E14" s="6">
        <v>386</v>
      </c>
      <c r="F14" s="6">
        <v>1974</v>
      </c>
      <c r="G14" s="6">
        <v>1974</v>
      </c>
      <c r="H14" s="6">
        <v>1974</v>
      </c>
      <c r="I14" s="6">
        <v>1974</v>
      </c>
      <c r="J14" s="5">
        <f t="shared" si="1"/>
        <v>0</v>
      </c>
      <c r="K14" s="15"/>
    </row>
    <row r="15" spans="1:28" ht="27" customHeight="1">
      <c r="A15" s="5">
        <v>11</v>
      </c>
      <c r="B15" s="5" t="s">
        <v>29</v>
      </c>
      <c r="C15" s="6">
        <v>47929</v>
      </c>
      <c r="D15" s="7">
        <f t="shared" si="0"/>
        <v>2.5266540090550606E-2</v>
      </c>
      <c r="E15" s="5">
        <v>1211</v>
      </c>
      <c r="F15" s="5">
        <v>5215</v>
      </c>
      <c r="G15" s="5">
        <v>5215</v>
      </c>
      <c r="H15" s="5">
        <v>5215</v>
      </c>
      <c r="I15" s="5">
        <v>4259</v>
      </c>
      <c r="J15" s="5">
        <f t="shared" si="1"/>
        <v>956</v>
      </c>
      <c r="K15" s="13" t="s">
        <v>30</v>
      </c>
    </row>
    <row r="16" spans="1:28" ht="27" customHeight="1">
      <c r="A16" s="8"/>
      <c r="B16" s="8" t="s">
        <v>31</v>
      </c>
      <c r="C16" s="8">
        <f>SUM(C5:C15)</f>
        <v>282431</v>
      </c>
      <c r="D16" s="9">
        <f t="shared" si="0"/>
        <v>3.6366404537745506E-2</v>
      </c>
      <c r="E16" s="8">
        <f t="shared" ref="E16:J16" si="2">SUM(E5:E15)</f>
        <v>10271</v>
      </c>
      <c r="F16" s="8">
        <f t="shared" si="2"/>
        <v>40993</v>
      </c>
      <c r="G16" s="8">
        <f t="shared" si="2"/>
        <v>40993</v>
      </c>
      <c r="H16" s="8">
        <f t="shared" si="2"/>
        <v>40993</v>
      </c>
      <c r="I16" s="8">
        <f t="shared" si="2"/>
        <v>35611</v>
      </c>
      <c r="J16" s="8">
        <f t="shared" si="2"/>
        <v>5382</v>
      </c>
      <c r="K16" s="16"/>
      <c r="AB16"/>
    </row>
    <row r="17" ht="26.05" customHeight="1"/>
  </sheetData>
  <mergeCells count="12">
    <mergeCell ref="J3:J4"/>
    <mergeCell ref="K3:K4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13" type="noConversion"/>
  <pageMargins left="0.74791666666666667" right="0.43263888888888891" top="0.55069444444444449" bottom="0.47222222222222221" header="0.49993747801292598" footer="0.49993747801292598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2022-04-20T01:30:42Z</dcterms:created>
  <dcterms:modified xsi:type="dcterms:W3CDTF">2025-03-30T13:24:12Z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