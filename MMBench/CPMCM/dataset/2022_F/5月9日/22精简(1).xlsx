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0416"/>
  <workbookPr showInkAnnotation="0"/>
  <mc:AlternateContent xmlns:mc="http://schemas.openxmlformats.org/markup-compatibility/2006">
    <mc:Choice Requires="x15">
      <x15ac:absPath xmlns:x15ac="http://schemas.microsoft.com/office/spreadsheetml/2010/11/ac" url="G:\PHD\ShareData\数学建模\xlsx\中国研究生数学建模\2022年研究生数学建模竞赛试题\F\附件3生活物资相关数据\5月9日\"/>
    </mc:Choice>
  </mc:AlternateContent>
  <xr:revisionPtr revIDLastSave="0" documentId="8_{CF133BA3-5F01-4801-B610-600593E7E0F3}" xr6:coauthVersionLast="36" xr6:coauthVersionMax="36" xr10:uidLastSave="{00000000-0000-0000-0000-000000000000}"/>
  <bookViews>
    <workbookView xWindow="32769" yWindow="32769" windowWidth="28800" windowHeight="12463" tabRatio="618"/>
  </bookViews>
  <sheets>
    <sheet name="工作表1" sheetId="1" r:id="rId1"/>
    <sheet name="工作表2" sheetId="2" r:id="rId2"/>
    <sheet name="工作表3" sheetId="3" r:id="rId3"/>
  </sheets>
  <calcPr calcId="191029"/>
</workbook>
</file>

<file path=xl/calcChain.xml><?xml version="1.0" encoding="utf-8"?>
<calcChain xmlns="http://schemas.openxmlformats.org/spreadsheetml/2006/main">
  <c r="B23" i="1" l="1"/>
  <c r="C23" i="1"/>
  <c r="D23" i="1"/>
  <c r="E23" i="1"/>
  <c r="F23" i="1"/>
  <c r="G23" i="1"/>
  <c r="H23" i="1"/>
  <c r="I23" i="1"/>
  <c r="B24" i="1"/>
  <c r="C24" i="1"/>
  <c r="D24" i="1"/>
  <c r="E24" i="1"/>
  <c r="F24" i="1"/>
  <c r="G24" i="1"/>
  <c r="H24" i="1"/>
  <c r="I24" i="1"/>
  <c r="B25" i="1"/>
  <c r="C25" i="1"/>
  <c r="D25" i="1"/>
  <c r="E25" i="1"/>
  <c r="F25" i="1"/>
  <c r="G25" i="1"/>
  <c r="H25" i="1"/>
  <c r="I25" i="1"/>
</calcChain>
</file>

<file path=xl/sharedStrings.xml><?xml version="1.0" encoding="utf-8"?>
<sst xmlns="http://schemas.openxmlformats.org/spreadsheetml/2006/main" count="41" uniqueCount="26">
  <si>
    <t>日期</t>
  </si>
  <si>
    <t>大白菜</t>
  </si>
  <si>
    <t>土豆</t>
  </si>
  <si>
    <t>白萝卜</t>
  </si>
  <si>
    <t>圆葱</t>
  </si>
  <si>
    <t>西红柿</t>
  </si>
  <si>
    <t>黄瓜</t>
  </si>
  <si>
    <t>青椒</t>
  </si>
  <si>
    <t>生菜</t>
  </si>
  <si>
    <t>水果（平均）</t>
  </si>
  <si>
    <t>7日</t>
  </si>
  <si>
    <t>10日</t>
  </si>
  <si>
    <t>15日</t>
  </si>
  <si>
    <t>20日</t>
  </si>
  <si>
    <t>25日</t>
  </si>
  <si>
    <t>30日</t>
  </si>
  <si>
    <t>1日</t>
  </si>
  <si>
    <t>2日</t>
  </si>
  <si>
    <t>3日</t>
  </si>
  <si>
    <t>4日</t>
  </si>
  <si>
    <t>5日</t>
  </si>
  <si>
    <t>6日</t>
  </si>
  <si>
    <t>8日</t>
  </si>
  <si>
    <t>9日</t>
  </si>
  <si>
    <t>较昨日</t>
  </si>
  <si>
    <t>较疫情初期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</si>
</sst>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76" formatCode="0.00_ "/>
  </numFmts>
  <fonts count="5">
    <font>
      <sz val="12"/>
      <name val="方正仿宋_GBK"/>
      <charset val="134"/>
    </font>
    <font>
      <b/>
      <sz val="12"/>
      <name val="宋体"/>
      <charset val="134"/>
    </font>
    <font>
      <sz val="12"/>
      <color indexed="8"/>
      <name val="宋体"/>
      <charset val="134"/>
    </font>
    <font>
      <sz val="12"/>
      <name val="宋体"/>
      <charset val="134"/>
    </font>
    <font>
      <sz val="9"/>
      <name val="方正仿宋_GBK"/>
      <charset val="134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 applyProtection="0">
      <alignment vertical="center"/>
    </xf>
  </cellStyleXfs>
  <cellXfs count="12">
    <xf numFmtId="0" fontId="0" fillId="0" borderId="0" xfId="0" applyProtection="1">
      <alignment vertical="center"/>
    </xf>
    <xf numFmtId="0" fontId="0" fillId="0" borderId="0" xfId="0" applyFont="1" applyProtection="1">
      <alignment vertical="center"/>
    </xf>
    <xf numFmtId="176" fontId="1" fillId="0" borderId="1" xfId="0" applyNumberFormat="1" applyFont="1" applyBorder="1" applyAlignment="1" applyProtection="1">
      <alignment horizontal="center" vertical="center" wrapText="1"/>
      <protection locked="0"/>
    </xf>
    <xf numFmtId="176" fontId="1" fillId="0" borderId="2" xfId="0" applyNumberFormat="1" applyFont="1" applyBorder="1" applyAlignment="1" applyProtection="1">
      <alignment horizontal="center" vertical="center" wrapText="1"/>
      <protection locked="0"/>
    </xf>
    <xf numFmtId="176" fontId="2" fillId="0" borderId="1" xfId="0" applyNumberFormat="1" applyFont="1" applyBorder="1" applyAlignment="1" applyProtection="1">
      <alignment horizontal="center" vertical="center"/>
      <protection locked="0"/>
    </xf>
    <xf numFmtId="176" fontId="2" fillId="0" borderId="1" xfId="0" applyNumberFormat="1" applyFont="1" applyBorder="1" applyAlignment="1" applyProtection="1">
      <alignment horizontal="center" vertical="center" wrapText="1"/>
      <protection locked="0"/>
    </xf>
    <xf numFmtId="176" fontId="1" fillId="0" borderId="0" xfId="0" applyNumberFormat="1" applyFont="1" applyAlignment="1" applyProtection="1">
      <alignment horizontal="center" vertical="center" wrapText="1"/>
      <protection locked="0"/>
    </xf>
    <xf numFmtId="176" fontId="2" fillId="0" borderId="0" xfId="0" applyNumberFormat="1" applyFont="1" applyAlignment="1" applyProtection="1">
      <alignment horizontal="center" vertical="center" wrapText="1"/>
      <protection locked="0"/>
    </xf>
    <xf numFmtId="176" fontId="0" fillId="0" borderId="0" xfId="0" applyNumberFormat="1" applyFont="1" applyProtection="1">
      <alignment vertical="center"/>
    </xf>
    <xf numFmtId="0" fontId="3" fillId="0" borderId="0" xfId="0" applyFont="1" applyProtection="1">
      <alignment vertical="center"/>
    </xf>
    <xf numFmtId="10" fontId="0" fillId="0" borderId="0" xfId="0" applyNumberFormat="1" applyFont="1" applyProtection="1">
      <alignment vertical="center"/>
    </xf>
    <xf numFmtId="176" fontId="2" fillId="0" borderId="2" xfId="0" applyNumberFormat="1" applyFont="1" applyBorder="1" applyAlignment="1" applyProtection="1">
      <alignment horizontal="center" vertical="center" wrapText="1"/>
      <protection locked="0"/>
    </xf>
  </cellXfs>
  <cellStyles count="1">
    <cellStyle name="常规" xfId="0" builtinId="0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9D480D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993300"/>
      <rgbColor rgb="0033CCCC"/>
      <rgbColor rgb="00254378"/>
      <rgbColor rgb="00FFCC00"/>
      <rgbColor rgb="00333399"/>
      <rgbColor rgb="00FF6600"/>
      <rgbColor rgb="00666699"/>
      <rgbColor rgb="00969696"/>
      <rgbColor rgb="0070AD47"/>
      <rgbColor rgb="00339966"/>
      <rgbColor rgb="005B9BD5"/>
      <rgbColor rgb="00FFC000"/>
      <rgbColor rgb="00A5A5A5"/>
      <rgbColor rgb="00ED7D31"/>
      <rgbColor rgb="004472C4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等线"/>
                <a:ea typeface="等线"/>
                <a:cs typeface="等线"/>
              </a:defRPr>
            </a:pPr>
            <a:r>
              <a:rPr lang="zh-CN" altLang="en-US" sz="1600" b="1" i="0" u="none" strike="noStrike" baseline="0">
                <a:solidFill>
                  <a:srgbClr val="000000"/>
                </a:solidFill>
                <a:latin typeface="宋体"/>
                <a:ea typeface="宋体"/>
              </a:rPr>
              <a:t>点调重点企业蔬菜价格变化图表</a:t>
            </a:r>
          </a:p>
          <a:p>
            <a:pPr>
              <a:defRPr sz="1000" b="0" i="0" u="none" strike="noStrike" baseline="0">
                <a:solidFill>
                  <a:srgbClr val="000000"/>
                </a:solidFill>
                <a:latin typeface="等线"/>
                <a:ea typeface="等线"/>
                <a:cs typeface="等线"/>
              </a:defRPr>
            </a:pPr>
            <a:r>
              <a:rPr lang="zh-CN" altLang="en-US" sz="1000" b="1" i="0" u="none" strike="noStrike" baseline="0">
                <a:solidFill>
                  <a:srgbClr val="000000"/>
                </a:solidFill>
                <a:latin typeface="楷体"/>
                <a:ea typeface="楷体"/>
              </a:rPr>
              <a:t>（数据来源：市商务局点调的51家欧亚连锁超市）</a:t>
            </a:r>
            <a:endParaRPr lang="zh-CN" altLang="en-US"/>
          </a:p>
        </c:rich>
      </c:tx>
      <c:layout>
        <c:manualLayout>
          <c:xMode val="edge"/>
          <c:yMode val="edge"/>
          <c:x val="0.35655217344863638"/>
          <c:y val="-3.3632002321305754E-3"/>
        </c:manualLayout>
      </c:layout>
      <c:overlay val="0"/>
    </c:title>
    <c:autoTitleDeleted val="0"/>
    <c:plotArea>
      <c:layout>
        <c:manualLayout>
          <c:layoutTarget val="inner"/>
          <c:xMode val="edge"/>
          <c:yMode val="edge"/>
          <c:x val="7.6999999999999999E-2"/>
          <c:y val="0.14100000000000001"/>
          <c:w val="0.91049999999999998"/>
          <c:h val="0.76975000000000005"/>
        </c:manualLayout>
      </c:layout>
      <c:lineChart>
        <c:grouping val="standard"/>
        <c:varyColors val="0"/>
        <c:ser>
          <c:idx val="0"/>
          <c:order val="0"/>
          <c:tx>
            <c:strRef>
              <c:f>工作表1!$B$1</c:f>
              <c:strCache>
                <c:ptCount val="1"/>
                <c:pt idx="0">
                  <c:v>大白菜</c:v>
                </c:pt>
              </c:strCache>
            </c:strRef>
          </c:tx>
          <c:spPr>
            <a:ln w="25400">
              <a:solidFill>
                <a:srgbClr val="666699"/>
              </a:solidFill>
              <a:prstDash val="solid"/>
            </a:ln>
          </c:spPr>
          <c:marker>
            <c:symbol val="circle"/>
            <c:size val="5"/>
            <c:spPr>
              <a:solidFill>
                <a:srgbClr val="4472C4"/>
              </a:solidFill>
              <a:ln>
                <a:solidFill>
                  <a:srgbClr val="4472C4"/>
                </a:solidFill>
                <a:prstDash val="solid"/>
              </a:ln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sz="900" b="0" i="0" u="none" strike="noStrike" baseline="0">
                    <a:solidFill>
                      <a:srgbClr val="333333"/>
                    </a:solidFill>
                    <a:latin typeface="等线"/>
                    <a:ea typeface="等线"/>
                    <a:cs typeface="等线"/>
                  </a:defRPr>
                </a:pPr>
                <a:endParaRPr lang="zh-CN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工作表1!$A$2:$A$22</c:f>
              <c:strCache>
                <c:ptCount val="21"/>
                <c:pt idx="0">
                  <c:v>7日</c:v>
                </c:pt>
                <c:pt idx="1">
                  <c:v>10日</c:v>
                </c:pt>
                <c:pt idx="2">
                  <c:v>15日</c:v>
                </c:pt>
                <c:pt idx="3">
                  <c:v>20日</c:v>
                </c:pt>
                <c:pt idx="4">
                  <c:v>25日</c:v>
                </c:pt>
                <c:pt idx="5">
                  <c:v>30日</c:v>
                </c:pt>
                <c:pt idx="6">
                  <c:v>1日</c:v>
                </c:pt>
                <c:pt idx="7">
                  <c:v>10日</c:v>
                </c:pt>
                <c:pt idx="8">
                  <c:v>15日</c:v>
                </c:pt>
                <c:pt idx="9">
                  <c:v>20日</c:v>
                </c:pt>
                <c:pt idx="10">
                  <c:v>25日</c:v>
                </c:pt>
                <c:pt idx="11">
                  <c:v>30日</c:v>
                </c:pt>
                <c:pt idx="12">
                  <c:v>1日</c:v>
                </c:pt>
                <c:pt idx="13">
                  <c:v>2日</c:v>
                </c:pt>
                <c:pt idx="14">
                  <c:v>3日</c:v>
                </c:pt>
                <c:pt idx="15">
                  <c:v>4日</c:v>
                </c:pt>
                <c:pt idx="16">
                  <c:v>5日</c:v>
                </c:pt>
                <c:pt idx="17">
                  <c:v>6日</c:v>
                </c:pt>
                <c:pt idx="18">
                  <c:v>7日</c:v>
                </c:pt>
                <c:pt idx="19">
                  <c:v>8日</c:v>
                </c:pt>
                <c:pt idx="20">
                  <c:v>9日</c:v>
                </c:pt>
              </c:strCache>
            </c:strRef>
          </c:cat>
          <c:val>
            <c:numRef>
              <c:f>工作表1!$B$2:$B$22</c:f>
              <c:numCache>
                <c:formatCode>0.00_ </c:formatCode>
                <c:ptCount val="21"/>
                <c:pt idx="0">
                  <c:v>3.2</c:v>
                </c:pt>
                <c:pt idx="1">
                  <c:v>3.2</c:v>
                </c:pt>
                <c:pt idx="2">
                  <c:v>3.68</c:v>
                </c:pt>
                <c:pt idx="3">
                  <c:v>3.32</c:v>
                </c:pt>
                <c:pt idx="4">
                  <c:v>3.32</c:v>
                </c:pt>
                <c:pt idx="5">
                  <c:v>4.5999999999999996</c:v>
                </c:pt>
                <c:pt idx="6">
                  <c:v>4.9000000000000004</c:v>
                </c:pt>
                <c:pt idx="7">
                  <c:v>4.9000000000000004</c:v>
                </c:pt>
                <c:pt idx="8">
                  <c:v>6.76</c:v>
                </c:pt>
                <c:pt idx="9">
                  <c:v>4.3600000000000003</c:v>
                </c:pt>
                <c:pt idx="10">
                  <c:v>4.3600000000000003</c:v>
                </c:pt>
                <c:pt idx="11">
                  <c:v>3.16</c:v>
                </c:pt>
                <c:pt idx="12">
                  <c:v>3.16</c:v>
                </c:pt>
                <c:pt idx="13">
                  <c:v>3.5</c:v>
                </c:pt>
                <c:pt idx="14">
                  <c:v>3.76</c:v>
                </c:pt>
                <c:pt idx="15">
                  <c:v>3.36</c:v>
                </c:pt>
                <c:pt idx="16">
                  <c:v>3.6</c:v>
                </c:pt>
                <c:pt idx="17">
                  <c:v>3.56</c:v>
                </c:pt>
                <c:pt idx="18">
                  <c:v>3.56</c:v>
                </c:pt>
                <c:pt idx="19">
                  <c:v>3.56</c:v>
                </c:pt>
                <c:pt idx="20">
                  <c:v>3.56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992F-462F-A207-59C8E44439A4}"/>
            </c:ext>
          </c:extLst>
        </c:ser>
        <c:ser>
          <c:idx val="1"/>
          <c:order val="1"/>
          <c:tx>
            <c:strRef>
              <c:f>工作表1!$C$1</c:f>
              <c:strCache>
                <c:ptCount val="1"/>
                <c:pt idx="0">
                  <c:v>土豆</c:v>
                </c:pt>
              </c:strCache>
            </c:strRef>
          </c:tx>
          <c:spPr>
            <a:ln w="25400">
              <a:solidFill>
                <a:srgbClr val="FF6600"/>
              </a:solidFill>
              <a:prstDash val="solid"/>
            </a:ln>
          </c:spPr>
          <c:marker>
            <c:symbol val="circle"/>
            <c:size val="5"/>
            <c:spPr>
              <a:solidFill>
                <a:srgbClr val="ED7D31"/>
              </a:solidFill>
              <a:ln>
                <a:solidFill>
                  <a:srgbClr val="ED7D31"/>
                </a:solidFill>
                <a:prstDash val="solid"/>
              </a:ln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sz="900" b="0" i="0" u="none" strike="noStrike" baseline="0">
                    <a:solidFill>
                      <a:srgbClr val="333333"/>
                    </a:solidFill>
                    <a:latin typeface="等线"/>
                    <a:ea typeface="等线"/>
                    <a:cs typeface="等线"/>
                  </a:defRPr>
                </a:pPr>
                <a:endParaRPr lang="zh-CN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工作表1!$A$2:$A$22</c:f>
              <c:strCache>
                <c:ptCount val="21"/>
                <c:pt idx="0">
                  <c:v>7日</c:v>
                </c:pt>
                <c:pt idx="1">
                  <c:v>10日</c:v>
                </c:pt>
                <c:pt idx="2">
                  <c:v>15日</c:v>
                </c:pt>
                <c:pt idx="3">
                  <c:v>20日</c:v>
                </c:pt>
                <c:pt idx="4">
                  <c:v>25日</c:v>
                </c:pt>
                <c:pt idx="5">
                  <c:v>30日</c:v>
                </c:pt>
                <c:pt idx="6">
                  <c:v>1日</c:v>
                </c:pt>
                <c:pt idx="7">
                  <c:v>10日</c:v>
                </c:pt>
                <c:pt idx="8">
                  <c:v>15日</c:v>
                </c:pt>
                <c:pt idx="9">
                  <c:v>20日</c:v>
                </c:pt>
                <c:pt idx="10">
                  <c:v>25日</c:v>
                </c:pt>
                <c:pt idx="11">
                  <c:v>30日</c:v>
                </c:pt>
                <c:pt idx="12">
                  <c:v>1日</c:v>
                </c:pt>
                <c:pt idx="13">
                  <c:v>2日</c:v>
                </c:pt>
                <c:pt idx="14">
                  <c:v>3日</c:v>
                </c:pt>
                <c:pt idx="15">
                  <c:v>4日</c:v>
                </c:pt>
                <c:pt idx="16">
                  <c:v>5日</c:v>
                </c:pt>
                <c:pt idx="17">
                  <c:v>6日</c:v>
                </c:pt>
                <c:pt idx="18">
                  <c:v>7日</c:v>
                </c:pt>
                <c:pt idx="19">
                  <c:v>8日</c:v>
                </c:pt>
                <c:pt idx="20">
                  <c:v>9日</c:v>
                </c:pt>
              </c:strCache>
            </c:strRef>
          </c:cat>
          <c:val>
            <c:numRef>
              <c:f>工作表1!$C$2:$C$22</c:f>
              <c:numCache>
                <c:formatCode>0.00_ </c:formatCode>
                <c:ptCount val="21"/>
                <c:pt idx="0">
                  <c:v>1.8</c:v>
                </c:pt>
                <c:pt idx="1">
                  <c:v>1.8</c:v>
                </c:pt>
                <c:pt idx="2">
                  <c:v>1.8</c:v>
                </c:pt>
                <c:pt idx="3">
                  <c:v>1.8</c:v>
                </c:pt>
                <c:pt idx="4">
                  <c:v>1.8</c:v>
                </c:pt>
                <c:pt idx="5">
                  <c:v>2.4</c:v>
                </c:pt>
                <c:pt idx="6">
                  <c:v>2.2000000000000002</c:v>
                </c:pt>
                <c:pt idx="7">
                  <c:v>2.4</c:v>
                </c:pt>
                <c:pt idx="8">
                  <c:v>2.4</c:v>
                </c:pt>
                <c:pt idx="9">
                  <c:v>2.7</c:v>
                </c:pt>
                <c:pt idx="10">
                  <c:v>2.7</c:v>
                </c:pt>
                <c:pt idx="11">
                  <c:v>2.7</c:v>
                </c:pt>
                <c:pt idx="12">
                  <c:v>2.56</c:v>
                </c:pt>
                <c:pt idx="13">
                  <c:v>2.56</c:v>
                </c:pt>
                <c:pt idx="14">
                  <c:v>2.56</c:v>
                </c:pt>
                <c:pt idx="15">
                  <c:v>2.56</c:v>
                </c:pt>
                <c:pt idx="16">
                  <c:v>2.56</c:v>
                </c:pt>
                <c:pt idx="17">
                  <c:v>2.56</c:v>
                </c:pt>
                <c:pt idx="18">
                  <c:v>2.56</c:v>
                </c:pt>
                <c:pt idx="19">
                  <c:v>2.56</c:v>
                </c:pt>
                <c:pt idx="20">
                  <c:v>2.96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992F-462F-A207-59C8E44439A4}"/>
            </c:ext>
          </c:extLst>
        </c:ser>
        <c:ser>
          <c:idx val="2"/>
          <c:order val="2"/>
          <c:tx>
            <c:strRef>
              <c:f>工作表1!$D$1</c:f>
              <c:strCache>
                <c:ptCount val="1"/>
                <c:pt idx="0">
                  <c:v>白萝卜</c:v>
                </c:pt>
              </c:strCache>
            </c:strRef>
          </c:tx>
          <c:spPr>
            <a:ln w="25400">
              <a:solidFill>
                <a:srgbClr val="969696"/>
              </a:solidFill>
              <a:prstDash val="solid"/>
            </a:ln>
          </c:spPr>
          <c:marker>
            <c:symbol val="circle"/>
            <c:size val="5"/>
            <c:spPr>
              <a:solidFill>
                <a:srgbClr val="A5A5A5"/>
              </a:solidFill>
              <a:ln>
                <a:solidFill>
                  <a:srgbClr val="A5A5A5"/>
                </a:solidFill>
                <a:prstDash val="solid"/>
              </a:ln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sz="900" b="0" i="0" u="none" strike="noStrike" baseline="0">
                    <a:solidFill>
                      <a:srgbClr val="333333"/>
                    </a:solidFill>
                    <a:latin typeface="等线"/>
                    <a:ea typeface="等线"/>
                    <a:cs typeface="等线"/>
                  </a:defRPr>
                </a:pPr>
                <a:endParaRPr lang="zh-CN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工作表1!$A$2:$A$22</c:f>
              <c:strCache>
                <c:ptCount val="21"/>
                <c:pt idx="0">
                  <c:v>7日</c:v>
                </c:pt>
                <c:pt idx="1">
                  <c:v>10日</c:v>
                </c:pt>
                <c:pt idx="2">
                  <c:v>15日</c:v>
                </c:pt>
                <c:pt idx="3">
                  <c:v>20日</c:v>
                </c:pt>
                <c:pt idx="4">
                  <c:v>25日</c:v>
                </c:pt>
                <c:pt idx="5">
                  <c:v>30日</c:v>
                </c:pt>
                <c:pt idx="6">
                  <c:v>1日</c:v>
                </c:pt>
                <c:pt idx="7">
                  <c:v>10日</c:v>
                </c:pt>
                <c:pt idx="8">
                  <c:v>15日</c:v>
                </c:pt>
                <c:pt idx="9">
                  <c:v>20日</c:v>
                </c:pt>
                <c:pt idx="10">
                  <c:v>25日</c:v>
                </c:pt>
                <c:pt idx="11">
                  <c:v>30日</c:v>
                </c:pt>
                <c:pt idx="12">
                  <c:v>1日</c:v>
                </c:pt>
                <c:pt idx="13">
                  <c:v>2日</c:v>
                </c:pt>
                <c:pt idx="14">
                  <c:v>3日</c:v>
                </c:pt>
                <c:pt idx="15">
                  <c:v>4日</c:v>
                </c:pt>
                <c:pt idx="16">
                  <c:v>5日</c:v>
                </c:pt>
                <c:pt idx="17">
                  <c:v>6日</c:v>
                </c:pt>
                <c:pt idx="18">
                  <c:v>7日</c:v>
                </c:pt>
                <c:pt idx="19">
                  <c:v>8日</c:v>
                </c:pt>
                <c:pt idx="20">
                  <c:v>9日</c:v>
                </c:pt>
              </c:strCache>
            </c:strRef>
          </c:cat>
          <c:val>
            <c:numRef>
              <c:f>工作表1!$D$2:$D$22</c:f>
              <c:numCache>
                <c:formatCode>0.00_ </c:formatCode>
                <c:ptCount val="21"/>
                <c:pt idx="0">
                  <c:v>2</c:v>
                </c:pt>
                <c:pt idx="1">
                  <c:v>2</c:v>
                </c:pt>
                <c:pt idx="2">
                  <c:v>2.12</c:v>
                </c:pt>
                <c:pt idx="3">
                  <c:v>2.12</c:v>
                </c:pt>
                <c:pt idx="4">
                  <c:v>1.92</c:v>
                </c:pt>
                <c:pt idx="5">
                  <c:v>3</c:v>
                </c:pt>
                <c:pt idx="6">
                  <c:v>2.2000000000000002</c:v>
                </c:pt>
                <c:pt idx="7">
                  <c:v>6.56</c:v>
                </c:pt>
                <c:pt idx="8">
                  <c:v>3.16</c:v>
                </c:pt>
                <c:pt idx="9">
                  <c:v>6.36</c:v>
                </c:pt>
                <c:pt idx="10">
                  <c:v>6.36</c:v>
                </c:pt>
                <c:pt idx="11">
                  <c:v>5.98</c:v>
                </c:pt>
                <c:pt idx="12">
                  <c:v>5.96</c:v>
                </c:pt>
                <c:pt idx="13">
                  <c:v>5.96</c:v>
                </c:pt>
                <c:pt idx="14">
                  <c:v>3.76</c:v>
                </c:pt>
                <c:pt idx="15">
                  <c:v>3.76</c:v>
                </c:pt>
                <c:pt idx="16">
                  <c:v>3.76</c:v>
                </c:pt>
                <c:pt idx="17">
                  <c:v>3.76</c:v>
                </c:pt>
                <c:pt idx="18">
                  <c:v>3.76</c:v>
                </c:pt>
                <c:pt idx="19">
                  <c:v>3.76</c:v>
                </c:pt>
                <c:pt idx="20">
                  <c:v>3.76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992F-462F-A207-59C8E44439A4}"/>
            </c:ext>
          </c:extLst>
        </c:ser>
        <c:ser>
          <c:idx val="3"/>
          <c:order val="3"/>
          <c:tx>
            <c:strRef>
              <c:f>工作表1!$E$1</c:f>
              <c:strCache>
                <c:ptCount val="1"/>
                <c:pt idx="0">
                  <c:v>圆葱</c:v>
                </c:pt>
              </c:strCache>
            </c:strRef>
          </c:tx>
          <c:spPr>
            <a:ln w="25400">
              <a:solidFill>
                <a:srgbClr val="FFCC00"/>
              </a:solidFill>
              <a:prstDash val="solid"/>
            </a:ln>
          </c:spPr>
          <c:marker>
            <c:symbol val="circle"/>
            <c:size val="5"/>
            <c:spPr>
              <a:solidFill>
                <a:srgbClr val="FFC000"/>
              </a:solidFill>
              <a:ln>
                <a:solidFill>
                  <a:srgbClr val="FFC000"/>
                </a:solidFill>
                <a:prstDash val="solid"/>
              </a:ln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sz="900" b="0" i="0" u="none" strike="noStrike" baseline="0">
                    <a:solidFill>
                      <a:srgbClr val="333333"/>
                    </a:solidFill>
                    <a:latin typeface="等线"/>
                    <a:ea typeface="等线"/>
                    <a:cs typeface="等线"/>
                  </a:defRPr>
                </a:pPr>
                <a:endParaRPr lang="zh-CN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工作表1!$A$2:$A$22</c:f>
              <c:strCache>
                <c:ptCount val="21"/>
                <c:pt idx="0">
                  <c:v>7日</c:v>
                </c:pt>
                <c:pt idx="1">
                  <c:v>10日</c:v>
                </c:pt>
                <c:pt idx="2">
                  <c:v>15日</c:v>
                </c:pt>
                <c:pt idx="3">
                  <c:v>20日</c:v>
                </c:pt>
                <c:pt idx="4">
                  <c:v>25日</c:v>
                </c:pt>
                <c:pt idx="5">
                  <c:v>30日</c:v>
                </c:pt>
                <c:pt idx="6">
                  <c:v>1日</c:v>
                </c:pt>
                <c:pt idx="7">
                  <c:v>10日</c:v>
                </c:pt>
                <c:pt idx="8">
                  <c:v>15日</c:v>
                </c:pt>
                <c:pt idx="9">
                  <c:v>20日</c:v>
                </c:pt>
                <c:pt idx="10">
                  <c:v>25日</c:v>
                </c:pt>
                <c:pt idx="11">
                  <c:v>30日</c:v>
                </c:pt>
                <c:pt idx="12">
                  <c:v>1日</c:v>
                </c:pt>
                <c:pt idx="13">
                  <c:v>2日</c:v>
                </c:pt>
                <c:pt idx="14">
                  <c:v>3日</c:v>
                </c:pt>
                <c:pt idx="15">
                  <c:v>4日</c:v>
                </c:pt>
                <c:pt idx="16">
                  <c:v>5日</c:v>
                </c:pt>
                <c:pt idx="17">
                  <c:v>6日</c:v>
                </c:pt>
                <c:pt idx="18">
                  <c:v>7日</c:v>
                </c:pt>
                <c:pt idx="19">
                  <c:v>8日</c:v>
                </c:pt>
                <c:pt idx="20">
                  <c:v>9日</c:v>
                </c:pt>
              </c:strCache>
            </c:strRef>
          </c:cat>
          <c:val>
            <c:numRef>
              <c:f>工作表1!$E$2:$E$22</c:f>
              <c:numCache>
                <c:formatCode>0.00_ </c:formatCode>
                <c:ptCount val="21"/>
                <c:pt idx="0">
                  <c:v>2</c:v>
                </c:pt>
                <c:pt idx="1">
                  <c:v>2</c:v>
                </c:pt>
                <c:pt idx="2">
                  <c:v>2.5</c:v>
                </c:pt>
                <c:pt idx="3">
                  <c:v>2.1</c:v>
                </c:pt>
                <c:pt idx="4">
                  <c:v>2.2000000000000002</c:v>
                </c:pt>
                <c:pt idx="5">
                  <c:v>3</c:v>
                </c:pt>
                <c:pt idx="6">
                  <c:v>3</c:v>
                </c:pt>
                <c:pt idx="7">
                  <c:v>5.8</c:v>
                </c:pt>
                <c:pt idx="8">
                  <c:v>5.76</c:v>
                </c:pt>
                <c:pt idx="9">
                  <c:v>5.76</c:v>
                </c:pt>
                <c:pt idx="10">
                  <c:v>5.76</c:v>
                </c:pt>
                <c:pt idx="11">
                  <c:v>3.96</c:v>
                </c:pt>
                <c:pt idx="12">
                  <c:v>3.96</c:v>
                </c:pt>
                <c:pt idx="13">
                  <c:v>3.96</c:v>
                </c:pt>
                <c:pt idx="14">
                  <c:v>3.96</c:v>
                </c:pt>
                <c:pt idx="15">
                  <c:v>3.96</c:v>
                </c:pt>
                <c:pt idx="16">
                  <c:v>3.96</c:v>
                </c:pt>
                <c:pt idx="17">
                  <c:v>3.96</c:v>
                </c:pt>
                <c:pt idx="18">
                  <c:v>3.96</c:v>
                </c:pt>
                <c:pt idx="19">
                  <c:v>3.96</c:v>
                </c:pt>
                <c:pt idx="20">
                  <c:v>3.96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992F-462F-A207-59C8E44439A4}"/>
            </c:ext>
          </c:extLst>
        </c:ser>
        <c:ser>
          <c:idx val="4"/>
          <c:order val="4"/>
          <c:tx>
            <c:strRef>
              <c:f>工作表1!$F$1</c:f>
              <c:strCache>
                <c:ptCount val="1"/>
                <c:pt idx="0">
                  <c:v>西红柿</c:v>
                </c:pt>
              </c:strCache>
            </c:strRef>
          </c:tx>
          <c:spPr>
            <a:ln w="25400">
              <a:solidFill>
                <a:srgbClr val="33CCCC"/>
              </a:solidFill>
              <a:prstDash val="solid"/>
            </a:ln>
          </c:spPr>
          <c:marker>
            <c:symbol val="circle"/>
            <c:size val="5"/>
            <c:spPr>
              <a:solidFill>
                <a:srgbClr val="5B9BD5"/>
              </a:solidFill>
              <a:ln>
                <a:solidFill>
                  <a:srgbClr val="5B9BD5"/>
                </a:solidFill>
                <a:prstDash val="solid"/>
              </a:ln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sz="900" b="0" i="0" u="none" strike="noStrike" baseline="0">
                    <a:solidFill>
                      <a:srgbClr val="333333"/>
                    </a:solidFill>
                    <a:latin typeface="等线"/>
                    <a:ea typeface="等线"/>
                    <a:cs typeface="等线"/>
                  </a:defRPr>
                </a:pPr>
                <a:endParaRPr lang="zh-CN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工作表1!$A$2:$A$22</c:f>
              <c:strCache>
                <c:ptCount val="21"/>
                <c:pt idx="0">
                  <c:v>7日</c:v>
                </c:pt>
                <c:pt idx="1">
                  <c:v>10日</c:v>
                </c:pt>
                <c:pt idx="2">
                  <c:v>15日</c:v>
                </c:pt>
                <c:pt idx="3">
                  <c:v>20日</c:v>
                </c:pt>
                <c:pt idx="4">
                  <c:v>25日</c:v>
                </c:pt>
                <c:pt idx="5">
                  <c:v>30日</c:v>
                </c:pt>
                <c:pt idx="6">
                  <c:v>1日</c:v>
                </c:pt>
                <c:pt idx="7">
                  <c:v>10日</c:v>
                </c:pt>
                <c:pt idx="8">
                  <c:v>15日</c:v>
                </c:pt>
                <c:pt idx="9">
                  <c:v>20日</c:v>
                </c:pt>
                <c:pt idx="10">
                  <c:v>25日</c:v>
                </c:pt>
                <c:pt idx="11">
                  <c:v>30日</c:v>
                </c:pt>
                <c:pt idx="12">
                  <c:v>1日</c:v>
                </c:pt>
                <c:pt idx="13">
                  <c:v>2日</c:v>
                </c:pt>
                <c:pt idx="14">
                  <c:v>3日</c:v>
                </c:pt>
                <c:pt idx="15">
                  <c:v>4日</c:v>
                </c:pt>
                <c:pt idx="16">
                  <c:v>5日</c:v>
                </c:pt>
                <c:pt idx="17">
                  <c:v>6日</c:v>
                </c:pt>
                <c:pt idx="18">
                  <c:v>7日</c:v>
                </c:pt>
                <c:pt idx="19">
                  <c:v>8日</c:v>
                </c:pt>
                <c:pt idx="20">
                  <c:v>9日</c:v>
                </c:pt>
              </c:strCache>
            </c:strRef>
          </c:cat>
          <c:val>
            <c:numRef>
              <c:f>工作表1!$F$2:$F$22</c:f>
              <c:numCache>
                <c:formatCode>0.00_ </c:formatCode>
                <c:ptCount val="21"/>
                <c:pt idx="0">
                  <c:v>11.6</c:v>
                </c:pt>
                <c:pt idx="1">
                  <c:v>11.6</c:v>
                </c:pt>
                <c:pt idx="2">
                  <c:v>9.8000000000000007</c:v>
                </c:pt>
                <c:pt idx="3">
                  <c:v>9.4</c:v>
                </c:pt>
                <c:pt idx="4">
                  <c:v>9.6999999999999993</c:v>
                </c:pt>
                <c:pt idx="5">
                  <c:v>12</c:v>
                </c:pt>
                <c:pt idx="6">
                  <c:v>13</c:v>
                </c:pt>
                <c:pt idx="7">
                  <c:v>10.7</c:v>
                </c:pt>
                <c:pt idx="8">
                  <c:v>11.36</c:v>
                </c:pt>
                <c:pt idx="9">
                  <c:v>12.96</c:v>
                </c:pt>
                <c:pt idx="10">
                  <c:v>10.56</c:v>
                </c:pt>
                <c:pt idx="11">
                  <c:v>9.76</c:v>
                </c:pt>
                <c:pt idx="12">
                  <c:v>10.36</c:v>
                </c:pt>
                <c:pt idx="13">
                  <c:v>10.76</c:v>
                </c:pt>
                <c:pt idx="14">
                  <c:v>11.36</c:v>
                </c:pt>
                <c:pt idx="15">
                  <c:v>11.36</c:v>
                </c:pt>
                <c:pt idx="16">
                  <c:v>9.9600000000000009</c:v>
                </c:pt>
                <c:pt idx="17">
                  <c:v>9.36</c:v>
                </c:pt>
                <c:pt idx="18">
                  <c:v>7.96</c:v>
                </c:pt>
                <c:pt idx="19">
                  <c:v>7.96</c:v>
                </c:pt>
                <c:pt idx="20">
                  <c:v>9.76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992F-462F-A207-59C8E44439A4}"/>
            </c:ext>
          </c:extLst>
        </c:ser>
        <c:ser>
          <c:idx val="5"/>
          <c:order val="5"/>
          <c:tx>
            <c:strRef>
              <c:f>工作表1!$G$1</c:f>
              <c:strCache>
                <c:ptCount val="1"/>
                <c:pt idx="0">
                  <c:v>黄瓜</c:v>
                </c:pt>
              </c:strCache>
            </c:strRef>
          </c:tx>
          <c:spPr>
            <a:ln w="25400">
              <a:solidFill>
                <a:srgbClr val="339966"/>
              </a:solidFill>
              <a:prstDash val="solid"/>
            </a:ln>
          </c:spPr>
          <c:marker>
            <c:symbol val="circle"/>
            <c:size val="5"/>
            <c:spPr>
              <a:solidFill>
                <a:srgbClr val="339966"/>
              </a:solidFill>
              <a:ln>
                <a:solidFill>
                  <a:srgbClr val="70AD47"/>
                </a:solidFill>
                <a:prstDash val="solid"/>
              </a:ln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sz="900" b="0" i="0" u="none" strike="noStrike" baseline="0">
                    <a:solidFill>
                      <a:srgbClr val="333333"/>
                    </a:solidFill>
                    <a:latin typeface="等线"/>
                    <a:ea typeface="等线"/>
                    <a:cs typeface="等线"/>
                  </a:defRPr>
                </a:pPr>
                <a:endParaRPr lang="zh-CN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工作表1!$A$2:$A$22</c:f>
              <c:strCache>
                <c:ptCount val="21"/>
                <c:pt idx="0">
                  <c:v>7日</c:v>
                </c:pt>
                <c:pt idx="1">
                  <c:v>10日</c:v>
                </c:pt>
                <c:pt idx="2">
                  <c:v>15日</c:v>
                </c:pt>
                <c:pt idx="3">
                  <c:v>20日</c:v>
                </c:pt>
                <c:pt idx="4">
                  <c:v>25日</c:v>
                </c:pt>
                <c:pt idx="5">
                  <c:v>30日</c:v>
                </c:pt>
                <c:pt idx="6">
                  <c:v>1日</c:v>
                </c:pt>
                <c:pt idx="7">
                  <c:v>10日</c:v>
                </c:pt>
                <c:pt idx="8">
                  <c:v>15日</c:v>
                </c:pt>
                <c:pt idx="9">
                  <c:v>20日</c:v>
                </c:pt>
                <c:pt idx="10">
                  <c:v>25日</c:v>
                </c:pt>
                <c:pt idx="11">
                  <c:v>30日</c:v>
                </c:pt>
                <c:pt idx="12">
                  <c:v>1日</c:v>
                </c:pt>
                <c:pt idx="13">
                  <c:v>2日</c:v>
                </c:pt>
                <c:pt idx="14">
                  <c:v>3日</c:v>
                </c:pt>
                <c:pt idx="15">
                  <c:v>4日</c:v>
                </c:pt>
                <c:pt idx="16">
                  <c:v>5日</c:v>
                </c:pt>
                <c:pt idx="17">
                  <c:v>6日</c:v>
                </c:pt>
                <c:pt idx="18">
                  <c:v>7日</c:v>
                </c:pt>
                <c:pt idx="19">
                  <c:v>8日</c:v>
                </c:pt>
                <c:pt idx="20">
                  <c:v>9日</c:v>
                </c:pt>
              </c:strCache>
            </c:strRef>
          </c:cat>
          <c:val>
            <c:numRef>
              <c:f>工作表1!$G$2:$G$22</c:f>
              <c:numCache>
                <c:formatCode>0.00_ </c:formatCode>
                <c:ptCount val="21"/>
                <c:pt idx="0">
                  <c:v>7.2</c:v>
                </c:pt>
                <c:pt idx="1">
                  <c:v>7.2</c:v>
                </c:pt>
                <c:pt idx="2">
                  <c:v>6.56</c:v>
                </c:pt>
                <c:pt idx="3">
                  <c:v>6.56</c:v>
                </c:pt>
                <c:pt idx="4">
                  <c:v>6.32</c:v>
                </c:pt>
                <c:pt idx="5">
                  <c:v>10.1</c:v>
                </c:pt>
                <c:pt idx="6">
                  <c:v>8.8000000000000007</c:v>
                </c:pt>
                <c:pt idx="7">
                  <c:v>7.96</c:v>
                </c:pt>
                <c:pt idx="8">
                  <c:v>6.76</c:v>
                </c:pt>
                <c:pt idx="9">
                  <c:v>7.16</c:v>
                </c:pt>
                <c:pt idx="10">
                  <c:v>6.96</c:v>
                </c:pt>
                <c:pt idx="11">
                  <c:v>5.36</c:v>
                </c:pt>
                <c:pt idx="12">
                  <c:v>5.56</c:v>
                </c:pt>
                <c:pt idx="13">
                  <c:v>5.56</c:v>
                </c:pt>
                <c:pt idx="14">
                  <c:v>5.56</c:v>
                </c:pt>
                <c:pt idx="15">
                  <c:v>8.56</c:v>
                </c:pt>
                <c:pt idx="16">
                  <c:v>7.96</c:v>
                </c:pt>
                <c:pt idx="17">
                  <c:v>7.56</c:v>
                </c:pt>
                <c:pt idx="18">
                  <c:v>5.98</c:v>
                </c:pt>
                <c:pt idx="19">
                  <c:v>5.98</c:v>
                </c:pt>
                <c:pt idx="20">
                  <c:v>6.76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992F-462F-A207-59C8E44439A4}"/>
            </c:ext>
          </c:extLst>
        </c:ser>
        <c:ser>
          <c:idx val="6"/>
          <c:order val="6"/>
          <c:tx>
            <c:strRef>
              <c:f>工作表1!$H$1</c:f>
              <c:strCache>
                <c:ptCount val="1"/>
                <c:pt idx="0">
                  <c:v>青椒</c:v>
                </c:pt>
              </c:strCache>
            </c:strRef>
          </c:tx>
          <c:spPr>
            <a:ln w="25400">
              <a:solidFill>
                <a:srgbClr val="333399"/>
              </a:solidFill>
              <a:prstDash val="solid"/>
            </a:ln>
          </c:spPr>
          <c:marker>
            <c:symbol val="circle"/>
            <c:size val="5"/>
            <c:spPr>
              <a:solidFill>
                <a:srgbClr val="254378"/>
              </a:solidFill>
              <a:ln>
                <a:solidFill>
                  <a:srgbClr val="254378"/>
                </a:solidFill>
                <a:prstDash val="solid"/>
              </a:ln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sz="900" b="0" i="0" u="none" strike="noStrike" baseline="0">
                    <a:solidFill>
                      <a:srgbClr val="333333"/>
                    </a:solidFill>
                    <a:latin typeface="等线"/>
                    <a:ea typeface="等线"/>
                    <a:cs typeface="等线"/>
                  </a:defRPr>
                </a:pPr>
                <a:endParaRPr lang="zh-CN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工作表1!$A$2:$A$22</c:f>
              <c:strCache>
                <c:ptCount val="21"/>
                <c:pt idx="0">
                  <c:v>7日</c:v>
                </c:pt>
                <c:pt idx="1">
                  <c:v>10日</c:v>
                </c:pt>
                <c:pt idx="2">
                  <c:v>15日</c:v>
                </c:pt>
                <c:pt idx="3">
                  <c:v>20日</c:v>
                </c:pt>
                <c:pt idx="4">
                  <c:v>25日</c:v>
                </c:pt>
                <c:pt idx="5">
                  <c:v>30日</c:v>
                </c:pt>
                <c:pt idx="6">
                  <c:v>1日</c:v>
                </c:pt>
                <c:pt idx="7">
                  <c:v>10日</c:v>
                </c:pt>
                <c:pt idx="8">
                  <c:v>15日</c:v>
                </c:pt>
                <c:pt idx="9">
                  <c:v>20日</c:v>
                </c:pt>
                <c:pt idx="10">
                  <c:v>25日</c:v>
                </c:pt>
                <c:pt idx="11">
                  <c:v>30日</c:v>
                </c:pt>
                <c:pt idx="12">
                  <c:v>1日</c:v>
                </c:pt>
                <c:pt idx="13">
                  <c:v>2日</c:v>
                </c:pt>
                <c:pt idx="14">
                  <c:v>3日</c:v>
                </c:pt>
                <c:pt idx="15">
                  <c:v>4日</c:v>
                </c:pt>
                <c:pt idx="16">
                  <c:v>5日</c:v>
                </c:pt>
                <c:pt idx="17">
                  <c:v>6日</c:v>
                </c:pt>
                <c:pt idx="18">
                  <c:v>7日</c:v>
                </c:pt>
                <c:pt idx="19">
                  <c:v>8日</c:v>
                </c:pt>
                <c:pt idx="20">
                  <c:v>9日</c:v>
                </c:pt>
              </c:strCache>
            </c:strRef>
          </c:cat>
          <c:val>
            <c:numRef>
              <c:f>工作表1!$H$2:$H$22</c:f>
              <c:numCache>
                <c:formatCode>0.00_ </c:formatCode>
                <c:ptCount val="21"/>
                <c:pt idx="0">
                  <c:v>6.6</c:v>
                </c:pt>
                <c:pt idx="1">
                  <c:v>6.6</c:v>
                </c:pt>
                <c:pt idx="2">
                  <c:v>7.6</c:v>
                </c:pt>
                <c:pt idx="3">
                  <c:v>10.4</c:v>
                </c:pt>
                <c:pt idx="4">
                  <c:v>9.68</c:v>
                </c:pt>
                <c:pt idx="5">
                  <c:v>11</c:v>
                </c:pt>
                <c:pt idx="6">
                  <c:v>7.2</c:v>
                </c:pt>
                <c:pt idx="7">
                  <c:v>13</c:v>
                </c:pt>
                <c:pt idx="8">
                  <c:v>13.36</c:v>
                </c:pt>
                <c:pt idx="9">
                  <c:v>10.56</c:v>
                </c:pt>
                <c:pt idx="10">
                  <c:v>9.56</c:v>
                </c:pt>
                <c:pt idx="11">
                  <c:v>7.56</c:v>
                </c:pt>
                <c:pt idx="12">
                  <c:v>8.16</c:v>
                </c:pt>
                <c:pt idx="13">
                  <c:v>8.56</c:v>
                </c:pt>
                <c:pt idx="14">
                  <c:v>8.76</c:v>
                </c:pt>
                <c:pt idx="15">
                  <c:v>8.76</c:v>
                </c:pt>
                <c:pt idx="16">
                  <c:v>8.76</c:v>
                </c:pt>
                <c:pt idx="17">
                  <c:v>6.36</c:v>
                </c:pt>
                <c:pt idx="18">
                  <c:v>6.36</c:v>
                </c:pt>
                <c:pt idx="19">
                  <c:v>6.36</c:v>
                </c:pt>
                <c:pt idx="20">
                  <c:v>5.76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992F-462F-A207-59C8E44439A4}"/>
            </c:ext>
          </c:extLst>
        </c:ser>
        <c:ser>
          <c:idx val="7"/>
          <c:order val="7"/>
          <c:tx>
            <c:strRef>
              <c:f>工作表1!$I$1</c:f>
              <c:strCache>
                <c:ptCount val="1"/>
                <c:pt idx="0">
                  <c:v>生菜</c:v>
                </c:pt>
              </c:strCache>
            </c:strRef>
          </c:tx>
          <c:spPr>
            <a:ln w="25400">
              <a:solidFill>
                <a:srgbClr val="993300"/>
              </a:solidFill>
              <a:prstDash val="solid"/>
            </a:ln>
          </c:spPr>
          <c:marker>
            <c:symbol val="circle"/>
            <c:size val="5"/>
            <c:spPr>
              <a:solidFill>
                <a:srgbClr val="9D480D"/>
              </a:solidFill>
              <a:ln>
                <a:solidFill>
                  <a:srgbClr val="9D480D"/>
                </a:solidFill>
                <a:prstDash val="solid"/>
              </a:ln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sz="900" b="0" i="0" u="none" strike="noStrike" baseline="0">
                    <a:solidFill>
                      <a:srgbClr val="333333"/>
                    </a:solidFill>
                    <a:latin typeface="等线"/>
                    <a:ea typeface="等线"/>
                    <a:cs typeface="等线"/>
                  </a:defRPr>
                </a:pPr>
                <a:endParaRPr lang="zh-CN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工作表1!$A$2:$A$22</c:f>
              <c:strCache>
                <c:ptCount val="21"/>
                <c:pt idx="0">
                  <c:v>7日</c:v>
                </c:pt>
                <c:pt idx="1">
                  <c:v>10日</c:v>
                </c:pt>
                <c:pt idx="2">
                  <c:v>15日</c:v>
                </c:pt>
                <c:pt idx="3">
                  <c:v>20日</c:v>
                </c:pt>
                <c:pt idx="4">
                  <c:v>25日</c:v>
                </c:pt>
                <c:pt idx="5">
                  <c:v>30日</c:v>
                </c:pt>
                <c:pt idx="6">
                  <c:v>1日</c:v>
                </c:pt>
                <c:pt idx="7">
                  <c:v>10日</c:v>
                </c:pt>
                <c:pt idx="8">
                  <c:v>15日</c:v>
                </c:pt>
                <c:pt idx="9">
                  <c:v>20日</c:v>
                </c:pt>
                <c:pt idx="10">
                  <c:v>25日</c:v>
                </c:pt>
                <c:pt idx="11">
                  <c:v>30日</c:v>
                </c:pt>
                <c:pt idx="12">
                  <c:v>1日</c:v>
                </c:pt>
                <c:pt idx="13">
                  <c:v>2日</c:v>
                </c:pt>
                <c:pt idx="14">
                  <c:v>3日</c:v>
                </c:pt>
                <c:pt idx="15">
                  <c:v>4日</c:v>
                </c:pt>
                <c:pt idx="16">
                  <c:v>5日</c:v>
                </c:pt>
                <c:pt idx="17">
                  <c:v>6日</c:v>
                </c:pt>
                <c:pt idx="18">
                  <c:v>7日</c:v>
                </c:pt>
                <c:pt idx="19">
                  <c:v>8日</c:v>
                </c:pt>
                <c:pt idx="20">
                  <c:v>9日</c:v>
                </c:pt>
              </c:strCache>
            </c:strRef>
          </c:cat>
          <c:val>
            <c:numRef>
              <c:f>工作表1!$I$2:$I$22</c:f>
              <c:numCache>
                <c:formatCode>0.00_ </c:formatCode>
                <c:ptCount val="21"/>
                <c:pt idx="0">
                  <c:v>5.4</c:v>
                </c:pt>
                <c:pt idx="1">
                  <c:v>5.4</c:v>
                </c:pt>
                <c:pt idx="2">
                  <c:v>4.9400000000000004</c:v>
                </c:pt>
                <c:pt idx="3">
                  <c:v>4.3600000000000003</c:v>
                </c:pt>
                <c:pt idx="4">
                  <c:v>5.08</c:v>
                </c:pt>
                <c:pt idx="5">
                  <c:v>5.08</c:v>
                </c:pt>
                <c:pt idx="6">
                  <c:v>4</c:v>
                </c:pt>
                <c:pt idx="7">
                  <c:v>10.52</c:v>
                </c:pt>
                <c:pt idx="8">
                  <c:v>4.96</c:v>
                </c:pt>
                <c:pt idx="9">
                  <c:v>4.96</c:v>
                </c:pt>
                <c:pt idx="10">
                  <c:v>4.5599999999999996</c:v>
                </c:pt>
                <c:pt idx="11">
                  <c:v>3.96</c:v>
                </c:pt>
                <c:pt idx="12">
                  <c:v>4.34</c:v>
                </c:pt>
                <c:pt idx="13">
                  <c:v>4.3600000000000003</c:v>
                </c:pt>
                <c:pt idx="14">
                  <c:v>4.16</c:v>
                </c:pt>
                <c:pt idx="15">
                  <c:v>3.76</c:v>
                </c:pt>
                <c:pt idx="16">
                  <c:v>3.76</c:v>
                </c:pt>
                <c:pt idx="17">
                  <c:v>3.96</c:v>
                </c:pt>
                <c:pt idx="18">
                  <c:v>3.96</c:v>
                </c:pt>
                <c:pt idx="19">
                  <c:v>3.56</c:v>
                </c:pt>
                <c:pt idx="20">
                  <c:v>4.3600000000000003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7-992F-462F-A207-59C8E44439A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610480352"/>
        <c:axId val="1"/>
      </c:lineChart>
      <c:catAx>
        <c:axId val="61048035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3175" cap="flat" cmpd="sng" algn="ctr">
            <a:solidFill>
              <a:srgbClr val="C0C0C0">
                <a:alpha val="100000"/>
              </a:srgbClr>
            </a:solidFill>
            <a:prstDash val="solid"/>
            <a:round/>
          </a:ln>
        </c:spPr>
        <c:txPr>
          <a:bodyPr rot="0" vert="horz"/>
          <a:lstStyle/>
          <a:p>
            <a:pPr>
              <a:defRPr sz="900" b="0" i="0" u="none" strike="noStrike" baseline="0">
                <a:solidFill>
                  <a:srgbClr val="333333"/>
                </a:solidFill>
                <a:latin typeface="等线"/>
                <a:ea typeface="等线"/>
                <a:cs typeface="等线"/>
              </a:defRPr>
            </a:pPr>
            <a:endParaRPr lang="zh-CN"/>
          </a:p>
        </c:txPr>
        <c:crossAx val="1"/>
        <c:crosses val="autoZero"/>
        <c:auto val="1"/>
        <c:lblAlgn val="ctr"/>
        <c:lblOffset val="100"/>
        <c:tickMarkSkip val="1"/>
        <c:noMultiLvlLbl val="0"/>
      </c:catAx>
      <c:valAx>
        <c:axId val="1"/>
        <c:scaling>
          <c:orientation val="minMax"/>
        </c:scaling>
        <c:delete val="0"/>
        <c:axPos val="l"/>
        <c:majorGridlines>
          <c:spPr>
            <a:ln w="3175">
              <a:solidFill>
                <a:srgbClr val="C0C0C0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 sz="1000" b="0" i="0" u="none" strike="noStrike" baseline="0">
                    <a:solidFill>
                      <a:srgbClr val="000000"/>
                    </a:solidFill>
                    <a:latin typeface="宋体"/>
                    <a:ea typeface="宋体"/>
                    <a:cs typeface="宋体"/>
                  </a:defRPr>
                </a:pPr>
                <a:r>
                  <a:rPr lang="zh-CN" altLang="en-US"/>
                  <a:t>价格（单位：元</a:t>
                </a:r>
                <a:r>
                  <a:rPr lang="en-US" altLang="zh-CN"/>
                  <a:t>/</a:t>
                </a:r>
                <a:r>
                  <a:rPr lang="zh-CN" altLang="en-US"/>
                  <a:t>公斤）</a:t>
                </a:r>
              </a:p>
            </c:rich>
          </c:tx>
          <c:layout>
            <c:manualLayout>
              <c:xMode val="edge"/>
              <c:yMode val="edge"/>
              <c:x val="0"/>
              <c:y val="0.53120294507101096"/>
            </c:manualLayout>
          </c:layout>
          <c:overlay val="0"/>
        </c:title>
        <c:numFmt formatCode="0.00_ " sourceLinked="1"/>
        <c:majorTickMark val="none"/>
        <c:minorTickMark val="none"/>
        <c:tickLblPos val="nextTo"/>
        <c:spPr>
          <a:ln w="12700" cap="flat" cmpd="sng" algn="ctr">
            <a:noFill/>
            <a:prstDash val="solid"/>
            <a:round/>
          </a:ln>
        </c:spPr>
        <c:txPr>
          <a:bodyPr rot="0" vert="horz"/>
          <a:lstStyle/>
          <a:p>
            <a:pPr>
              <a:defRPr sz="900" b="0" i="0" u="none" strike="noStrike" baseline="0">
                <a:solidFill>
                  <a:srgbClr val="333333"/>
                </a:solidFill>
                <a:latin typeface="等线"/>
                <a:ea typeface="等线"/>
                <a:cs typeface="等线"/>
              </a:defRPr>
            </a:pPr>
            <a:endParaRPr lang="zh-CN"/>
          </a:p>
        </c:txPr>
        <c:crossAx val="610480352"/>
        <c:crosses val="autoZero"/>
        <c:crossBetween val="between"/>
      </c:valAx>
      <c:spPr>
        <a:noFill/>
        <a:ln w="25400">
          <a:noFill/>
        </a:ln>
      </c:spPr>
    </c:plotArea>
    <c:legend>
      <c:legendPos val="r"/>
      <c:layout>
        <c:manualLayout>
          <c:xMode val="edge"/>
          <c:yMode val="edge"/>
          <c:x val="0.27283893218858313"/>
          <c:y val="0.96472551143382157"/>
          <c:w val="0.55588805310771616"/>
          <c:h val="2.3831279788392667E-2"/>
        </c:manualLayout>
      </c:layout>
      <c:overlay val="0"/>
      <c:spPr>
        <a:noFill/>
        <a:ln w="12700">
          <a:noFill/>
        </a:ln>
      </c:spPr>
      <c:txPr>
        <a:bodyPr/>
        <a:lstStyle/>
        <a:p>
          <a:pPr>
            <a:defRPr sz="825" b="0" i="0" u="none" strike="noStrike" baseline="0">
              <a:solidFill>
                <a:srgbClr val="333333"/>
              </a:solidFill>
              <a:latin typeface="等线"/>
              <a:ea typeface="等线"/>
              <a:cs typeface="等线"/>
            </a:defRPr>
          </a:pPr>
          <a:endParaRPr lang="zh-CN"/>
        </a:p>
      </c:txPr>
    </c:legend>
    <c:plotVisOnly val="1"/>
    <c:dispBlanksAs val="gap"/>
    <c:showDLblsOverMax val="0"/>
  </c:chart>
  <c:spPr>
    <a:solidFill>
      <a:srgbClr val="FFFFFF"/>
    </a:solidFill>
    <a:ln w="3175">
      <a:solidFill>
        <a:srgbClr val="C0C0C0"/>
      </a:solidFill>
      <a:prstDash val="solid"/>
    </a:ln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等线"/>
          <a:ea typeface="等线"/>
          <a:cs typeface="等线"/>
        </a:defRPr>
      </a:pPr>
      <a:endParaRPr lang="zh-CN"/>
    </a:p>
  </c:txPr>
  <c:printSettings>
    <c:headerFooter alignWithMargins="0"/>
    <c:pageMargins b="1" l="0.75" r="0.75" t="1" header="0.5" footer="0.5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234043</xdr:colOff>
      <xdr:row>10</xdr:row>
      <xdr:rowOff>250371</xdr:rowOff>
    </xdr:from>
    <xdr:to>
      <xdr:col>23</xdr:col>
      <xdr:colOff>228600</xdr:colOff>
      <xdr:row>30</xdr:row>
      <xdr:rowOff>152400</xdr:rowOff>
    </xdr:to>
    <xdr:graphicFrame macro="">
      <xdr:nvGraphicFramePr>
        <xdr:cNvPr id="1027" name="图表 1">
          <a:extLst>
            <a:ext uri="{FF2B5EF4-FFF2-40B4-BE49-F238E27FC236}">
              <a16:creationId xmlns:a16="http://schemas.microsoft.com/office/drawing/2014/main" id="{EEB5EB52-4067-4D14-BE67-70B6F3444BB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J26"/>
  <sheetViews>
    <sheetView tabSelected="1" topLeftCell="A11" zoomScale="85" workbookViewId="0">
      <selection activeCell="A23" sqref="A23:IV23"/>
    </sheetView>
  </sheetViews>
  <sheetFormatPr defaultColWidth="9" defaultRowHeight="15"/>
  <cols>
    <col min="1" max="1" width="8.640625" style="1" bestFit="1" customWidth="1"/>
    <col min="2" max="2" width="8.5" style="1" bestFit="1" customWidth="1"/>
    <col min="3" max="3" width="8.2109375" style="1" bestFit="1" customWidth="1"/>
    <col min="4" max="5" width="8.35546875" style="1" bestFit="1" customWidth="1"/>
    <col min="6" max="6" width="9" style="1" bestFit="1"/>
    <col min="7" max="16384" width="9" style="1"/>
  </cols>
  <sheetData>
    <row r="1" spans="1:10" ht="23.05" customHeight="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</row>
    <row r="2" spans="1:10" ht="27" customHeight="1">
      <c r="A2" s="3" t="s">
        <v>10</v>
      </c>
      <c r="B2" s="4">
        <v>3.2</v>
      </c>
      <c r="C2" s="4">
        <v>1.8</v>
      </c>
      <c r="D2" s="4">
        <v>2</v>
      </c>
      <c r="E2" s="4">
        <v>2</v>
      </c>
      <c r="F2" s="4">
        <v>11.6</v>
      </c>
      <c r="G2" s="5">
        <v>7.2</v>
      </c>
      <c r="H2" s="5">
        <v>6.6</v>
      </c>
      <c r="I2" s="5">
        <v>5.4</v>
      </c>
      <c r="J2" s="5">
        <v>3.6</v>
      </c>
    </row>
    <row r="3" spans="1:10" ht="27" customHeight="1">
      <c r="A3" s="3" t="s">
        <v>11</v>
      </c>
      <c r="B3" s="4">
        <v>3.2</v>
      </c>
      <c r="C3" s="4">
        <v>1.8</v>
      </c>
      <c r="D3" s="4">
        <v>2</v>
      </c>
      <c r="E3" s="4">
        <v>2</v>
      </c>
      <c r="F3" s="4">
        <v>11.6</v>
      </c>
      <c r="G3" s="5">
        <v>7.2</v>
      </c>
      <c r="H3" s="5">
        <v>6.6</v>
      </c>
      <c r="I3" s="5">
        <v>5.4</v>
      </c>
      <c r="J3" s="5">
        <v>3.6</v>
      </c>
    </row>
    <row r="4" spans="1:10" ht="28.5" customHeight="1">
      <c r="A4" s="3" t="s">
        <v>12</v>
      </c>
      <c r="B4" s="5">
        <v>3.68</v>
      </c>
      <c r="C4" s="5">
        <v>1.8</v>
      </c>
      <c r="D4" s="5">
        <v>2.12</v>
      </c>
      <c r="E4" s="5">
        <v>2.5</v>
      </c>
      <c r="F4" s="5">
        <v>9.8000000000000007</v>
      </c>
      <c r="G4" s="5">
        <v>6.56</v>
      </c>
      <c r="H4" s="5">
        <v>7.6</v>
      </c>
      <c r="I4" s="5">
        <v>4.9400000000000004</v>
      </c>
      <c r="J4" s="5">
        <v>3.5</v>
      </c>
    </row>
    <row r="5" spans="1:10" ht="31.95" customHeight="1">
      <c r="A5" s="2" t="s">
        <v>13</v>
      </c>
      <c r="B5" s="5">
        <v>3.32</v>
      </c>
      <c r="C5" s="5">
        <v>1.8</v>
      </c>
      <c r="D5" s="5">
        <v>2.12</v>
      </c>
      <c r="E5" s="5">
        <v>2.1</v>
      </c>
      <c r="F5" s="5">
        <v>9.4</v>
      </c>
      <c r="G5" s="5">
        <v>6.56</v>
      </c>
      <c r="H5" s="5">
        <v>10.4</v>
      </c>
      <c r="I5" s="5">
        <v>4.3600000000000003</v>
      </c>
      <c r="J5" s="5">
        <v>7.2</v>
      </c>
    </row>
    <row r="6" spans="1:10" ht="35.700000000000003" customHeight="1">
      <c r="A6" s="2" t="s">
        <v>14</v>
      </c>
      <c r="B6" s="5">
        <v>3.32</v>
      </c>
      <c r="C6" s="5">
        <v>1.8</v>
      </c>
      <c r="D6" s="5">
        <v>1.92</v>
      </c>
      <c r="E6" s="5">
        <v>2.2000000000000002</v>
      </c>
      <c r="F6" s="5">
        <v>9.6999999999999993</v>
      </c>
      <c r="G6" s="5">
        <v>6.32</v>
      </c>
      <c r="H6" s="5">
        <v>9.68</v>
      </c>
      <c r="I6" s="5">
        <v>5.08</v>
      </c>
      <c r="J6" s="5">
        <v>7.2</v>
      </c>
    </row>
    <row r="7" spans="1:10" ht="35.700000000000003" customHeight="1">
      <c r="A7" s="2" t="s">
        <v>15</v>
      </c>
      <c r="B7" s="5">
        <v>4.5999999999999996</v>
      </c>
      <c r="C7" s="5">
        <v>2.4</v>
      </c>
      <c r="D7" s="5">
        <v>3</v>
      </c>
      <c r="E7" s="5">
        <v>3</v>
      </c>
      <c r="F7" s="5">
        <v>12</v>
      </c>
      <c r="G7" s="5">
        <v>10.1</v>
      </c>
      <c r="H7" s="5">
        <v>11</v>
      </c>
      <c r="I7" s="11">
        <v>5.08</v>
      </c>
      <c r="J7" s="5">
        <v>7.2</v>
      </c>
    </row>
    <row r="8" spans="1:10" ht="35.700000000000003" customHeight="1">
      <c r="A8" s="6" t="s">
        <v>16</v>
      </c>
      <c r="B8" s="7">
        <v>4.9000000000000004</v>
      </c>
      <c r="C8" s="7">
        <v>2.2000000000000002</v>
      </c>
      <c r="D8" s="7">
        <v>2.2000000000000002</v>
      </c>
      <c r="E8" s="7">
        <v>3</v>
      </c>
      <c r="F8" s="7">
        <v>13</v>
      </c>
      <c r="G8" s="7">
        <v>8.8000000000000007</v>
      </c>
      <c r="H8" s="7">
        <v>7.2</v>
      </c>
      <c r="I8" s="7">
        <v>4</v>
      </c>
      <c r="J8" s="7"/>
    </row>
    <row r="9" spans="1:10" ht="28.1" customHeight="1">
      <c r="A9" s="6" t="s">
        <v>11</v>
      </c>
      <c r="B9" s="8">
        <v>4.9000000000000004</v>
      </c>
      <c r="C9" s="8">
        <v>2.4</v>
      </c>
      <c r="D9" s="8">
        <v>6.56</v>
      </c>
      <c r="E9" s="8">
        <v>5.8</v>
      </c>
      <c r="F9" s="8">
        <v>10.7</v>
      </c>
      <c r="G9" s="8">
        <v>7.96</v>
      </c>
      <c r="H9" s="8">
        <v>13</v>
      </c>
      <c r="I9" s="8">
        <v>10.52</v>
      </c>
      <c r="J9" s="8"/>
    </row>
    <row r="10" spans="1:10" ht="28.1" customHeight="1">
      <c r="A10" s="6" t="s">
        <v>12</v>
      </c>
      <c r="B10" s="8">
        <v>6.76</v>
      </c>
      <c r="C10" s="8">
        <v>2.4</v>
      </c>
      <c r="D10" s="8">
        <v>3.16</v>
      </c>
      <c r="E10" s="8">
        <v>5.76</v>
      </c>
      <c r="F10" s="8">
        <v>11.36</v>
      </c>
      <c r="G10" s="8">
        <v>6.76</v>
      </c>
      <c r="H10" s="8">
        <v>13.36</v>
      </c>
      <c r="I10" s="8">
        <v>4.96</v>
      </c>
      <c r="J10" s="8"/>
    </row>
    <row r="11" spans="1:10" ht="28.1" customHeight="1">
      <c r="A11" s="6" t="s">
        <v>13</v>
      </c>
      <c r="B11" s="8">
        <v>4.3600000000000003</v>
      </c>
      <c r="C11" s="8">
        <v>2.7</v>
      </c>
      <c r="D11" s="8">
        <v>6.36</v>
      </c>
      <c r="E11" s="8">
        <v>5.76</v>
      </c>
      <c r="F11" s="8">
        <v>12.96</v>
      </c>
      <c r="G11" s="8">
        <v>7.16</v>
      </c>
      <c r="H11" s="8">
        <v>10.56</v>
      </c>
      <c r="I11" s="8">
        <v>4.96</v>
      </c>
      <c r="J11" s="8"/>
    </row>
    <row r="12" spans="1:10" ht="28.1" customHeight="1">
      <c r="A12" s="6" t="s">
        <v>14</v>
      </c>
      <c r="B12" s="8">
        <v>4.3600000000000003</v>
      </c>
      <c r="C12" s="8">
        <v>2.7</v>
      </c>
      <c r="D12" s="8">
        <v>6.36</v>
      </c>
      <c r="E12" s="8">
        <v>5.76</v>
      </c>
      <c r="F12" s="8">
        <v>10.56</v>
      </c>
      <c r="G12" s="8">
        <v>6.96</v>
      </c>
      <c r="H12" s="8">
        <v>9.56</v>
      </c>
      <c r="I12" s="8">
        <v>4.5599999999999996</v>
      </c>
      <c r="J12" s="8"/>
    </row>
    <row r="13" spans="1:10" ht="28.1" customHeight="1">
      <c r="A13" s="6" t="s">
        <v>15</v>
      </c>
      <c r="B13" s="8">
        <v>3.16</v>
      </c>
      <c r="C13" s="8">
        <v>2.7</v>
      </c>
      <c r="D13" s="8">
        <v>5.98</v>
      </c>
      <c r="E13" s="8">
        <v>3.96</v>
      </c>
      <c r="F13" s="8">
        <v>9.76</v>
      </c>
      <c r="G13" s="8">
        <v>5.36</v>
      </c>
      <c r="H13" s="8">
        <v>7.56</v>
      </c>
      <c r="I13" s="8">
        <v>3.96</v>
      </c>
      <c r="J13" s="8"/>
    </row>
    <row r="14" spans="1:10" ht="28.1" customHeight="1">
      <c r="A14" s="6" t="s">
        <v>16</v>
      </c>
      <c r="B14" s="8">
        <v>3.16</v>
      </c>
      <c r="C14" s="8">
        <v>2.56</v>
      </c>
      <c r="D14" s="8">
        <v>5.96</v>
      </c>
      <c r="E14" s="8">
        <v>3.96</v>
      </c>
      <c r="F14" s="8">
        <v>10.36</v>
      </c>
      <c r="G14" s="8">
        <v>5.56</v>
      </c>
      <c r="H14" s="8">
        <v>8.16</v>
      </c>
      <c r="I14" s="8">
        <v>4.34</v>
      </c>
      <c r="J14" s="8"/>
    </row>
    <row r="15" spans="1:10" ht="28.1" customHeight="1">
      <c r="A15" s="6" t="s">
        <v>17</v>
      </c>
      <c r="B15" s="8">
        <v>3.5</v>
      </c>
      <c r="C15" s="8">
        <v>2.56</v>
      </c>
      <c r="D15" s="8">
        <v>5.96</v>
      </c>
      <c r="E15" s="8">
        <v>3.96</v>
      </c>
      <c r="F15" s="8">
        <v>10.76</v>
      </c>
      <c r="G15" s="8">
        <v>5.56</v>
      </c>
      <c r="H15" s="8">
        <v>8.56</v>
      </c>
      <c r="I15" s="8">
        <v>4.3600000000000003</v>
      </c>
      <c r="J15" s="8"/>
    </row>
    <row r="16" spans="1:10" ht="28.1" customHeight="1">
      <c r="A16" s="6" t="s">
        <v>18</v>
      </c>
      <c r="B16" s="8">
        <v>3.76</v>
      </c>
      <c r="C16" s="8">
        <v>2.56</v>
      </c>
      <c r="D16" s="8">
        <v>3.76</v>
      </c>
      <c r="E16" s="8">
        <v>3.96</v>
      </c>
      <c r="F16" s="8">
        <v>11.36</v>
      </c>
      <c r="G16" s="8">
        <v>5.56</v>
      </c>
      <c r="H16" s="8">
        <v>8.76</v>
      </c>
      <c r="I16" s="8">
        <v>4.16</v>
      </c>
      <c r="J16" s="8"/>
    </row>
    <row r="17" spans="1:10" ht="28.1" customHeight="1">
      <c r="A17" s="6" t="s">
        <v>19</v>
      </c>
      <c r="B17" s="8">
        <v>3.36</v>
      </c>
      <c r="C17" s="8">
        <v>2.56</v>
      </c>
      <c r="D17" s="8">
        <v>3.76</v>
      </c>
      <c r="E17" s="8">
        <v>3.96</v>
      </c>
      <c r="F17" s="8">
        <v>11.36</v>
      </c>
      <c r="G17" s="8">
        <v>8.56</v>
      </c>
      <c r="H17" s="8">
        <v>8.76</v>
      </c>
      <c r="I17" s="8">
        <v>3.76</v>
      </c>
      <c r="J17" s="8"/>
    </row>
    <row r="18" spans="1:10" ht="28.1" customHeight="1">
      <c r="A18" s="6" t="s">
        <v>20</v>
      </c>
      <c r="B18" s="8">
        <v>3.6</v>
      </c>
      <c r="C18" s="8">
        <v>2.56</v>
      </c>
      <c r="D18" s="8">
        <v>3.76</v>
      </c>
      <c r="E18" s="8">
        <v>3.96</v>
      </c>
      <c r="F18" s="8">
        <v>9.9600000000000009</v>
      </c>
      <c r="G18" s="8">
        <v>7.96</v>
      </c>
      <c r="H18" s="8">
        <v>8.76</v>
      </c>
      <c r="I18" s="8">
        <v>3.76</v>
      </c>
      <c r="J18" s="8"/>
    </row>
    <row r="19" spans="1:10" ht="28.1" customHeight="1">
      <c r="A19" s="6" t="s">
        <v>21</v>
      </c>
      <c r="B19" s="8">
        <v>3.56</v>
      </c>
      <c r="C19" s="8">
        <v>2.56</v>
      </c>
      <c r="D19" s="8">
        <v>3.76</v>
      </c>
      <c r="E19" s="8">
        <v>3.96</v>
      </c>
      <c r="F19" s="8">
        <v>9.36</v>
      </c>
      <c r="G19" s="8">
        <v>7.56</v>
      </c>
      <c r="H19" s="8">
        <v>6.36</v>
      </c>
      <c r="I19" s="8">
        <v>3.96</v>
      </c>
      <c r="J19" s="8"/>
    </row>
    <row r="20" spans="1:10" ht="28.1" customHeight="1">
      <c r="A20" s="6" t="s">
        <v>10</v>
      </c>
      <c r="B20" s="8">
        <v>3.56</v>
      </c>
      <c r="C20" s="8">
        <v>2.56</v>
      </c>
      <c r="D20" s="8">
        <v>3.76</v>
      </c>
      <c r="E20" s="8">
        <v>3.96</v>
      </c>
      <c r="F20" s="8">
        <v>7.96</v>
      </c>
      <c r="G20" s="8">
        <v>5.98</v>
      </c>
      <c r="H20" s="8">
        <v>6.36</v>
      </c>
      <c r="I20" s="8">
        <v>3.96</v>
      </c>
      <c r="J20" s="8"/>
    </row>
    <row r="21" spans="1:10" ht="28.1" customHeight="1">
      <c r="A21" s="6" t="s">
        <v>22</v>
      </c>
      <c r="B21" s="8">
        <v>3.56</v>
      </c>
      <c r="C21" s="8">
        <v>2.56</v>
      </c>
      <c r="D21" s="8">
        <v>3.76</v>
      </c>
      <c r="E21" s="8">
        <v>3.96</v>
      </c>
      <c r="F21" s="8">
        <v>7.96</v>
      </c>
      <c r="G21" s="8">
        <v>5.98</v>
      </c>
      <c r="H21" s="8">
        <v>6.36</v>
      </c>
      <c r="I21" s="8">
        <v>3.56</v>
      </c>
      <c r="J21" s="8"/>
    </row>
    <row r="22" spans="1:10" ht="28.1" customHeight="1">
      <c r="A22" s="6" t="s">
        <v>23</v>
      </c>
      <c r="B22" s="8">
        <v>3.56</v>
      </c>
      <c r="C22" s="8">
        <v>2.96</v>
      </c>
      <c r="D22" s="8">
        <v>3.76</v>
      </c>
      <c r="E22" s="8">
        <v>3.96</v>
      </c>
      <c r="F22" s="8">
        <v>9.76</v>
      </c>
      <c r="G22" s="8">
        <v>6.76</v>
      </c>
      <c r="H22" s="8">
        <v>5.76</v>
      </c>
      <c r="I22" s="8">
        <v>4.3600000000000003</v>
      </c>
      <c r="J22" s="8"/>
    </row>
    <row r="23" spans="1:10" ht="28.1" customHeight="1">
      <c r="B23" s="8">
        <f t="shared" ref="B23:I23" si="0">B22/2</f>
        <v>1.78</v>
      </c>
      <c r="C23" s="8">
        <f t="shared" si="0"/>
        <v>1.48</v>
      </c>
      <c r="D23" s="8">
        <f t="shared" si="0"/>
        <v>1.88</v>
      </c>
      <c r="E23" s="8">
        <f t="shared" si="0"/>
        <v>1.98</v>
      </c>
      <c r="F23" s="8">
        <f t="shared" si="0"/>
        <v>4.88</v>
      </c>
      <c r="G23" s="8">
        <f t="shared" si="0"/>
        <v>3.38</v>
      </c>
      <c r="H23" s="8">
        <f t="shared" si="0"/>
        <v>2.88</v>
      </c>
      <c r="I23" s="8">
        <f t="shared" si="0"/>
        <v>2.1800000000000002</v>
      </c>
      <c r="J23" s="8"/>
    </row>
    <row r="24" spans="1:10" ht="19.95" customHeight="1">
      <c r="A24" s="9" t="s">
        <v>24</v>
      </c>
      <c r="B24" s="10">
        <f t="shared" ref="B24:I24" si="1">B22/B21-1</f>
        <v>0</v>
      </c>
      <c r="C24" s="10">
        <f t="shared" si="1"/>
        <v>0.15625</v>
      </c>
      <c r="D24" s="10">
        <f t="shared" si="1"/>
        <v>0</v>
      </c>
      <c r="E24" s="10">
        <f t="shared" si="1"/>
        <v>0</v>
      </c>
      <c r="F24" s="10">
        <f t="shared" si="1"/>
        <v>0.22613065326633164</v>
      </c>
      <c r="G24" s="10">
        <f t="shared" si="1"/>
        <v>0.13043478260869557</v>
      </c>
      <c r="H24" s="10">
        <f t="shared" si="1"/>
        <v>-9.4339622641509524E-2</v>
      </c>
      <c r="I24" s="10">
        <f t="shared" si="1"/>
        <v>0.22471910112359561</v>
      </c>
      <c r="J24" s="10"/>
    </row>
    <row r="25" spans="1:10" ht="25.1" customHeight="1">
      <c r="A25" s="9" t="s">
        <v>25</v>
      </c>
      <c r="B25" s="10">
        <f t="shared" ref="B25:I25" si="2">B22/B2-1</f>
        <v>0.11250000000000004</v>
      </c>
      <c r="C25" s="10">
        <f t="shared" si="2"/>
        <v>0.64444444444444438</v>
      </c>
      <c r="D25" s="10">
        <f t="shared" si="2"/>
        <v>0.87999999999999989</v>
      </c>
      <c r="E25" s="10">
        <f t="shared" si="2"/>
        <v>0.98</v>
      </c>
      <c r="F25" s="10">
        <f t="shared" si="2"/>
        <v>-0.1586206896551724</v>
      </c>
      <c r="G25" s="10">
        <f t="shared" si="2"/>
        <v>-6.1111111111111116E-2</v>
      </c>
      <c r="H25" s="10">
        <f t="shared" si="2"/>
        <v>-0.1272727272727272</v>
      </c>
      <c r="I25" s="10">
        <f t="shared" si="2"/>
        <v>-0.19259259259259254</v>
      </c>
      <c r="J25" s="10"/>
    </row>
    <row r="26" spans="1:10" ht="26.7" customHeight="1">
      <c r="B26" s="2" t="s">
        <v>1</v>
      </c>
      <c r="C26" s="2" t="s">
        <v>2</v>
      </c>
      <c r="D26" s="2" t="s">
        <v>3</v>
      </c>
      <c r="E26" s="2" t="s">
        <v>4</v>
      </c>
      <c r="F26" s="2" t="s">
        <v>5</v>
      </c>
      <c r="G26" s="2" t="s">
        <v>6</v>
      </c>
      <c r="H26" s="2" t="s">
        <v>7</v>
      </c>
      <c r="I26" s="2" t="s">
        <v>8</v>
      </c>
    </row>
  </sheetData>
  <phoneticPr fontId="4" type="noConversion"/>
  <pageMargins left="0.70060688679612526" right="0.70060688679612526" top="0.75198932895510207" bottom="0.75198932895510207" header="0.29926813962891347" footer="0.29926813962891347"/>
  <pageSetup paperSize="9" scale="79" fitToHeight="0" orientation="landscape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9" defaultRowHeight="15"/>
  <cols>
    <col min="1" max="1" width="9" style="1" bestFit="1"/>
    <col min="2" max="16384" width="9" style="1"/>
  </cols>
  <sheetData/>
  <phoneticPr fontId="4" type="noConversion"/>
  <pageMargins left="0.70060688679612526" right="0.70060688679612526" top="0.75198932895510207" bottom="0.75198932895510207" header="0.29926813962891347" footer="0.29926813962891347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9" defaultRowHeight="15"/>
  <cols>
    <col min="1" max="1" width="9" style="1" bestFit="1"/>
    <col min="2" max="16384" width="9" style="1"/>
  </cols>
  <sheetData/>
  <phoneticPr fontId="4" type="noConversion"/>
  <pageMargins left="0.70060688679612526" right="0.70060688679612526" top="0.75198932895510207" bottom="0.75198932895510207" header="0.29926813962891347" footer="0.29926813962891347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工作表1</vt:lpstr>
      <vt:lpstr>工作表2</vt:lpstr>
      <vt:lpstr>工作表3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inspur</dc:creator>
  <cp:lastModifiedBy>亦哲君</cp:lastModifiedBy>
  <dcterms:created xsi:type="dcterms:W3CDTF">2022-03-14T10:25:23Z</dcterms:created>
  <dcterms:modified xsi:type="dcterms:W3CDTF">2025-03-30T13:30:10Z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749633eadae84024a26be80a6838bec1</vt:lpwstr>
  </property>
  <property fmtid="{D5CDD505-2E9C-101B-9397-08002B2CF9AE}" pid="3" name="KSOProductBuildVer">
    <vt:lpwstr>2052-11.8.2.9864</vt:lpwstr>
  </property>
</Properties>
</file>