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3月27日\"/>
    </mc:Choice>
  </mc:AlternateContent>
  <xr:revisionPtr revIDLastSave="0" documentId="8_{76EE091D-72C1-4BBA-8772-96F3786E0E05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23" i="1" l="1"/>
  <c r="C23" i="1"/>
  <c r="D23" i="1"/>
  <c r="E23" i="1"/>
  <c r="F23" i="1"/>
  <c r="G23" i="1"/>
  <c r="H23" i="1"/>
  <c r="I23" i="1"/>
  <c r="J23" i="1"/>
  <c r="B24" i="1"/>
  <c r="C24" i="1"/>
  <c r="D24" i="1"/>
  <c r="E24" i="1"/>
  <c r="F24" i="1"/>
  <c r="G24" i="1"/>
  <c r="H24" i="1"/>
  <c r="I24" i="1"/>
  <c r="B25" i="1"/>
  <c r="C25" i="1"/>
  <c r="D25" i="1"/>
  <c r="E25" i="1"/>
  <c r="F25" i="1"/>
  <c r="G25" i="1"/>
  <c r="H25" i="1"/>
  <c r="I25" i="1"/>
</calcChain>
</file>

<file path=xl/sharedStrings.xml><?xml version="1.0" encoding="utf-8"?>
<sst xmlns="http://schemas.openxmlformats.org/spreadsheetml/2006/main" count="33" uniqueCount="33">
  <si>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</si>
  <si>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</si>
  <si>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</si>
  <si>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</si>
  <si>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</si>
  <si>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</si>
  <si>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</si>
  <si>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</si>
  <si>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</si>
  <si>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</si>
  <si>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</si>
  <si>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</si>
  <si>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</si>
  <si>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</si>
  <si>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</si>
  <si>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</si>
  <si>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</si>
  <si>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</si>
  <si>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</si>
  <si>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</si>
  <si>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</si>
  <si>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</si>
  <si>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</si>
  <si>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20日</t>
  </si>
  <si>
    <t>21日</t>
  </si>
  <si>
    <t>22日</t>
  </si>
  <si>
    <t>23日</t>
  </si>
  <si>
    <t>24日</t>
  </si>
  <si>
    <t>25日</t>
  </si>
  <si>
    <t>26日</t>
  </si>
  <si>
    <t>27日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</si>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</sst>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11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28239168678419468"/>
          <c:y val="3.658812238022485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4405870280015694E-2"/>
          <c:y val="9.0551610142412406E-2"/>
          <c:w val="0.87810281163205728"/>
          <c:h val="0.75224464159663129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工作表1!$A$2:$A$22</c:f>
              <c:strCache>
                <c:ptCount val="21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</c:strCache>
            </c:strRef>
          </c:cat>
          <c:val>
            <c:numRef>
              <c:f>工作表1!$B$2:$B$22</c:f>
              <c:numCache>
                <c:formatCode>0.00_ </c:formatCode>
                <c:ptCount val="21"/>
                <c:pt idx="0">
                  <c:v>3.2</c:v>
                </c:pt>
                <c:pt idx="1">
                  <c:v>3.2</c:v>
                </c:pt>
                <c:pt idx="2">
                  <c:v>3.2</c:v>
                </c:pt>
                <c:pt idx="3">
                  <c:v>3.2</c:v>
                </c:pt>
                <c:pt idx="4">
                  <c:v>3.2</c:v>
                </c:pt>
                <c:pt idx="5">
                  <c:v>3.56</c:v>
                </c:pt>
                <c:pt idx="6">
                  <c:v>3.72</c:v>
                </c:pt>
                <c:pt idx="7">
                  <c:v>3.68</c:v>
                </c:pt>
                <c:pt idx="8">
                  <c:v>3.68</c:v>
                </c:pt>
                <c:pt idx="9">
                  <c:v>3.68</c:v>
                </c:pt>
                <c:pt idx="10">
                  <c:v>3.32</c:v>
                </c:pt>
                <c:pt idx="11">
                  <c:v>3.32</c:v>
                </c:pt>
                <c:pt idx="12">
                  <c:v>3.32</c:v>
                </c:pt>
                <c:pt idx="13">
                  <c:v>3.32</c:v>
                </c:pt>
                <c:pt idx="14">
                  <c:v>3.32</c:v>
                </c:pt>
                <c:pt idx="15">
                  <c:v>3.32</c:v>
                </c:pt>
                <c:pt idx="16">
                  <c:v>3.32</c:v>
                </c:pt>
                <c:pt idx="17">
                  <c:v>3.32</c:v>
                </c:pt>
                <c:pt idx="18">
                  <c:v>3.32</c:v>
                </c:pt>
                <c:pt idx="19">
                  <c:v>4.2</c:v>
                </c:pt>
                <c:pt idx="20">
                  <c:v>4.66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EA-4FF6-B40B-774EFC506BCC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工作表1!$A$2:$A$22</c:f>
              <c:strCache>
                <c:ptCount val="21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</c:strCache>
            </c:strRef>
          </c:cat>
          <c:val>
            <c:numRef>
              <c:f>工作表1!$C$2:$C$22</c:f>
              <c:numCache>
                <c:formatCode>0.00_ </c:formatCode>
                <c:ptCount val="21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1.8</c:v>
                </c:pt>
                <c:pt idx="6">
                  <c:v>1.8</c:v>
                </c:pt>
                <c:pt idx="7">
                  <c:v>1.8</c:v>
                </c:pt>
                <c:pt idx="8">
                  <c:v>1.8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1.8</c:v>
                </c:pt>
                <c:pt idx="13">
                  <c:v>1.8</c:v>
                </c:pt>
                <c:pt idx="14">
                  <c:v>1.8</c:v>
                </c:pt>
                <c:pt idx="15">
                  <c:v>1.8</c:v>
                </c:pt>
                <c:pt idx="16">
                  <c:v>1.8</c:v>
                </c:pt>
                <c:pt idx="17">
                  <c:v>1.8</c:v>
                </c:pt>
                <c:pt idx="18">
                  <c:v>1.8</c:v>
                </c:pt>
                <c:pt idx="19">
                  <c:v>1.8</c:v>
                </c:pt>
                <c:pt idx="20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EA-4FF6-B40B-774EFC506BCC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工作表1!$A$2:$A$22</c:f>
              <c:strCache>
                <c:ptCount val="21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</c:strCache>
            </c:strRef>
          </c:cat>
          <c:val>
            <c:numRef>
              <c:f>工作表1!$D$2:$D$22</c:f>
              <c:numCache>
                <c:formatCode>0.00_ 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1.9</c:v>
                </c:pt>
                <c:pt idx="6">
                  <c:v>2.12</c:v>
                </c:pt>
                <c:pt idx="7">
                  <c:v>2.12</c:v>
                </c:pt>
                <c:pt idx="8">
                  <c:v>2.12</c:v>
                </c:pt>
                <c:pt idx="9">
                  <c:v>2.12</c:v>
                </c:pt>
                <c:pt idx="10">
                  <c:v>2.12</c:v>
                </c:pt>
                <c:pt idx="11">
                  <c:v>2.12</c:v>
                </c:pt>
                <c:pt idx="12">
                  <c:v>2.12</c:v>
                </c:pt>
                <c:pt idx="13">
                  <c:v>2.12</c:v>
                </c:pt>
                <c:pt idx="14">
                  <c:v>2.12</c:v>
                </c:pt>
                <c:pt idx="15">
                  <c:v>2.12</c:v>
                </c:pt>
                <c:pt idx="16">
                  <c:v>2.12</c:v>
                </c:pt>
                <c:pt idx="17">
                  <c:v>1.92</c:v>
                </c:pt>
                <c:pt idx="18">
                  <c:v>1.92</c:v>
                </c:pt>
                <c:pt idx="19">
                  <c:v>1.92</c:v>
                </c:pt>
                <c:pt idx="20">
                  <c:v>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EA-4FF6-B40B-774EFC506BCC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工作表1!$A$2:$A$22</c:f>
              <c:strCache>
                <c:ptCount val="21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</c:strCache>
            </c:strRef>
          </c:cat>
          <c:val>
            <c:numRef>
              <c:f>工作表1!$E$2:$E$22</c:f>
              <c:numCache>
                <c:formatCode>0.00_ 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2.1</c:v>
                </c:pt>
                <c:pt idx="11">
                  <c:v>2.1</c:v>
                </c:pt>
                <c:pt idx="12">
                  <c:v>2.1</c:v>
                </c:pt>
                <c:pt idx="13">
                  <c:v>2.1</c:v>
                </c:pt>
                <c:pt idx="14">
                  <c:v>2.1</c:v>
                </c:pt>
                <c:pt idx="15">
                  <c:v>2.1</c:v>
                </c:pt>
                <c:pt idx="16">
                  <c:v>2.1</c:v>
                </c:pt>
                <c:pt idx="17">
                  <c:v>2.1</c:v>
                </c:pt>
                <c:pt idx="18">
                  <c:v>2.2000000000000002</c:v>
                </c:pt>
                <c:pt idx="19">
                  <c:v>2.5</c:v>
                </c:pt>
                <c:pt idx="20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EA-4FF6-B40B-774EFC506BCC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工作表1!$A$2:$A$22</c:f>
              <c:strCache>
                <c:ptCount val="21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</c:strCache>
            </c:strRef>
          </c:cat>
          <c:val>
            <c:numRef>
              <c:f>工作表1!$F$2:$F$22</c:f>
              <c:numCache>
                <c:formatCode>0.00_ </c:formatCode>
                <c:ptCount val="21"/>
                <c:pt idx="0">
                  <c:v>11.6</c:v>
                </c:pt>
                <c:pt idx="1">
                  <c:v>10.8</c:v>
                </c:pt>
                <c:pt idx="2">
                  <c:v>10</c:v>
                </c:pt>
                <c:pt idx="3">
                  <c:v>11.6</c:v>
                </c:pt>
                <c:pt idx="4">
                  <c:v>10</c:v>
                </c:pt>
                <c:pt idx="5">
                  <c:v>9.4</c:v>
                </c:pt>
                <c:pt idx="6">
                  <c:v>9.4</c:v>
                </c:pt>
                <c:pt idx="7">
                  <c:v>9.8000000000000007</c:v>
                </c:pt>
                <c:pt idx="8">
                  <c:v>9.8000000000000007</c:v>
                </c:pt>
                <c:pt idx="9">
                  <c:v>9.8000000000000007</c:v>
                </c:pt>
                <c:pt idx="10">
                  <c:v>9.8000000000000007</c:v>
                </c:pt>
                <c:pt idx="11">
                  <c:v>9.4</c:v>
                </c:pt>
                <c:pt idx="12">
                  <c:v>9.6</c:v>
                </c:pt>
                <c:pt idx="13">
                  <c:v>9.4</c:v>
                </c:pt>
                <c:pt idx="14">
                  <c:v>9.4</c:v>
                </c:pt>
                <c:pt idx="15">
                  <c:v>9.4</c:v>
                </c:pt>
                <c:pt idx="16">
                  <c:v>10</c:v>
                </c:pt>
                <c:pt idx="17">
                  <c:v>9.6999999999999993</c:v>
                </c:pt>
                <c:pt idx="18">
                  <c:v>9.6999999999999993</c:v>
                </c:pt>
                <c:pt idx="19">
                  <c:v>10.4</c:v>
                </c:pt>
                <c:pt idx="20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EA-4FF6-B40B-774EFC506BCC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工作表1!$A$2:$A$22</c:f>
              <c:strCache>
                <c:ptCount val="21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</c:strCache>
            </c:strRef>
          </c:cat>
          <c:val>
            <c:numRef>
              <c:f>工作表1!$G$2:$G$22</c:f>
              <c:numCache>
                <c:formatCode>0.00_ </c:formatCode>
                <c:ptCount val="21"/>
                <c:pt idx="0">
                  <c:v>7.2</c:v>
                </c:pt>
                <c:pt idx="1">
                  <c:v>6</c:v>
                </c:pt>
                <c:pt idx="2">
                  <c:v>6</c:v>
                </c:pt>
                <c:pt idx="3">
                  <c:v>7.2</c:v>
                </c:pt>
                <c:pt idx="4">
                  <c:v>6</c:v>
                </c:pt>
                <c:pt idx="5">
                  <c:v>6.24</c:v>
                </c:pt>
                <c:pt idx="6">
                  <c:v>6.24</c:v>
                </c:pt>
                <c:pt idx="7">
                  <c:v>6.56</c:v>
                </c:pt>
                <c:pt idx="8">
                  <c:v>6.56</c:v>
                </c:pt>
                <c:pt idx="9">
                  <c:v>6.56</c:v>
                </c:pt>
                <c:pt idx="10">
                  <c:v>6.56</c:v>
                </c:pt>
                <c:pt idx="11">
                  <c:v>6.56</c:v>
                </c:pt>
                <c:pt idx="12">
                  <c:v>6.56</c:v>
                </c:pt>
                <c:pt idx="13">
                  <c:v>6.56</c:v>
                </c:pt>
                <c:pt idx="14">
                  <c:v>6.56</c:v>
                </c:pt>
                <c:pt idx="15">
                  <c:v>6.56</c:v>
                </c:pt>
                <c:pt idx="16">
                  <c:v>6.4</c:v>
                </c:pt>
                <c:pt idx="17">
                  <c:v>6.32</c:v>
                </c:pt>
                <c:pt idx="18">
                  <c:v>6.32</c:v>
                </c:pt>
                <c:pt idx="19">
                  <c:v>6.32</c:v>
                </c:pt>
                <c:pt idx="20">
                  <c:v>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0EA-4FF6-B40B-774EFC506BCC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工作表1!$A$2:$A$22</c:f>
              <c:strCache>
                <c:ptCount val="21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</c:strCache>
            </c:strRef>
          </c:cat>
          <c:val>
            <c:numRef>
              <c:f>工作表1!$H$2:$H$22</c:f>
              <c:numCache>
                <c:formatCode>0.00_ </c:formatCode>
                <c:ptCount val="21"/>
                <c:pt idx="0">
                  <c:v>6.6</c:v>
                </c:pt>
                <c:pt idx="1">
                  <c:v>6.4</c:v>
                </c:pt>
                <c:pt idx="2">
                  <c:v>6.6</c:v>
                </c:pt>
                <c:pt idx="3">
                  <c:v>6.6</c:v>
                </c:pt>
                <c:pt idx="4">
                  <c:v>6.6</c:v>
                </c:pt>
                <c:pt idx="5">
                  <c:v>7.4</c:v>
                </c:pt>
                <c:pt idx="6">
                  <c:v>7.4</c:v>
                </c:pt>
                <c:pt idx="7">
                  <c:v>8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10.4</c:v>
                </c:pt>
                <c:pt idx="13">
                  <c:v>10.4</c:v>
                </c:pt>
                <c:pt idx="14">
                  <c:v>11.6</c:v>
                </c:pt>
                <c:pt idx="15">
                  <c:v>11.6</c:v>
                </c:pt>
                <c:pt idx="16">
                  <c:v>11.6</c:v>
                </c:pt>
                <c:pt idx="17">
                  <c:v>9.68</c:v>
                </c:pt>
                <c:pt idx="18">
                  <c:v>9.68</c:v>
                </c:pt>
                <c:pt idx="19">
                  <c:v>18</c:v>
                </c:pt>
                <c:pt idx="20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0EA-4FF6-B40B-774EFC506BCC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工作表1!$A$2:$A$22</c:f>
              <c:strCache>
                <c:ptCount val="21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</c:strCache>
            </c:strRef>
          </c:cat>
          <c:val>
            <c:numRef>
              <c:f>工作表1!$I$2:$I$22</c:f>
              <c:numCache>
                <c:formatCode>0.00_ </c:formatCode>
                <c:ptCount val="21"/>
                <c:pt idx="0">
                  <c:v>5.4</c:v>
                </c:pt>
                <c:pt idx="1">
                  <c:v>5.8</c:v>
                </c:pt>
                <c:pt idx="2">
                  <c:v>5.4</c:v>
                </c:pt>
                <c:pt idx="3">
                  <c:v>5.4</c:v>
                </c:pt>
                <c:pt idx="4">
                  <c:v>5.4</c:v>
                </c:pt>
                <c:pt idx="5">
                  <c:v>5.12</c:v>
                </c:pt>
                <c:pt idx="6">
                  <c:v>4.4400000000000004</c:v>
                </c:pt>
                <c:pt idx="7">
                  <c:v>4.4400000000000004</c:v>
                </c:pt>
                <c:pt idx="8">
                  <c:v>4.9400000000000004</c:v>
                </c:pt>
                <c:pt idx="9">
                  <c:v>4.9400000000000004</c:v>
                </c:pt>
                <c:pt idx="10">
                  <c:v>4.9400000000000004</c:v>
                </c:pt>
                <c:pt idx="11">
                  <c:v>4.9400000000000004</c:v>
                </c:pt>
                <c:pt idx="12">
                  <c:v>4.3600000000000003</c:v>
                </c:pt>
                <c:pt idx="13">
                  <c:v>4.3600000000000003</c:v>
                </c:pt>
                <c:pt idx="14">
                  <c:v>5.26</c:v>
                </c:pt>
                <c:pt idx="15">
                  <c:v>5.26</c:v>
                </c:pt>
                <c:pt idx="16">
                  <c:v>5.26</c:v>
                </c:pt>
                <c:pt idx="17">
                  <c:v>5.08</c:v>
                </c:pt>
                <c:pt idx="18">
                  <c:v>5.08</c:v>
                </c:pt>
                <c:pt idx="19">
                  <c:v>5.08</c:v>
                </c:pt>
                <c:pt idx="20">
                  <c:v>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0EA-4FF6-B40B-774EFC506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5828912"/>
        <c:axId val="1"/>
      </c:lineChart>
      <c:catAx>
        <c:axId val="905828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</a:rPr>
                  <a:t>日期（</a:t>
                </a: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Calibri"/>
                    <a:ea typeface="等线"/>
                    <a:cs typeface="Calibri"/>
                  </a:rPr>
                  <a:t>3</a:t>
                </a: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Calibri"/>
                  </a:rPr>
                  <a:t>月）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价格（单位：元/公斤）</a:t>
                </a:r>
                <a:endParaRPr lang="zh-CN" altLang="en-US"/>
              </a:p>
            </c:rich>
          </c:tx>
          <c:overlay val="0"/>
        </c:title>
        <c:numFmt formatCode="0.00_ " sourceLinked="1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90582891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1511147334718137"/>
          <c:y val="0.93725962401363982"/>
          <c:w val="0.820888694307087"/>
          <c:h val="4.1126865718843317E-2"/>
        </c:manualLayout>
      </c:layout>
      <c:overlay val="0"/>
      <c:spPr>
        <a:noFill/>
        <a:ln w="3175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517071</xdr:colOff>
      <xdr:row>14</xdr:row>
      <xdr:rowOff>141514</xdr:rowOff>
    </xdr:from>
    <xdr:to>
      <xdr:col>21</xdr:col>
      <xdr:colOff>538843</xdr:colOff>
      <xdr:row>29</xdr:row>
      <xdr:rowOff>152400</xdr:rowOff>
    </xdr:to>
    <xdr:graphicFrame macro="">
      <xdr:nvGraphicFramePr>
        <xdr:cNvPr id="1064" name="图表 2">
          <a:extLst>
            <a:ext uri="{FF2B5EF4-FFF2-40B4-BE49-F238E27FC236}">
              <a16:creationId xmlns:a16="http://schemas.microsoft.com/office/drawing/2014/main" id="{11A4F6CB-4DAF-4B6C-954C-FB4A1720F6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5"/>
  <sheetViews>
    <sheetView tabSelected="1" workbookViewId="0">
      <selection activeCell="I25" sqref="I25"/>
    </sheetView>
  </sheetViews>
  <sheetFormatPr defaultColWidth="9" defaultRowHeight="15"/>
  <cols>
    <col min="1" max="1" width="8.5703125" style="1" customWidth="1"/>
    <col min="2" max="2" width="8.5" style="1" customWidth="1"/>
    <col min="3" max="5" width="7.5" style="1" customWidth="1"/>
    <col min="6" max="6" width="9" style="1" bestFit="1"/>
    <col min="7" max="16384" width="9" style="1"/>
  </cols>
  <sheetData>
    <row r="1" spans="1:17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7" ht="15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9">
        <v>3.6</v>
      </c>
    </row>
    <row r="3" spans="1:17" ht="15" customHeight="1">
      <c r="A3" s="3" t="s">
        <v>11</v>
      </c>
      <c r="B3" s="5">
        <v>3.2</v>
      </c>
      <c r="C3" s="5">
        <v>1.8</v>
      </c>
      <c r="D3" s="5">
        <v>2</v>
      </c>
      <c r="E3" s="5">
        <v>2</v>
      </c>
      <c r="F3" s="5">
        <v>10.8</v>
      </c>
      <c r="G3" s="5">
        <v>6</v>
      </c>
      <c r="H3" s="5">
        <v>6.4</v>
      </c>
      <c r="I3" s="5">
        <v>5.8</v>
      </c>
      <c r="J3" s="9">
        <v>3.7</v>
      </c>
    </row>
    <row r="4" spans="1:17" ht="15" customHeight="1">
      <c r="A4" s="3" t="s">
        <v>12</v>
      </c>
      <c r="B4" s="5">
        <v>3.2</v>
      </c>
      <c r="C4" s="5">
        <v>1.8</v>
      </c>
      <c r="D4" s="5">
        <v>2</v>
      </c>
      <c r="E4" s="5">
        <v>2</v>
      </c>
      <c r="F4" s="5">
        <v>10</v>
      </c>
      <c r="G4" s="5">
        <v>6</v>
      </c>
      <c r="H4" s="5">
        <v>6.6</v>
      </c>
      <c r="I4" s="5">
        <v>5.4</v>
      </c>
      <c r="J4" s="9">
        <v>3.6</v>
      </c>
      <c r="Q4" s="7"/>
    </row>
    <row r="5" spans="1:17" ht="15" customHeight="1">
      <c r="A5" s="3" t="s">
        <v>13</v>
      </c>
      <c r="B5" s="4">
        <v>3.2</v>
      </c>
      <c r="C5" s="4">
        <v>1.8</v>
      </c>
      <c r="D5" s="4">
        <v>2</v>
      </c>
      <c r="E5" s="4">
        <v>2</v>
      </c>
      <c r="F5" s="4">
        <v>11.6</v>
      </c>
      <c r="G5" s="5">
        <v>7.2</v>
      </c>
      <c r="H5" s="5">
        <v>6.6</v>
      </c>
      <c r="I5" s="5">
        <v>5.4</v>
      </c>
      <c r="J5" s="9">
        <v>3.6</v>
      </c>
    </row>
    <row r="6" spans="1:17" ht="15" customHeight="1">
      <c r="A6" s="3" t="s">
        <v>14</v>
      </c>
      <c r="B6" s="5">
        <v>3.2</v>
      </c>
      <c r="C6" s="5">
        <v>1.8</v>
      </c>
      <c r="D6" s="5">
        <v>2</v>
      </c>
      <c r="E6" s="5">
        <v>2</v>
      </c>
      <c r="F6" s="5">
        <v>10</v>
      </c>
      <c r="G6" s="5">
        <v>6</v>
      </c>
      <c r="H6" s="5">
        <v>6.6</v>
      </c>
      <c r="I6" s="5">
        <v>5.4</v>
      </c>
      <c r="J6" s="9">
        <v>3.8</v>
      </c>
    </row>
    <row r="7" spans="1:17" ht="15" customHeight="1">
      <c r="A7" s="3" t="s">
        <v>15</v>
      </c>
      <c r="B7" s="5">
        <v>3.56</v>
      </c>
      <c r="C7" s="5">
        <v>1.8</v>
      </c>
      <c r="D7" s="5">
        <v>1.9</v>
      </c>
      <c r="E7" s="5">
        <v>2</v>
      </c>
      <c r="F7" s="5">
        <v>9.4</v>
      </c>
      <c r="G7" s="5">
        <v>6.24</v>
      </c>
      <c r="H7" s="5">
        <v>7.4</v>
      </c>
      <c r="I7" s="5">
        <v>5.12</v>
      </c>
      <c r="J7" s="9">
        <v>3.5</v>
      </c>
    </row>
    <row r="8" spans="1:17" ht="15" customHeight="1">
      <c r="A8" s="3" t="s">
        <v>16</v>
      </c>
      <c r="B8" s="4">
        <v>3.72</v>
      </c>
      <c r="C8" s="4">
        <v>1.8</v>
      </c>
      <c r="D8" s="4">
        <v>2.12</v>
      </c>
      <c r="E8" s="4">
        <v>2.5</v>
      </c>
      <c r="F8" s="4">
        <v>9.4</v>
      </c>
      <c r="G8" s="4">
        <v>6.24</v>
      </c>
      <c r="H8" s="4">
        <v>7.4</v>
      </c>
      <c r="I8" s="4">
        <v>4.4400000000000004</v>
      </c>
      <c r="J8" s="9">
        <v>3.5</v>
      </c>
    </row>
    <row r="9" spans="1:17" ht="15" customHeight="1">
      <c r="A9" s="3" t="s">
        <v>17</v>
      </c>
      <c r="B9" s="5">
        <v>3.68</v>
      </c>
      <c r="C9" s="5">
        <v>1.8</v>
      </c>
      <c r="D9" s="5">
        <v>2.12</v>
      </c>
      <c r="E9" s="5">
        <v>2.5</v>
      </c>
      <c r="F9" s="5">
        <v>9.8000000000000007</v>
      </c>
      <c r="G9" s="5">
        <v>6.56</v>
      </c>
      <c r="H9" s="5">
        <v>8</v>
      </c>
      <c r="I9" s="5">
        <v>4.4400000000000004</v>
      </c>
      <c r="J9" s="9">
        <v>3.5</v>
      </c>
    </row>
    <row r="10" spans="1:17" ht="15" customHeight="1">
      <c r="A10" s="3" t="s">
        <v>18</v>
      </c>
      <c r="B10" s="5">
        <v>3.68</v>
      </c>
      <c r="C10" s="5">
        <v>1.8</v>
      </c>
      <c r="D10" s="5">
        <v>2.12</v>
      </c>
      <c r="E10" s="5">
        <v>2.5</v>
      </c>
      <c r="F10" s="5">
        <v>9.8000000000000007</v>
      </c>
      <c r="G10" s="5">
        <v>6.56</v>
      </c>
      <c r="H10" s="5">
        <v>7.6</v>
      </c>
      <c r="I10" s="5">
        <v>4.9400000000000004</v>
      </c>
      <c r="J10" s="9">
        <v>3.5</v>
      </c>
    </row>
    <row r="11" spans="1:17" ht="15" customHeight="1">
      <c r="A11" s="3" t="s">
        <v>19</v>
      </c>
      <c r="B11" s="5">
        <v>3.68</v>
      </c>
      <c r="C11" s="5">
        <v>1.8</v>
      </c>
      <c r="D11" s="5">
        <v>2.12</v>
      </c>
      <c r="E11" s="5">
        <v>2.5</v>
      </c>
      <c r="F11" s="5">
        <v>9.8000000000000007</v>
      </c>
      <c r="G11" s="5">
        <v>6.56</v>
      </c>
      <c r="H11" s="5">
        <v>7.6</v>
      </c>
      <c r="I11" s="5">
        <v>4.9400000000000004</v>
      </c>
      <c r="J11" s="9">
        <v>3.5</v>
      </c>
    </row>
    <row r="12" spans="1:17" ht="15" customHeight="1">
      <c r="A12" s="3" t="s">
        <v>20</v>
      </c>
      <c r="B12" s="5">
        <v>3.32</v>
      </c>
      <c r="C12" s="5">
        <v>1.8</v>
      </c>
      <c r="D12" s="5">
        <v>2.12</v>
      </c>
      <c r="E12" s="5">
        <v>2.1</v>
      </c>
      <c r="F12" s="5">
        <v>9.8000000000000007</v>
      </c>
      <c r="G12" s="5">
        <v>6.56</v>
      </c>
      <c r="H12" s="5">
        <v>7.6</v>
      </c>
      <c r="I12" s="5">
        <v>4.9400000000000004</v>
      </c>
      <c r="J12" s="9">
        <v>3.5</v>
      </c>
    </row>
    <row r="13" spans="1:17" ht="15" customHeight="1">
      <c r="A13" s="3" t="s">
        <v>21</v>
      </c>
      <c r="B13" s="5">
        <v>3.32</v>
      </c>
      <c r="C13" s="5">
        <v>1.8</v>
      </c>
      <c r="D13" s="5">
        <v>2.12</v>
      </c>
      <c r="E13" s="5">
        <v>2.1</v>
      </c>
      <c r="F13" s="5">
        <v>9.4</v>
      </c>
      <c r="G13" s="5">
        <v>6.56</v>
      </c>
      <c r="H13" s="5">
        <v>7.6</v>
      </c>
      <c r="I13" s="5">
        <v>4.9400000000000004</v>
      </c>
      <c r="J13" s="9">
        <v>3.5</v>
      </c>
    </row>
    <row r="14" spans="1:17" ht="15" customHeight="1">
      <c r="A14" s="2" t="s">
        <v>22</v>
      </c>
      <c r="B14" s="5">
        <v>3.32</v>
      </c>
      <c r="C14" s="5">
        <v>1.8</v>
      </c>
      <c r="D14" s="5">
        <v>2.12</v>
      </c>
      <c r="E14" s="5">
        <v>2.1</v>
      </c>
      <c r="F14" s="5">
        <v>9.6</v>
      </c>
      <c r="G14" s="5">
        <v>6.56</v>
      </c>
      <c r="H14" s="5">
        <v>10.4</v>
      </c>
      <c r="I14" s="5">
        <v>4.3600000000000003</v>
      </c>
      <c r="J14" s="9">
        <v>7.2</v>
      </c>
    </row>
    <row r="15" spans="1:17" ht="31.95" customHeight="1">
      <c r="A15" s="2" t="s">
        <v>23</v>
      </c>
      <c r="B15" s="5">
        <v>3.32</v>
      </c>
      <c r="C15" s="5">
        <v>1.8</v>
      </c>
      <c r="D15" s="5">
        <v>2.12</v>
      </c>
      <c r="E15" s="5">
        <v>2.1</v>
      </c>
      <c r="F15" s="5">
        <v>9.4</v>
      </c>
      <c r="G15" s="5">
        <v>6.56</v>
      </c>
      <c r="H15" s="5">
        <v>10.4</v>
      </c>
      <c r="I15" s="5">
        <v>4.3600000000000003</v>
      </c>
      <c r="J15" s="9">
        <v>7.2</v>
      </c>
    </row>
    <row r="16" spans="1:17" ht="32.700000000000003" customHeight="1">
      <c r="A16" s="2" t="s">
        <v>24</v>
      </c>
      <c r="B16" s="5">
        <v>3.32</v>
      </c>
      <c r="C16" s="5">
        <v>1.8</v>
      </c>
      <c r="D16" s="5">
        <v>2.12</v>
      </c>
      <c r="E16" s="5">
        <v>2.1</v>
      </c>
      <c r="F16" s="5">
        <v>9.4</v>
      </c>
      <c r="G16" s="5">
        <v>6.56</v>
      </c>
      <c r="H16" s="5">
        <v>11.6</v>
      </c>
      <c r="I16" s="5">
        <v>5.26</v>
      </c>
      <c r="J16" s="9">
        <v>7.2</v>
      </c>
    </row>
    <row r="17" spans="1:10" ht="35.700000000000003" customHeight="1">
      <c r="A17" s="2" t="s">
        <v>25</v>
      </c>
      <c r="B17" s="5">
        <v>3.32</v>
      </c>
      <c r="C17" s="5">
        <v>1.8</v>
      </c>
      <c r="D17" s="5">
        <v>2.12</v>
      </c>
      <c r="E17" s="5">
        <v>2.1</v>
      </c>
      <c r="F17" s="5">
        <v>9.4</v>
      </c>
      <c r="G17" s="5">
        <v>6.56</v>
      </c>
      <c r="H17" s="5">
        <v>11.6</v>
      </c>
      <c r="I17" s="5">
        <v>5.26</v>
      </c>
      <c r="J17" s="9">
        <v>7.1</v>
      </c>
    </row>
    <row r="18" spans="1:10" ht="35.700000000000003" customHeight="1">
      <c r="A18" s="2" t="s">
        <v>26</v>
      </c>
      <c r="B18" s="5">
        <v>3.32</v>
      </c>
      <c r="C18" s="5">
        <v>1.8</v>
      </c>
      <c r="D18" s="5">
        <v>2.12</v>
      </c>
      <c r="E18" s="5">
        <v>2.1</v>
      </c>
      <c r="F18" s="5">
        <v>10</v>
      </c>
      <c r="G18" s="5">
        <v>6.4</v>
      </c>
      <c r="H18" s="5">
        <v>11.6</v>
      </c>
      <c r="I18" s="5">
        <v>5.26</v>
      </c>
      <c r="J18" s="9">
        <v>7.2</v>
      </c>
    </row>
    <row r="19" spans="1:10" ht="35.700000000000003" customHeight="1">
      <c r="A19" s="2" t="s">
        <v>27</v>
      </c>
      <c r="B19" s="5">
        <v>3.32</v>
      </c>
      <c r="C19" s="5">
        <v>1.8</v>
      </c>
      <c r="D19" s="5">
        <v>1.92</v>
      </c>
      <c r="E19" s="5">
        <v>2.1</v>
      </c>
      <c r="F19" s="5">
        <v>9.6999999999999993</v>
      </c>
      <c r="G19" s="5">
        <v>6.32</v>
      </c>
      <c r="H19" s="5">
        <v>9.68</v>
      </c>
      <c r="I19" s="5">
        <v>5.08</v>
      </c>
      <c r="J19" s="9">
        <v>7</v>
      </c>
    </row>
    <row r="20" spans="1:10" ht="35.700000000000003" customHeight="1">
      <c r="A20" s="2" t="s">
        <v>28</v>
      </c>
      <c r="B20" s="5">
        <v>3.32</v>
      </c>
      <c r="C20" s="5">
        <v>1.8</v>
      </c>
      <c r="D20" s="5">
        <v>1.92</v>
      </c>
      <c r="E20" s="5">
        <v>2.2000000000000002</v>
      </c>
      <c r="F20" s="5">
        <v>9.6999999999999993</v>
      </c>
      <c r="G20" s="5">
        <v>6.32</v>
      </c>
      <c r="H20" s="5">
        <v>9.68</v>
      </c>
      <c r="I20" s="5">
        <v>5.08</v>
      </c>
      <c r="J20" s="9">
        <v>7.2</v>
      </c>
    </row>
    <row r="21" spans="1:10" ht="35.700000000000003" customHeight="1">
      <c r="A21" s="2" t="s">
        <v>29</v>
      </c>
      <c r="B21" s="5">
        <v>4.2</v>
      </c>
      <c r="C21" s="5">
        <v>1.8</v>
      </c>
      <c r="D21" s="5">
        <v>1.92</v>
      </c>
      <c r="E21" s="5">
        <v>2.5</v>
      </c>
      <c r="F21" s="5">
        <v>10.4</v>
      </c>
      <c r="G21" s="5">
        <v>6.32</v>
      </c>
      <c r="H21" s="5">
        <v>18</v>
      </c>
      <c r="I21" s="5">
        <v>5.08</v>
      </c>
      <c r="J21" s="9">
        <v>7</v>
      </c>
    </row>
    <row r="22" spans="1:10" ht="35.700000000000003" customHeight="1">
      <c r="A22" s="2" t="s">
        <v>30</v>
      </c>
      <c r="B22" s="5">
        <v>4.66</v>
      </c>
      <c r="C22" s="5">
        <v>1.8</v>
      </c>
      <c r="D22" s="5">
        <v>1.92</v>
      </c>
      <c r="E22" s="5">
        <v>2.5</v>
      </c>
      <c r="F22" s="5">
        <v>13</v>
      </c>
      <c r="G22" s="5">
        <v>7.2</v>
      </c>
      <c r="H22" s="5">
        <v>18</v>
      </c>
      <c r="I22" s="5">
        <v>5.08</v>
      </c>
      <c r="J22" s="10">
        <v>7.2</v>
      </c>
    </row>
    <row r="23" spans="1:10" ht="27.75" customHeight="1">
      <c r="B23" s="6">
        <f>B22/2</f>
        <v>2.33</v>
      </c>
      <c r="C23" s="6">
        <f t="shared" ref="C23:J23" si="0">C22/2</f>
        <v>0.9</v>
      </c>
      <c r="D23" s="6">
        <f t="shared" si="0"/>
        <v>0.96</v>
      </c>
      <c r="E23" s="6">
        <f t="shared" si="0"/>
        <v>1.25</v>
      </c>
      <c r="F23" s="6">
        <f t="shared" si="0"/>
        <v>6.5</v>
      </c>
      <c r="G23" s="6">
        <f t="shared" si="0"/>
        <v>3.6</v>
      </c>
      <c r="H23" s="6">
        <f t="shared" si="0"/>
        <v>9</v>
      </c>
      <c r="I23" s="6">
        <f t="shared" si="0"/>
        <v>2.54</v>
      </c>
      <c r="J23" s="6">
        <f t="shared" si="0"/>
        <v>3.6</v>
      </c>
    </row>
    <row r="24" spans="1:10">
      <c r="A24" s="7" t="s">
        <v>31</v>
      </c>
      <c r="B24" s="8">
        <f>B22/B21-1</f>
        <v>0.10952380952380958</v>
      </c>
      <c r="C24" s="8">
        <f t="shared" ref="C24:I24" si="1">C22/C21-1</f>
        <v>0</v>
      </c>
      <c r="D24" s="8">
        <f t="shared" si="1"/>
        <v>0</v>
      </c>
      <c r="E24" s="8">
        <f t="shared" si="1"/>
        <v>0</v>
      </c>
      <c r="F24" s="8">
        <f t="shared" si="1"/>
        <v>0.25</v>
      </c>
      <c r="G24" s="8">
        <f t="shared" si="1"/>
        <v>0.139240506329114</v>
      </c>
      <c r="H24" s="8">
        <f t="shared" si="1"/>
        <v>0</v>
      </c>
      <c r="I24" s="8">
        <f t="shared" si="1"/>
        <v>0</v>
      </c>
      <c r="J24" s="8"/>
    </row>
    <row r="25" spans="1:10">
      <c r="A25" s="7" t="s">
        <v>32</v>
      </c>
      <c r="B25" s="8">
        <f>B22/B2-1</f>
        <v>0.45625000000000004</v>
      </c>
      <c r="C25" s="8">
        <f t="shared" ref="C25:I25" si="2">C22/C2-1</f>
        <v>0</v>
      </c>
      <c r="D25" s="8">
        <f t="shared" si="2"/>
        <v>-4.0000000000000036E-2</v>
      </c>
      <c r="E25" s="8">
        <f t="shared" si="2"/>
        <v>0.25</v>
      </c>
      <c r="F25" s="8">
        <f t="shared" si="2"/>
        <v>0.12068965517241392</v>
      </c>
      <c r="G25" s="8">
        <f t="shared" si="2"/>
        <v>0</v>
      </c>
      <c r="H25" s="8">
        <f t="shared" si="2"/>
        <v>1.7272727272727275</v>
      </c>
      <c r="I25" s="8">
        <f t="shared" si="2"/>
        <v>-5.9259259259259345E-2</v>
      </c>
      <c r="J25" s="8"/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2022-03-14T10:25:23Z</dcterms:created>
  <dcterms:modified xsi:type="dcterms:W3CDTF">2025-03-30T13:16:25Z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