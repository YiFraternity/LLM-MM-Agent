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6日\"/>
    </mc:Choice>
  </mc:AlternateContent>
  <xr:revisionPtr revIDLastSave="0" documentId="8_{D795CF80-DA0B-46B6-95FD-743D4175381E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43" i="1" l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</calcChain>
</file>

<file path=xl/sharedStrings.xml><?xml version="1.0" encoding="utf-8"?>
<sst xmlns="http://schemas.openxmlformats.org/spreadsheetml/2006/main" count="61" uniqueCount="43">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</sst>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51510019692"/>
          <c:y val="1.45296323220482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工作表1!$B$2:$B$42</c:f>
              <c:numCache>
                <c:formatCode>0.00_ </c:formatCode>
                <c:ptCount val="41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  <c:pt idx="36">
                  <c:v>5.76</c:v>
                </c:pt>
                <c:pt idx="37">
                  <c:v>6.6</c:v>
                </c:pt>
                <c:pt idx="38">
                  <c:v>6.76</c:v>
                </c:pt>
                <c:pt idx="39">
                  <c:v>6.76</c:v>
                </c:pt>
                <c:pt idx="40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8-46A6-981E-E51C3551439F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工作表1!$C$2:$C$42</c:f>
              <c:numCache>
                <c:formatCode>0.00_ </c:formatCode>
                <c:ptCount val="4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  <c:pt idx="36">
                  <c:v>3.05</c:v>
                </c:pt>
                <c:pt idx="37">
                  <c:v>3.06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8-46A6-981E-E51C3551439F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工作表1!$D$2:$D$42</c:f>
              <c:numCache>
                <c:formatCode>0.00_ 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  <c:pt idx="36">
                  <c:v>5.98</c:v>
                </c:pt>
                <c:pt idx="37">
                  <c:v>3.16</c:v>
                </c:pt>
                <c:pt idx="38">
                  <c:v>3.16</c:v>
                </c:pt>
                <c:pt idx="39">
                  <c:v>3.16</c:v>
                </c:pt>
                <c:pt idx="40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8-46A6-981E-E51C3551439F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工作表1!$E$2:$E$42</c:f>
              <c:numCache>
                <c:formatCode>0.00_ 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5.76</c:v>
                </c:pt>
                <c:pt idx="39">
                  <c:v>5.76</c:v>
                </c:pt>
                <c:pt idx="40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8-46A6-981E-E51C3551439F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工作表1!$F$2:$F$42</c:f>
              <c:numCache>
                <c:formatCode>0.00_ </c:formatCode>
                <c:ptCount val="41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  <c:pt idx="36">
                  <c:v>9.9600000000000009</c:v>
                </c:pt>
                <c:pt idx="37">
                  <c:v>10.199999999999999</c:v>
                </c:pt>
                <c:pt idx="38">
                  <c:v>10.56</c:v>
                </c:pt>
                <c:pt idx="39">
                  <c:v>11.36</c:v>
                </c:pt>
                <c:pt idx="40">
                  <c:v>11.56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38-46A6-981E-E51C3551439F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工作表1!$G$2:$G$42</c:f>
              <c:numCache>
                <c:formatCode>0.00_ </c:formatCode>
                <c:ptCount val="41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  <c:pt idx="36">
                  <c:v>7.96</c:v>
                </c:pt>
                <c:pt idx="37">
                  <c:v>6.56</c:v>
                </c:pt>
                <c:pt idx="38">
                  <c:v>9.16</c:v>
                </c:pt>
                <c:pt idx="39">
                  <c:v>6.76</c:v>
                </c:pt>
                <c:pt idx="40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38-46A6-981E-E51C3551439F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工作表1!$H$2:$H$42</c:f>
              <c:numCache>
                <c:formatCode>0.00_ </c:formatCode>
                <c:ptCount val="41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  <c:pt idx="36">
                  <c:v>8.76</c:v>
                </c:pt>
                <c:pt idx="37">
                  <c:v>9.5</c:v>
                </c:pt>
                <c:pt idx="38">
                  <c:v>9.56</c:v>
                </c:pt>
                <c:pt idx="39">
                  <c:v>13.36</c:v>
                </c:pt>
                <c:pt idx="40">
                  <c:v>13.36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38-46A6-981E-E51C3551439F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工作表1!$A$2:$A$42</c:f>
              <c:strCache>
                <c:ptCount val="4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  <c:pt idx="39">
                  <c:v>15日</c:v>
                </c:pt>
                <c:pt idx="40">
                  <c:v>16日</c:v>
                </c:pt>
              </c:strCache>
            </c:strRef>
          </c:cat>
          <c:val>
            <c:numRef>
              <c:f>工作表1!$I$2:$I$42</c:f>
              <c:numCache>
                <c:formatCode>0.00_ </c:formatCode>
                <c:ptCount val="41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  <c:pt idx="36">
                  <c:v>10.52</c:v>
                </c:pt>
                <c:pt idx="37">
                  <c:v>10.52</c:v>
                </c:pt>
                <c:pt idx="38">
                  <c:v>9.92</c:v>
                </c:pt>
                <c:pt idx="39">
                  <c:v>4.96</c:v>
                </c:pt>
                <c:pt idx="40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38-46A6-981E-E51C35514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175792"/>
        <c:axId val="1"/>
      </c:lineChart>
      <c:catAx>
        <c:axId val="25817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2581757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941558413341863"/>
          <c:y val="0.93147607952981104"/>
          <c:w val="0.68695698488668"/>
          <c:h val="4.13505736239869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326571</xdr:colOff>
      <xdr:row>32</xdr:row>
      <xdr:rowOff>119743</xdr:rowOff>
    </xdr:from>
    <xdr:to>
      <xdr:col>23</xdr:col>
      <xdr:colOff>451757</xdr:colOff>
      <xdr:row>48</xdr:row>
      <xdr:rowOff>152400</xdr:rowOff>
    </xdr:to>
    <xdr:graphicFrame macro="">
      <xdr:nvGraphicFramePr>
        <xdr:cNvPr id="1118" name="图表 2">
          <a:extLst>
            <a:ext uri="{FF2B5EF4-FFF2-40B4-BE49-F238E27FC236}">
              <a16:creationId xmlns:a16="http://schemas.microsoft.com/office/drawing/2014/main" id="{F6835C0C-3B05-4D72-AE50-5CF63D532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tabSelected="1" topLeftCell="A32" workbookViewId="0">
      <selection activeCell="A43" sqref="A43:IV43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A38" s="6" t="s">
        <v>15</v>
      </c>
      <c r="B38" s="8">
        <v>5.76</v>
      </c>
      <c r="C38" s="8">
        <v>3.05</v>
      </c>
      <c r="D38" s="8">
        <v>5.98</v>
      </c>
      <c r="E38" s="8">
        <v>5.8</v>
      </c>
      <c r="F38" s="8">
        <v>9.9600000000000009</v>
      </c>
      <c r="G38" s="8">
        <v>7.96</v>
      </c>
      <c r="H38" s="8">
        <v>8.76</v>
      </c>
      <c r="I38" s="8">
        <v>10.52</v>
      </c>
      <c r="J38" s="8"/>
    </row>
    <row r="39" spans="1:10" ht="27.75" customHeight="1">
      <c r="A39" s="6" t="s">
        <v>16</v>
      </c>
      <c r="B39" s="8">
        <v>6.6</v>
      </c>
      <c r="C39" s="8">
        <v>3.06</v>
      </c>
      <c r="D39" s="8">
        <v>3.16</v>
      </c>
      <c r="E39" s="8">
        <v>5.8</v>
      </c>
      <c r="F39" s="8">
        <v>10.199999999999999</v>
      </c>
      <c r="G39" s="8">
        <v>6.56</v>
      </c>
      <c r="H39" s="8">
        <v>9.5</v>
      </c>
      <c r="I39" s="8">
        <v>10.52</v>
      </c>
      <c r="J39" s="8"/>
    </row>
    <row r="40" spans="1:10" ht="27.75" customHeight="1">
      <c r="A40" s="6" t="s">
        <v>17</v>
      </c>
      <c r="B40" s="8">
        <v>6.76</v>
      </c>
      <c r="C40" s="8">
        <v>2.4</v>
      </c>
      <c r="D40" s="8">
        <v>3.16</v>
      </c>
      <c r="E40" s="8">
        <v>5.76</v>
      </c>
      <c r="F40" s="8">
        <v>10.56</v>
      </c>
      <c r="G40" s="8">
        <v>9.16</v>
      </c>
      <c r="H40" s="8">
        <v>9.56</v>
      </c>
      <c r="I40" s="8">
        <v>9.92</v>
      </c>
      <c r="J40" s="8"/>
    </row>
    <row r="41" spans="1:10" ht="27.75" customHeight="1">
      <c r="A41" s="6" t="s">
        <v>18</v>
      </c>
      <c r="B41" s="8">
        <v>6.76</v>
      </c>
      <c r="C41" s="8">
        <v>2.4</v>
      </c>
      <c r="D41" s="8">
        <v>3.16</v>
      </c>
      <c r="E41" s="8">
        <v>5.76</v>
      </c>
      <c r="F41" s="8">
        <v>11.36</v>
      </c>
      <c r="G41" s="8">
        <v>6.76</v>
      </c>
      <c r="H41" s="8">
        <v>13.36</v>
      </c>
      <c r="I41" s="8">
        <v>4.96</v>
      </c>
      <c r="J41" s="8"/>
    </row>
    <row r="42" spans="1:10" ht="27.75" customHeight="1">
      <c r="A42" s="6" t="s">
        <v>19</v>
      </c>
      <c r="B42" s="8">
        <v>6.76</v>
      </c>
      <c r="C42" s="8">
        <v>2.4</v>
      </c>
      <c r="D42" s="8">
        <v>3.16</v>
      </c>
      <c r="E42" s="8">
        <v>5.76</v>
      </c>
      <c r="F42" s="8">
        <v>11.56</v>
      </c>
      <c r="G42" s="8">
        <v>6.96</v>
      </c>
      <c r="H42" s="8">
        <v>13.36</v>
      </c>
      <c r="I42" s="8">
        <v>4.96</v>
      </c>
      <c r="J42" s="8"/>
    </row>
    <row r="43" spans="1:10" ht="27.75" customHeight="1">
      <c r="B43" s="8">
        <f>B42/2</f>
        <v>3.38</v>
      </c>
      <c r="C43" s="8">
        <f t="shared" ref="C43:I43" si="0">C42/2</f>
        <v>1.2</v>
      </c>
      <c r="D43" s="8">
        <f t="shared" si="0"/>
        <v>1.58</v>
      </c>
      <c r="E43" s="8">
        <f t="shared" si="0"/>
        <v>2.88</v>
      </c>
      <c r="F43" s="8">
        <f t="shared" si="0"/>
        <v>5.78</v>
      </c>
      <c r="G43" s="8">
        <f t="shared" si="0"/>
        <v>3.48</v>
      </c>
      <c r="H43" s="8">
        <f t="shared" si="0"/>
        <v>6.68</v>
      </c>
      <c r="I43" s="8">
        <f t="shared" si="0"/>
        <v>2.48</v>
      </c>
      <c r="J43" s="8"/>
    </row>
    <row r="44" spans="1:10" ht="19.95" customHeight="1">
      <c r="A44" s="9" t="s">
        <v>41</v>
      </c>
      <c r="B44" s="10">
        <f>B42/B41-1</f>
        <v>0</v>
      </c>
      <c r="C44" s="10">
        <f t="shared" ref="C44:I44" si="1">C42/C41-1</f>
        <v>0</v>
      </c>
      <c r="D44" s="10">
        <f t="shared" si="1"/>
        <v>0</v>
      </c>
      <c r="E44" s="10">
        <f t="shared" si="1"/>
        <v>0</v>
      </c>
      <c r="F44" s="10">
        <f t="shared" si="1"/>
        <v>1.7605633802816989E-2</v>
      </c>
      <c r="G44" s="10">
        <f t="shared" si="1"/>
        <v>2.9585798816567976E-2</v>
      </c>
      <c r="H44" s="10">
        <f t="shared" si="1"/>
        <v>0</v>
      </c>
      <c r="I44" s="10">
        <f t="shared" si="1"/>
        <v>0</v>
      </c>
      <c r="J44" s="10"/>
    </row>
    <row r="45" spans="1:10" ht="25.2" customHeight="1">
      <c r="A45" s="9" t="s">
        <v>42</v>
      </c>
      <c r="B45" s="10">
        <f>B42/B2-1</f>
        <v>1.1124999999999998</v>
      </c>
      <c r="C45" s="10">
        <f t="shared" ref="C45:I45" si="2">C42/C2-1</f>
        <v>0.33333333333333326</v>
      </c>
      <c r="D45" s="10">
        <f t="shared" si="2"/>
        <v>0.58000000000000007</v>
      </c>
      <c r="E45" s="10">
        <f t="shared" si="2"/>
        <v>1.88</v>
      </c>
      <c r="F45" s="10">
        <f t="shared" si="2"/>
        <v>-3.4482758620688614E-3</v>
      </c>
      <c r="G45" s="10">
        <f t="shared" si="2"/>
        <v>-3.3333333333333326E-2</v>
      </c>
      <c r="H45" s="10">
        <f t="shared" si="2"/>
        <v>1.0242424242424244</v>
      </c>
      <c r="I45" s="10">
        <f t="shared" si="2"/>
        <v>-8.1481481481481599E-2</v>
      </c>
      <c r="J45" s="10"/>
    </row>
    <row r="46" spans="1:10"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