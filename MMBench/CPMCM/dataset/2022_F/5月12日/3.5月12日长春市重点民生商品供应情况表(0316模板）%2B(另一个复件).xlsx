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12日\"/>
    </mc:Choice>
  </mc:AlternateContent>
  <xr:revisionPtr revIDLastSave="0" documentId="8_{B9466E4C-A842-4CEC-BBC4-78E58F86A54E}"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<sst xmlns="http://schemas.openxmlformats.org/spreadsheetml/2006/main" count="30" uniqueCount="30">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</sst>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indexed="8"/>
      <name val="宋体"/>
      <charset val="134"/>
    </font>
    <font>
      <b/>
      <sz val="12"/>
      <color indexed="8"/>
      <name val="宋体"/>
      <charset val="134"/>
    </font>
    <font>
      <b/>
      <sz val="18"/>
      <color indexed="8"/>
      <name val="宋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A3" sqref="A3:L3"/>
    </sheetView>
  </sheetViews>
  <sheetFormatPr defaultColWidth="9" defaultRowHeight="14.15" x14ac:dyDescent="0.3"/>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x14ac:dyDescent="0.3">
      <c r="A1" s="3" t="s">
        <v>0</v>
      </c>
    </row>
    <row r="2" spans="1:14" ht="25" customHeight="1" x14ac:dyDescent="0.3">
      <c r="A2" s="9" t="s">
        <v>1</v>
      </c>
      <c r="B2" s="9"/>
      <c r="C2" s="9"/>
      <c r="D2" s="9"/>
      <c r="E2" s="9"/>
      <c r="F2" s="9"/>
      <c r="G2" s="9"/>
      <c r="H2" s="9"/>
      <c r="I2" s="9"/>
      <c r="J2" s="9"/>
      <c r="K2" s="9"/>
      <c r="L2" s="9"/>
    </row>
    <row r="3" spans="1:14" ht="18" customHeight="1" x14ac:dyDescent="0.3">
      <c r="A3" s="10">
        <v>44693</v>
      </c>
      <c r="B3" s="11"/>
      <c r="C3" s="11"/>
      <c r="D3" s="11"/>
      <c r="E3" s="11"/>
      <c r="F3" s="11"/>
      <c r="G3" s="11"/>
      <c r="H3" s="11"/>
      <c r="I3" s="11"/>
      <c r="J3" s="11"/>
      <c r="K3" s="11"/>
      <c r="L3" s="11"/>
    </row>
    <row r="4" spans="1:14" ht="30" customHeight="1" x14ac:dyDescent="0.3">
      <c r="A4" s="17" t="s">
        <v>2</v>
      </c>
      <c r="B4" s="18" t="s">
        <v>3</v>
      </c>
      <c r="C4" s="12" t="s">
        <v>4</v>
      </c>
      <c r="D4" s="13"/>
      <c r="E4" s="13"/>
      <c r="F4" s="13"/>
      <c r="G4" s="13"/>
      <c r="H4" s="14"/>
      <c r="I4" s="18" t="s">
        <v>5</v>
      </c>
      <c r="J4" s="18" t="s">
        <v>6</v>
      </c>
      <c r="K4" s="18" t="s">
        <v>7</v>
      </c>
      <c r="L4" s="19" t="s">
        <v>8</v>
      </c>
    </row>
    <row r="5" spans="1:14" ht="36.75" customHeight="1" x14ac:dyDescent="0.3">
      <c r="A5" s="17"/>
      <c r="B5" s="17"/>
      <c r="C5" s="4" t="s">
        <v>9</v>
      </c>
      <c r="D5" s="5" t="s">
        <v>10</v>
      </c>
      <c r="E5" s="12" t="s">
        <v>11</v>
      </c>
      <c r="F5" s="13"/>
      <c r="G5" s="14"/>
      <c r="H5" s="4" t="s">
        <v>12</v>
      </c>
      <c r="I5" s="18"/>
      <c r="J5" s="17"/>
      <c r="K5" s="17"/>
      <c r="L5" s="20"/>
    </row>
    <row r="6" spans="1:14" ht="104.05" customHeight="1" x14ac:dyDescent="0.3">
      <c r="A6" s="6">
        <v>1</v>
      </c>
      <c r="B6" s="6" t="s">
        <v>13</v>
      </c>
      <c r="C6" s="6">
        <v>16834</v>
      </c>
      <c r="D6" s="6">
        <v>15000</v>
      </c>
      <c r="E6" s="7" t="s">
        <v>14</v>
      </c>
      <c r="F6" s="7" t="s">
        <v>15</v>
      </c>
      <c r="G6" s="7"/>
      <c r="H6" s="8" t="s">
        <v>16</v>
      </c>
      <c r="I6" s="6">
        <v>166</v>
      </c>
      <c r="J6" s="6">
        <v>326</v>
      </c>
      <c r="K6" s="6">
        <f>ROUND(C6/N6,0)</f>
        <v>12</v>
      </c>
      <c r="L6" s="6">
        <v>15</v>
      </c>
      <c r="N6" s="1">
        <v>1462</v>
      </c>
    </row>
    <row r="7" spans="1:14" ht="42" customHeight="1" x14ac:dyDescent="0.3">
      <c r="A7" s="6">
        <v>2</v>
      </c>
      <c r="B7" s="6" t="s">
        <v>17</v>
      </c>
      <c r="C7" s="6">
        <v>2886</v>
      </c>
      <c r="D7" s="6">
        <v>1800</v>
      </c>
      <c r="E7" s="7"/>
      <c r="F7" s="7" t="s">
        <v>18</v>
      </c>
      <c r="G7" s="7"/>
      <c r="H7" s="8" t="s">
        <v>19</v>
      </c>
      <c r="I7" s="6">
        <v>61</v>
      </c>
      <c r="J7" s="6">
        <v>56</v>
      </c>
      <c r="K7" s="6">
        <f>ROUND(C7/N7,0)</f>
        <v>21</v>
      </c>
      <c r="L7" s="6">
        <v>15</v>
      </c>
      <c r="N7" s="1">
        <v>135</v>
      </c>
    </row>
    <row r="8" spans="1:14" ht="45" customHeight="1" x14ac:dyDescent="0.3">
      <c r="A8" s="6">
        <v>3</v>
      </c>
      <c r="B8" s="6" t="s">
        <v>20</v>
      </c>
      <c r="C8" s="6">
        <v>5589</v>
      </c>
      <c r="D8" s="6">
        <v>2000</v>
      </c>
      <c r="E8" s="7" t="s">
        <v>21</v>
      </c>
      <c r="F8" s="7" t="s">
        <v>22</v>
      </c>
      <c r="G8" s="7" t="s">
        <v>23</v>
      </c>
      <c r="H8" s="8" t="s">
        <v>24</v>
      </c>
      <c r="I8" s="6">
        <v>210</v>
      </c>
      <c r="J8" s="6">
        <v>215</v>
      </c>
      <c r="K8" s="6">
        <f>ROUND(C8/N8,0)</f>
        <v>11</v>
      </c>
      <c r="L8" s="6">
        <v>3</v>
      </c>
      <c r="N8" s="1">
        <v>518</v>
      </c>
    </row>
    <row r="9" spans="1:14" ht="39" customHeight="1" x14ac:dyDescent="0.3">
      <c r="A9" s="6">
        <v>4</v>
      </c>
      <c r="B9" s="6" t="s">
        <v>25</v>
      </c>
      <c r="C9" s="6">
        <v>1292</v>
      </c>
      <c r="D9" s="7" t="s">
        <v>26</v>
      </c>
      <c r="E9" s="7"/>
      <c r="F9" s="7" t="s">
        <v>27</v>
      </c>
      <c r="G9" s="7" t="s">
        <v>28</v>
      </c>
      <c r="H9" s="8"/>
      <c r="I9" s="6">
        <v>359</v>
      </c>
      <c r="J9" s="6">
        <v>446</v>
      </c>
      <c r="K9" s="6">
        <v>1</v>
      </c>
      <c r="L9" s="6">
        <v>7</v>
      </c>
      <c r="N9" s="1">
        <v>1800</v>
      </c>
    </row>
    <row r="10" spans="1:14" ht="62.05" customHeight="1" x14ac:dyDescent="0.3">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2022-03-31T16:13:00Z</cp:lastPrinted>
  <dcterms:created xsi:type="dcterms:W3CDTF">2022-03-16T21:08:27Z</dcterms:created>
  <dcterms:modified xsi:type="dcterms:W3CDTF">2025-03-30T13:27:01Z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