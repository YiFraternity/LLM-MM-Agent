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5日\"/>
    </mc:Choice>
  </mc:AlternateContent>
  <xr:revisionPtr revIDLastSave="0" documentId="8_{6D36EDA4-B6B5-4514-8D94-74FFB4D50E02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E4" i="3"/>
  <c r="H4" i="3"/>
  <c r="F5" i="3"/>
  <c r="F4" i="3" s="1"/>
  <c r="F6" i="3"/>
  <c r="D7" i="3"/>
  <c r="D4" i="3" s="1"/>
  <c r="F7" i="3"/>
  <c r="I7" i="3"/>
  <c r="I4" i="3" s="1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<sst xmlns="http://schemas.openxmlformats.org/spreadsheetml/2006/main" count="34" uniqueCount="23">
  <si>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5日蔬菜包（箱）发放表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</si>
  <si>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</si>
  <si>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</si>
  <si>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3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</si>
  <si>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5日实际发放量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</si>
  <si>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</si>
  <si>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4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</si>
  <si>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</si>
  <si>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</si>
  <si>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</si>
  <si>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</si>
  <si>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</si>
  <si>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</si>
  <si>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</si>
  <si>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宽城区正常提报需求5000箱，23日晚宽城区临时申请25日增加至16000箱；财政局24日临时申请25日团山街道6000箱。教育局25日上午临时申请25日兴业街道300箱。</t>
  </si>
  <si>
    <t>二道</t>
  </si>
  <si>
    <t>绿园</t>
  </si>
  <si>
    <t>新区</t>
  </si>
  <si>
    <t>经开</t>
  </si>
  <si>
    <t>净月</t>
  </si>
  <si>
    <t>汽开</t>
  </si>
  <si>
    <t>制表时间：4月25日17时</t>
  </si>
  <si>
    <r>
      <t xml:space="preserve">    注：25日到货25874箱232.87吨，发放给各区22704</t>
    </r>
    <r>
      <rPr>
        <sz val="11"/>
        <rFont val="宋体"/>
        <charset val="134"/>
      </rPr>
      <t>箱</t>
    </r>
    <r>
      <rPr>
        <sz val="11"/>
        <rFont val="宋体"/>
        <charset val="134"/>
      </rPr>
      <t>204.34</t>
    </r>
    <r>
      <rPr>
        <sz val="11"/>
        <rFont val="宋体"/>
        <charset val="134"/>
      </rPr>
      <t>吨（其中，从公主岭库存中调取</t>
    </r>
    <r>
      <rPr>
        <sz val="11"/>
        <rFont val="宋体"/>
        <charset val="134"/>
      </rPr>
      <t>83</t>
    </r>
    <r>
      <rPr>
        <sz val="11"/>
        <rFont val="宋体"/>
        <charset val="134"/>
      </rPr>
      <t>00箱</t>
    </r>
    <r>
      <rPr>
        <sz val="11"/>
        <rFont val="宋体"/>
        <charset val="134"/>
      </rPr>
      <t>74.7吨</t>
    </r>
    <r>
      <rPr>
        <sz val="11"/>
        <rFont val="宋体"/>
        <charset val="134"/>
      </rPr>
      <t>），截止2</t>
    </r>
    <r>
      <rPr>
        <sz val="11"/>
        <rFont val="宋体"/>
        <charset val="134"/>
      </rPr>
      <t>5</t>
    </r>
    <r>
      <rPr>
        <sz val="11"/>
        <rFont val="宋体"/>
        <charset val="134"/>
      </rPr>
      <t>日库存</t>
    </r>
    <r>
      <rPr>
        <sz val="11"/>
        <rFont val="宋体"/>
        <charset val="134"/>
      </rPr>
      <t>24711</t>
    </r>
    <r>
      <rPr>
        <sz val="11"/>
        <rFont val="宋体"/>
        <charset val="134"/>
      </rPr>
      <t>箱</t>
    </r>
    <r>
      <rPr>
        <sz val="11"/>
        <rFont val="宋体"/>
        <charset val="134"/>
      </rPr>
      <t>222.4</t>
    </r>
    <r>
      <rPr>
        <sz val="11"/>
        <rFont val="宋体"/>
        <charset val="134"/>
      </rPr>
      <t>吨。（根据进货及库存情况，向宽城区发放</t>
    </r>
    <r>
      <rPr>
        <sz val="11"/>
        <rFont val="宋体"/>
        <charset val="134"/>
      </rPr>
      <t>15883</t>
    </r>
    <r>
      <rPr>
        <sz val="11"/>
        <rFont val="宋体"/>
        <charset val="134"/>
      </rPr>
      <t>箱，向财政包保的宽城团山街道发放</t>
    </r>
    <r>
      <rPr>
        <sz val="11"/>
        <rFont val="宋体"/>
        <charset val="134"/>
      </rPr>
      <t>6521</t>
    </r>
    <r>
      <rPr>
        <sz val="11"/>
        <rFont val="宋体"/>
        <charset val="134"/>
      </rPr>
      <t>箱，向兴业街道发放</t>
    </r>
    <r>
      <rPr>
        <sz val="11"/>
        <rFont val="宋体"/>
        <charset val="134"/>
      </rPr>
      <t>300箱</t>
    </r>
    <r>
      <rPr>
        <sz val="11"/>
        <rFont val="宋体"/>
        <charset val="134"/>
      </rPr>
      <t>。）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</si>
</sst>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0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>
      <alignment vertical="center"/>
    </xf>
    <xf numFmtId="49" fontId="7" fillId="3" borderId="4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right" vertical="center" indent="1"/>
    </xf>
    <xf numFmtId="49" fontId="7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178" fontId="6" fillId="0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right" vertical="center" indent="1"/>
    </xf>
    <xf numFmtId="177" fontId="6" fillId="3" borderId="4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179" fontId="6" fillId="5" borderId="4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right" vertical="center" indent="1"/>
    </xf>
    <xf numFmtId="178" fontId="6" fillId="4" borderId="4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horizontal="right" vertical="center" indent="1"/>
    </xf>
    <xf numFmtId="0" fontId="6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6" fillId="4" borderId="6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178" fontId="6" fillId="5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right" vertical="center" indent="1"/>
    </xf>
    <xf numFmtId="0" fontId="0" fillId="0" borderId="0" xfId="0" applyFont="1">
      <alignment vertical="center"/>
    </xf>
    <xf numFmtId="178" fontId="6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6" zoomScaleSheetLayoutView="100" workbookViewId="0">
      <selection activeCell="D25" sqref="D25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10" ht="27" customHeight="1" x14ac:dyDescent="0.3">
      <c r="A2" s="44" t="s">
        <v>1</v>
      </c>
      <c r="B2" s="46" t="s">
        <v>2</v>
      </c>
      <c r="C2" s="41" t="s">
        <v>3</v>
      </c>
      <c r="D2" s="41"/>
      <c r="E2" s="41" t="s">
        <v>4</v>
      </c>
      <c r="F2" s="41"/>
      <c r="G2" s="48" t="s">
        <v>5</v>
      </c>
      <c r="H2" s="41" t="s">
        <v>6</v>
      </c>
      <c r="I2" s="42"/>
    </row>
    <row r="3" spans="1:10" ht="27" customHeight="1" x14ac:dyDescent="0.3">
      <c r="A3" s="45"/>
      <c r="B3" s="47"/>
      <c r="C3" s="1" t="s">
        <v>7</v>
      </c>
      <c r="D3" s="1" t="s">
        <v>8</v>
      </c>
      <c r="E3" s="1" t="s">
        <v>7</v>
      </c>
      <c r="F3" s="1" t="s">
        <v>8</v>
      </c>
      <c r="G3" s="49"/>
      <c r="H3" s="1" t="s">
        <v>7</v>
      </c>
      <c r="I3" s="34" t="s">
        <v>8</v>
      </c>
    </row>
    <row r="4" spans="1:10" ht="28" customHeight="1" x14ac:dyDescent="0.3">
      <c r="A4" s="2"/>
      <c r="B4" s="3" t="s">
        <v>9</v>
      </c>
      <c r="C4" s="4">
        <f>SUM(C5:C13)</f>
        <v>5000</v>
      </c>
      <c r="D4" s="5">
        <f>SUM(D5:D13)</f>
        <v>45</v>
      </c>
      <c r="E4" s="20">
        <f>SUM(E5:E13)</f>
        <v>22704</v>
      </c>
      <c r="F4" s="21">
        <f>SUM(F5:F13)</f>
        <v>204.33600000000001</v>
      </c>
      <c r="G4" s="22"/>
      <c r="H4" s="23">
        <f>SUM(H5:H13)</f>
        <v>10000</v>
      </c>
      <c r="I4" s="35">
        <f>SUM(I5:I13)</f>
        <v>90</v>
      </c>
    </row>
    <row r="5" spans="1:10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4">
        <v>0</v>
      </c>
      <c r="F5" s="25">
        <f t="shared" ref="F5:F13" si="0">E5*18/2000</f>
        <v>0</v>
      </c>
      <c r="G5" s="26" t="s">
        <v>11</v>
      </c>
      <c r="H5" s="8">
        <v>0</v>
      </c>
      <c r="I5" s="36">
        <v>0</v>
      </c>
    </row>
    <row r="6" spans="1:10" ht="28" customHeight="1" x14ac:dyDescent="0.3">
      <c r="A6" s="6">
        <v>2</v>
      </c>
      <c r="B6" s="7" t="s">
        <v>12</v>
      </c>
      <c r="C6" s="8">
        <v>0</v>
      </c>
      <c r="D6" s="9">
        <v>0</v>
      </c>
      <c r="E6" s="27">
        <v>0</v>
      </c>
      <c r="F6" s="25">
        <f t="shared" si="0"/>
        <v>0</v>
      </c>
      <c r="G6" s="26" t="s">
        <v>11</v>
      </c>
      <c r="H6" s="8">
        <v>0</v>
      </c>
      <c r="I6" s="36">
        <v>0</v>
      </c>
    </row>
    <row r="7" spans="1:10" ht="130.5" customHeight="1" x14ac:dyDescent="0.3">
      <c r="A7" s="6">
        <v>3</v>
      </c>
      <c r="B7" s="7" t="s">
        <v>13</v>
      </c>
      <c r="C7" s="8">
        <v>5000</v>
      </c>
      <c r="D7" s="10">
        <f>C7*18/2000</f>
        <v>45</v>
      </c>
      <c r="E7" s="27">
        <v>22704</v>
      </c>
      <c r="F7" s="25">
        <f t="shared" si="0"/>
        <v>204.33600000000001</v>
      </c>
      <c r="G7" s="28" t="s">
        <v>14</v>
      </c>
      <c r="H7" s="8">
        <v>10000</v>
      </c>
      <c r="I7" s="37">
        <f>H7*18/2000</f>
        <v>90</v>
      </c>
      <c r="J7" s="38"/>
    </row>
    <row r="8" spans="1:10" ht="28" customHeight="1" x14ac:dyDescent="0.3">
      <c r="A8" s="6">
        <v>4</v>
      </c>
      <c r="B8" s="7" t="s">
        <v>15</v>
      </c>
      <c r="C8" s="8">
        <v>0</v>
      </c>
      <c r="D8" s="9">
        <v>0</v>
      </c>
      <c r="E8" s="27">
        <v>0</v>
      </c>
      <c r="F8" s="25">
        <f t="shared" si="0"/>
        <v>0</v>
      </c>
      <c r="G8" s="26" t="s">
        <v>11</v>
      </c>
      <c r="H8" s="8">
        <v>0</v>
      </c>
      <c r="I8" s="36">
        <v>0</v>
      </c>
    </row>
    <row r="9" spans="1:10" ht="28" customHeight="1" x14ac:dyDescent="0.3">
      <c r="A9" s="6">
        <v>5</v>
      </c>
      <c r="B9" s="11" t="s">
        <v>16</v>
      </c>
      <c r="C9" s="8">
        <v>0</v>
      </c>
      <c r="D9" s="9">
        <v>0</v>
      </c>
      <c r="E9" s="27">
        <v>0</v>
      </c>
      <c r="F9" s="25">
        <f t="shared" si="0"/>
        <v>0</v>
      </c>
      <c r="G9" s="26" t="s">
        <v>11</v>
      </c>
      <c r="H9" s="8">
        <v>0</v>
      </c>
      <c r="I9" s="36">
        <v>0</v>
      </c>
    </row>
    <row r="10" spans="1:10" ht="28" customHeight="1" x14ac:dyDescent="0.3">
      <c r="A10" s="6">
        <v>6</v>
      </c>
      <c r="B10" s="11" t="s">
        <v>17</v>
      </c>
      <c r="C10" s="8">
        <v>0</v>
      </c>
      <c r="D10" s="9">
        <v>0</v>
      </c>
      <c r="E10" s="29">
        <v>0</v>
      </c>
      <c r="F10" s="25">
        <f t="shared" si="0"/>
        <v>0</v>
      </c>
      <c r="G10" s="26" t="s">
        <v>11</v>
      </c>
      <c r="H10" s="8">
        <v>0</v>
      </c>
      <c r="I10" s="36">
        <v>0</v>
      </c>
    </row>
    <row r="11" spans="1:10" ht="28" customHeight="1" x14ac:dyDescent="0.3">
      <c r="A11" s="6">
        <v>7</v>
      </c>
      <c r="B11" s="11" t="s">
        <v>18</v>
      </c>
      <c r="C11" s="8">
        <v>0</v>
      </c>
      <c r="D11" s="9">
        <v>0</v>
      </c>
      <c r="E11" s="29">
        <v>0</v>
      </c>
      <c r="F11" s="25">
        <f t="shared" si="0"/>
        <v>0</v>
      </c>
      <c r="G11" s="26" t="s">
        <v>11</v>
      </c>
      <c r="H11" s="8">
        <v>0</v>
      </c>
      <c r="I11" s="36">
        <v>0</v>
      </c>
    </row>
    <row r="12" spans="1:10" ht="28" customHeight="1" x14ac:dyDescent="0.3">
      <c r="A12" s="6">
        <v>8</v>
      </c>
      <c r="B12" s="11" t="s">
        <v>19</v>
      </c>
      <c r="C12" s="8">
        <v>0</v>
      </c>
      <c r="D12" s="9">
        <v>0</v>
      </c>
      <c r="E12" s="29">
        <v>0</v>
      </c>
      <c r="F12" s="25">
        <f t="shared" si="0"/>
        <v>0</v>
      </c>
      <c r="G12" s="26" t="s">
        <v>11</v>
      </c>
      <c r="H12" s="8">
        <v>0</v>
      </c>
      <c r="I12" s="36">
        <v>0</v>
      </c>
    </row>
    <row r="13" spans="1:10" ht="28" customHeight="1" x14ac:dyDescent="0.3">
      <c r="A13" s="12">
        <v>9</v>
      </c>
      <c r="B13" s="13" t="s">
        <v>20</v>
      </c>
      <c r="C13" s="14">
        <v>0</v>
      </c>
      <c r="D13" s="15">
        <v>0</v>
      </c>
      <c r="E13" s="30">
        <v>0</v>
      </c>
      <c r="F13" s="31">
        <f t="shared" si="0"/>
        <v>0</v>
      </c>
      <c r="G13" s="32" t="s">
        <v>11</v>
      </c>
      <c r="H13" s="14">
        <v>0</v>
      </c>
      <c r="I13" s="39">
        <v>0</v>
      </c>
    </row>
    <row r="14" spans="1:10" ht="25.5" customHeight="1" x14ac:dyDescent="0.3">
      <c r="A14" s="16"/>
      <c r="B14" s="17"/>
      <c r="C14" s="18"/>
      <c r="D14" s="19"/>
      <c r="E14" s="33"/>
      <c r="F14" s="19"/>
      <c r="G14" s="43" t="s">
        <v>21</v>
      </c>
      <c r="H14" s="43"/>
      <c r="I14" s="43"/>
    </row>
    <row r="15" spans="1:10" ht="23.25" customHeight="1" x14ac:dyDescent="0.3">
      <c r="A15" s="50" t="s">
        <v>22</v>
      </c>
      <c r="B15" s="50"/>
      <c r="C15" s="50"/>
      <c r="D15" s="50"/>
      <c r="E15" s="50"/>
      <c r="F15" s="50"/>
      <c r="G15" s="50"/>
      <c r="H15" s="50"/>
      <c r="I15" s="50"/>
    </row>
    <row r="16" spans="1:10" ht="11.15" customHeight="1" x14ac:dyDescent="0.3">
      <c r="A16" s="50"/>
      <c r="B16" s="50"/>
      <c r="C16" s="50"/>
      <c r="D16" s="50"/>
      <c r="E16" s="50"/>
      <c r="F16" s="50"/>
      <c r="G16" s="50"/>
      <c r="H16" s="50"/>
      <c r="I16" s="50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9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2052-11.8.2.9864</vt:lpwstr>
  </property>
</Properties>
</file>