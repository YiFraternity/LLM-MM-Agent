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5日\"/>
    </mc:Choice>
  </mc:AlternateContent>
  <xr:revisionPtr revIDLastSave="0" documentId="8_{3CB66469-B1A8-4405-BB0B-2AF06E5F00CB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F23" i="1" s="1"/>
  <c r="E23" i="1"/>
  <c r="G23" i="1"/>
  <c r="H23" i="1"/>
  <c r="J23" i="1" s="1"/>
  <c r="I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<sst xmlns="http://schemas.openxmlformats.org/spreadsheetml/2006/main" count="41" uniqueCount="35">
  <si>
    <t>附件1</t>
  </si>
  <si>
    <t>全市商贸企业复商复市情况统计表（4月25日）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</si>
  <si>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</si>
  <si>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</si>
  <si>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</si>
  <si>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</si>
  <si>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</si>
  <si>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</si>
  <si>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</si>
  <si>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</si>
  <si>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</si>
  <si>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4.25日复市</t>
  </si>
  <si>
    <t>比昨日新增</t>
  </si>
  <si>
    <t>复市率</t>
  </si>
  <si>
    <t>总人数</t>
  </si>
  <si>
    <t>4.25日在岗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</si>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</sst>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80" zoomScaleSheetLayoutView="100" workbookViewId="0">
      <selection activeCell="H11" sqref="H11"/>
    </sheetView>
  </sheetViews>
  <sheetFormatPr defaultColWidth="9" defaultRowHeight="14.15"/>
  <cols>
    <col min="1" max="1" width="5.35546875" style="6" customWidth="1"/>
    <col min="2" max="2" width="14" style="7" customWidth="1"/>
    <col min="3" max="3" width="12.7109375" style="7" customWidth="1"/>
    <col min="4" max="4" width="13.7109375" style="7" customWidth="1"/>
    <col min="5" max="5" width="14.35546875" style="8" customWidth="1"/>
    <col min="6" max="6" width="12.7109375" style="8" customWidth="1"/>
    <col min="7" max="7" width="12.7109375" style="7" customWidth="1"/>
    <col min="8" max="8" width="13.7109375" style="7" customWidth="1"/>
    <col min="9" max="9" width="14.2109375" style="8" customWidth="1"/>
    <col min="10" max="10" width="12.7109375" style="8" customWidth="1"/>
    <col min="11" max="14" width="15.7109375" style="7" customWidth="1"/>
    <col min="15" max="15" width="11.5703125" style="7" customWidth="1"/>
    <col min="16" max="16384" width="9" style="7"/>
  </cols>
  <sheetData>
    <row r="1" spans="1:15" ht="18">
      <c r="A1" s="9" t="s">
        <v>0</v>
      </c>
    </row>
    <row r="2" spans="1:15" ht="44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34" customHeight="1">
      <c r="A3" s="40" t="s">
        <v>2</v>
      </c>
      <c r="B3" s="41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2" t="s">
        <v>6</v>
      </c>
    </row>
    <row r="4" spans="1:15" s="1" customFormat="1" ht="37" customHeight="1">
      <c r="A4" s="40"/>
      <c r="B4" s="41"/>
      <c r="C4" s="33" t="s">
        <v>7</v>
      </c>
      <c r="D4" s="34"/>
      <c r="E4" s="35"/>
      <c r="F4" s="36"/>
      <c r="G4" s="37" t="s">
        <v>8</v>
      </c>
      <c r="H4" s="35"/>
      <c r="I4" s="35"/>
      <c r="J4" s="36"/>
      <c r="K4" s="38" t="s">
        <v>9</v>
      </c>
      <c r="L4" s="39"/>
      <c r="M4" s="38" t="s">
        <v>8</v>
      </c>
      <c r="N4" s="39"/>
      <c r="O4" s="43"/>
    </row>
    <row r="5" spans="1:15" s="2" customFormat="1" ht="34" customHeight="1">
      <c r="A5" s="40"/>
      <c r="B5" s="41"/>
      <c r="C5" s="10" t="s">
        <v>10</v>
      </c>
      <c r="D5" s="10" t="s">
        <v>11</v>
      </c>
      <c r="E5" s="15" t="s">
        <v>12</v>
      </c>
      <c r="F5" s="10" t="s">
        <v>13</v>
      </c>
      <c r="G5" s="10" t="s">
        <v>14</v>
      </c>
      <c r="H5" s="10" t="s">
        <v>15</v>
      </c>
      <c r="I5" s="15" t="s">
        <v>12</v>
      </c>
      <c r="J5" s="10" t="s">
        <v>16</v>
      </c>
      <c r="K5" s="10" t="s">
        <v>11</v>
      </c>
      <c r="L5" s="15" t="s">
        <v>12</v>
      </c>
      <c r="M5" s="10" t="s">
        <v>15</v>
      </c>
      <c r="N5" s="10" t="s">
        <v>12</v>
      </c>
      <c r="O5" s="44"/>
    </row>
    <row r="6" spans="1:15" s="3" customFormat="1" ht="30" customHeight="1">
      <c r="A6" s="11">
        <v>1</v>
      </c>
      <c r="B6" s="11" t="s">
        <v>17</v>
      </c>
      <c r="C6" s="12">
        <v>194</v>
      </c>
      <c r="D6" s="13">
        <v>29</v>
      </c>
      <c r="E6" s="16">
        <v>0</v>
      </c>
      <c r="F6" s="17">
        <f>D6/C6</f>
        <v>0.14948453608247422</v>
      </c>
      <c r="G6" s="12">
        <v>12899</v>
      </c>
      <c r="H6" s="12">
        <v>2115</v>
      </c>
      <c r="I6" s="18">
        <v>0</v>
      </c>
      <c r="J6" s="17">
        <f>H6/G6</f>
        <v>0.16396619893014963</v>
      </c>
      <c r="K6" s="12">
        <v>781</v>
      </c>
      <c r="L6" s="19">
        <v>146</v>
      </c>
      <c r="M6" s="14">
        <v>4450</v>
      </c>
      <c r="N6" s="18">
        <v>338</v>
      </c>
      <c r="O6" s="23"/>
    </row>
    <row r="7" spans="1:15" s="3" customFormat="1" ht="30" customHeight="1">
      <c r="A7" s="11">
        <v>2</v>
      </c>
      <c r="B7" s="11" t="s">
        <v>18</v>
      </c>
      <c r="C7" s="14">
        <v>170</v>
      </c>
      <c r="D7" s="13">
        <v>34</v>
      </c>
      <c r="E7" s="16">
        <v>0</v>
      </c>
      <c r="F7" s="17">
        <f t="shared" ref="F7:F23" si="0">D7/C7</f>
        <v>0.2</v>
      </c>
      <c r="G7" s="14">
        <v>17189</v>
      </c>
      <c r="H7" s="14">
        <v>3820</v>
      </c>
      <c r="I7" s="18">
        <v>0</v>
      </c>
      <c r="J7" s="17">
        <f t="shared" ref="J7:J23" si="1">H7/G7</f>
        <v>0.22223515038687533</v>
      </c>
      <c r="K7" s="20">
        <v>900</v>
      </c>
      <c r="L7" s="21">
        <v>0</v>
      </c>
      <c r="M7" s="22">
        <v>7054</v>
      </c>
      <c r="N7" s="24">
        <v>-51</v>
      </c>
      <c r="O7" s="25"/>
    </row>
    <row r="8" spans="1:15" s="3" customFormat="1" ht="30" customHeight="1">
      <c r="A8" s="11">
        <v>3</v>
      </c>
      <c r="B8" s="11" t="s">
        <v>19</v>
      </c>
      <c r="C8" s="14">
        <v>106</v>
      </c>
      <c r="D8" s="13">
        <v>27</v>
      </c>
      <c r="E8" s="16">
        <v>0</v>
      </c>
      <c r="F8" s="17">
        <f t="shared" si="0"/>
        <v>0.25471698113207547</v>
      </c>
      <c r="G8" s="14">
        <v>9766</v>
      </c>
      <c r="H8" s="14">
        <v>1536</v>
      </c>
      <c r="I8" s="18">
        <v>0</v>
      </c>
      <c r="J8" s="17">
        <f t="shared" si="1"/>
        <v>0.15728036043415933</v>
      </c>
      <c r="K8" s="22">
        <v>616</v>
      </c>
      <c r="L8" s="21">
        <v>97</v>
      </c>
      <c r="M8" s="22">
        <v>2955</v>
      </c>
      <c r="N8" s="24">
        <v>302</v>
      </c>
      <c r="O8" s="25"/>
    </row>
    <row r="9" spans="1:15" s="3" customFormat="1" ht="30" customHeight="1">
      <c r="A9" s="11">
        <v>4</v>
      </c>
      <c r="B9" s="11" t="s">
        <v>20</v>
      </c>
      <c r="C9" s="14">
        <v>140</v>
      </c>
      <c r="D9" s="13">
        <v>20</v>
      </c>
      <c r="E9" s="16">
        <v>0</v>
      </c>
      <c r="F9" s="17">
        <f t="shared" si="0"/>
        <v>0.14285714285714285</v>
      </c>
      <c r="G9" s="14">
        <v>7932</v>
      </c>
      <c r="H9" s="14">
        <v>1385</v>
      </c>
      <c r="I9" s="18">
        <v>0</v>
      </c>
      <c r="J9" s="17">
        <f t="shared" si="1"/>
        <v>0.17460917801311146</v>
      </c>
      <c r="K9" s="22">
        <v>651</v>
      </c>
      <c r="L9" s="21">
        <v>-91</v>
      </c>
      <c r="M9" s="22">
        <v>3229</v>
      </c>
      <c r="N9" s="24">
        <v>-1397</v>
      </c>
      <c r="O9" s="26"/>
    </row>
    <row r="10" spans="1:15" s="3" customFormat="1" ht="30" customHeight="1">
      <c r="A10" s="11">
        <v>5</v>
      </c>
      <c r="B10" s="11" t="s">
        <v>21</v>
      </c>
      <c r="C10" s="14">
        <v>131</v>
      </c>
      <c r="D10" s="13">
        <v>23</v>
      </c>
      <c r="E10" s="16">
        <v>1</v>
      </c>
      <c r="F10" s="17">
        <f t="shared" si="0"/>
        <v>0.17557251908396945</v>
      </c>
      <c r="G10" s="14">
        <v>4762</v>
      </c>
      <c r="H10" s="14">
        <v>1995</v>
      </c>
      <c r="I10" s="18">
        <v>4</v>
      </c>
      <c r="J10" s="17">
        <f t="shared" si="1"/>
        <v>0.41894162116757666</v>
      </c>
      <c r="K10" s="22">
        <v>703</v>
      </c>
      <c r="L10" s="21">
        <v>0</v>
      </c>
      <c r="M10" s="22">
        <v>2625</v>
      </c>
      <c r="N10" s="24">
        <v>0</v>
      </c>
      <c r="O10" s="26"/>
    </row>
    <row r="11" spans="1:15" s="3" customFormat="1" ht="30" customHeight="1">
      <c r="A11" s="11">
        <v>6</v>
      </c>
      <c r="B11" s="11" t="s">
        <v>22</v>
      </c>
      <c r="C11" s="14">
        <v>140</v>
      </c>
      <c r="D11" s="13">
        <v>18</v>
      </c>
      <c r="E11" s="16">
        <v>0</v>
      </c>
      <c r="F11" s="17">
        <f t="shared" si="0"/>
        <v>0.12857142857142856</v>
      </c>
      <c r="G11" s="14">
        <v>5600</v>
      </c>
      <c r="H11" s="14">
        <v>947</v>
      </c>
      <c r="I11" s="18">
        <v>0</v>
      </c>
      <c r="J11" s="17">
        <f t="shared" si="1"/>
        <v>0.16910714285714284</v>
      </c>
      <c r="K11" s="22">
        <v>359</v>
      </c>
      <c r="L11" s="21">
        <v>0</v>
      </c>
      <c r="M11" s="22">
        <v>1293</v>
      </c>
      <c r="N11" s="24">
        <v>0</v>
      </c>
      <c r="O11" s="26"/>
    </row>
    <row r="12" spans="1:15" s="4" customFormat="1" ht="30" customHeight="1">
      <c r="A12" s="11">
        <v>7</v>
      </c>
      <c r="B12" s="11" t="s">
        <v>23</v>
      </c>
      <c r="C12" s="14">
        <v>135</v>
      </c>
      <c r="D12" s="13">
        <v>18</v>
      </c>
      <c r="E12" s="16">
        <v>0</v>
      </c>
      <c r="F12" s="17">
        <f t="shared" si="0"/>
        <v>0.13333333333333333</v>
      </c>
      <c r="G12" s="14">
        <v>8515</v>
      </c>
      <c r="H12" s="14">
        <v>759</v>
      </c>
      <c r="I12" s="18">
        <v>0</v>
      </c>
      <c r="J12" s="17">
        <f t="shared" si="1"/>
        <v>8.9136817381092193E-2</v>
      </c>
      <c r="K12" s="22">
        <v>500</v>
      </c>
      <c r="L12" s="21">
        <v>0</v>
      </c>
      <c r="M12" s="22">
        <v>1100</v>
      </c>
      <c r="N12" s="24">
        <v>0</v>
      </c>
      <c r="O12" s="26"/>
    </row>
    <row r="13" spans="1:15" s="3" customFormat="1" ht="30" customHeight="1">
      <c r="A13" s="11">
        <v>8</v>
      </c>
      <c r="B13" s="11" t="s">
        <v>24</v>
      </c>
      <c r="C13" s="14">
        <v>157</v>
      </c>
      <c r="D13" s="13">
        <v>16</v>
      </c>
      <c r="E13" s="16">
        <v>0</v>
      </c>
      <c r="F13" s="17">
        <f t="shared" si="0"/>
        <v>0.10191082802547771</v>
      </c>
      <c r="G13" s="14">
        <v>5806</v>
      </c>
      <c r="H13" s="14">
        <v>333</v>
      </c>
      <c r="I13" s="18">
        <v>0</v>
      </c>
      <c r="J13" s="17">
        <f t="shared" si="1"/>
        <v>5.7354460902514642E-2</v>
      </c>
      <c r="K13" s="22">
        <v>233</v>
      </c>
      <c r="L13" s="21">
        <v>0</v>
      </c>
      <c r="M13" s="22">
        <v>1512</v>
      </c>
      <c r="N13" s="24">
        <v>0</v>
      </c>
      <c r="O13" s="26"/>
    </row>
    <row r="14" spans="1:15" s="3" customFormat="1" ht="30" customHeight="1">
      <c r="A14" s="11">
        <v>9</v>
      </c>
      <c r="B14" s="11" t="s">
        <v>25</v>
      </c>
      <c r="C14" s="14">
        <v>131</v>
      </c>
      <c r="D14" s="13">
        <v>15</v>
      </c>
      <c r="E14" s="16">
        <v>0</v>
      </c>
      <c r="F14" s="17">
        <f t="shared" si="0"/>
        <v>0.11450381679389313</v>
      </c>
      <c r="G14" s="14">
        <v>2379</v>
      </c>
      <c r="H14" s="14">
        <v>816</v>
      </c>
      <c r="I14" s="18">
        <v>0</v>
      </c>
      <c r="J14" s="17">
        <f t="shared" si="1"/>
        <v>0.34300126103404793</v>
      </c>
      <c r="K14" s="22">
        <v>329</v>
      </c>
      <c r="L14" s="21">
        <v>0</v>
      </c>
      <c r="M14" s="22">
        <v>3691</v>
      </c>
      <c r="N14" s="24">
        <v>0</v>
      </c>
      <c r="O14" s="26"/>
    </row>
    <row r="15" spans="1:15" s="3" customFormat="1" ht="30" customHeight="1">
      <c r="A15" s="11">
        <v>10</v>
      </c>
      <c r="B15" s="11" t="s">
        <v>26</v>
      </c>
      <c r="C15" s="14">
        <v>6</v>
      </c>
      <c r="D15" s="13">
        <v>5</v>
      </c>
      <c r="E15" s="16">
        <v>0</v>
      </c>
      <c r="F15" s="17">
        <f t="shared" si="0"/>
        <v>0.83333333333333337</v>
      </c>
      <c r="G15" s="14">
        <v>1381</v>
      </c>
      <c r="H15" s="14">
        <v>1068</v>
      </c>
      <c r="I15" s="18">
        <v>13</v>
      </c>
      <c r="J15" s="17">
        <f t="shared" si="1"/>
        <v>0.77335264301230988</v>
      </c>
      <c r="K15" s="22">
        <v>13</v>
      </c>
      <c r="L15" s="21">
        <v>0</v>
      </c>
      <c r="M15" s="22">
        <v>48</v>
      </c>
      <c r="N15" s="24">
        <v>0</v>
      </c>
      <c r="O15" s="27"/>
    </row>
    <row r="16" spans="1:15" s="3" customFormat="1" ht="30" customHeight="1">
      <c r="A16" s="11">
        <v>11</v>
      </c>
      <c r="B16" s="11" t="s">
        <v>27</v>
      </c>
      <c r="C16" s="14">
        <v>6</v>
      </c>
      <c r="D16" s="13">
        <v>0</v>
      </c>
      <c r="E16" s="16">
        <v>0</v>
      </c>
      <c r="F16" s="17">
        <f t="shared" si="0"/>
        <v>0</v>
      </c>
      <c r="G16" s="14">
        <v>77</v>
      </c>
      <c r="H16" s="14">
        <v>0</v>
      </c>
      <c r="I16" s="18">
        <v>0</v>
      </c>
      <c r="J16" s="17">
        <f t="shared" si="1"/>
        <v>0</v>
      </c>
      <c r="K16" s="22">
        <v>47</v>
      </c>
      <c r="L16" s="21">
        <v>0</v>
      </c>
      <c r="M16" s="22">
        <v>244</v>
      </c>
      <c r="N16" s="24">
        <v>-1</v>
      </c>
      <c r="O16" s="27"/>
    </row>
    <row r="17" spans="1:15" s="3" customFormat="1" ht="30" customHeight="1">
      <c r="A17" s="11">
        <v>12</v>
      </c>
      <c r="B17" s="11" t="s">
        <v>28</v>
      </c>
      <c r="C17" s="14">
        <v>16</v>
      </c>
      <c r="D17" s="13">
        <v>14</v>
      </c>
      <c r="E17" s="16">
        <v>0</v>
      </c>
      <c r="F17" s="17">
        <f t="shared" si="0"/>
        <v>0.875</v>
      </c>
      <c r="G17" s="14">
        <v>1508</v>
      </c>
      <c r="H17" s="14">
        <v>1023</v>
      </c>
      <c r="I17" s="18">
        <v>0</v>
      </c>
      <c r="J17" s="17">
        <f t="shared" si="1"/>
        <v>0.67838196286472152</v>
      </c>
      <c r="K17" s="22"/>
      <c r="L17" s="21"/>
      <c r="M17" s="22"/>
      <c r="N17" s="24"/>
      <c r="O17" s="27"/>
    </row>
    <row r="18" spans="1:15" s="3" customFormat="1" ht="30" customHeight="1">
      <c r="A18" s="11">
        <v>13</v>
      </c>
      <c r="B18" s="11" t="s">
        <v>29</v>
      </c>
      <c r="C18" s="14">
        <v>51</v>
      </c>
      <c r="D18" s="13">
        <v>19</v>
      </c>
      <c r="E18" s="16">
        <v>0</v>
      </c>
      <c r="F18" s="17">
        <f t="shared" si="0"/>
        <v>0.37254901960784315</v>
      </c>
      <c r="G18" s="14">
        <v>2155</v>
      </c>
      <c r="H18" s="14">
        <v>680</v>
      </c>
      <c r="I18" s="18">
        <v>0</v>
      </c>
      <c r="J18" s="17">
        <f t="shared" si="1"/>
        <v>0.31554524361948955</v>
      </c>
      <c r="K18" s="22"/>
      <c r="L18" s="21"/>
      <c r="M18" s="22"/>
      <c r="N18" s="24"/>
      <c r="O18" s="27"/>
    </row>
    <row r="19" spans="1:15" s="3" customFormat="1" ht="30" customHeight="1">
      <c r="A19" s="11">
        <v>14</v>
      </c>
      <c r="B19" s="11" t="s">
        <v>30</v>
      </c>
      <c r="C19" s="14">
        <v>13</v>
      </c>
      <c r="D19" s="13">
        <v>8</v>
      </c>
      <c r="E19" s="16">
        <v>2</v>
      </c>
      <c r="F19" s="17">
        <f t="shared" si="0"/>
        <v>0.61538461538461542</v>
      </c>
      <c r="G19" s="14">
        <v>667</v>
      </c>
      <c r="H19" s="14">
        <v>396</v>
      </c>
      <c r="I19" s="18">
        <v>20</v>
      </c>
      <c r="J19" s="17">
        <f t="shared" si="1"/>
        <v>0.59370314842578709</v>
      </c>
      <c r="K19" s="22"/>
      <c r="L19" s="21"/>
      <c r="M19" s="22"/>
      <c r="N19" s="24"/>
      <c r="O19" s="27"/>
    </row>
    <row r="20" spans="1:15" s="3" customFormat="1" ht="30" customHeight="1">
      <c r="A20" s="11">
        <v>15</v>
      </c>
      <c r="B20" s="11" t="s">
        <v>31</v>
      </c>
      <c r="C20" s="14">
        <v>33</v>
      </c>
      <c r="D20" s="13">
        <v>21</v>
      </c>
      <c r="E20" s="16">
        <v>0</v>
      </c>
      <c r="F20" s="17">
        <f t="shared" si="0"/>
        <v>0.63636363636363635</v>
      </c>
      <c r="G20" s="14">
        <v>1928</v>
      </c>
      <c r="H20" s="14">
        <v>846</v>
      </c>
      <c r="I20" s="18">
        <v>0</v>
      </c>
      <c r="J20" s="17">
        <f t="shared" si="1"/>
        <v>0.43879668049792531</v>
      </c>
      <c r="K20" s="22"/>
      <c r="L20" s="21"/>
      <c r="M20" s="22"/>
      <c r="N20" s="24"/>
      <c r="O20" s="27"/>
    </row>
    <row r="21" spans="1:15" s="3" customFormat="1" ht="30" customHeight="1">
      <c r="A21" s="11">
        <v>16</v>
      </c>
      <c r="B21" s="11" t="s">
        <v>32</v>
      </c>
      <c r="C21" s="14">
        <v>52</v>
      </c>
      <c r="D21" s="13">
        <v>13</v>
      </c>
      <c r="E21" s="16">
        <v>1</v>
      </c>
      <c r="F21" s="17">
        <f t="shared" si="0"/>
        <v>0.25</v>
      </c>
      <c r="G21" s="14">
        <v>981</v>
      </c>
      <c r="H21" s="14">
        <v>329</v>
      </c>
      <c r="I21" s="18">
        <v>0</v>
      </c>
      <c r="J21" s="17">
        <f t="shared" si="1"/>
        <v>0.33537206931702346</v>
      </c>
      <c r="K21" s="22"/>
      <c r="L21" s="21"/>
      <c r="M21" s="22"/>
      <c r="N21" s="24"/>
      <c r="O21" s="27"/>
    </row>
    <row r="22" spans="1:15" s="3" customFormat="1" ht="30" customHeight="1">
      <c r="A22" s="11">
        <v>17</v>
      </c>
      <c r="B22" s="11" t="s">
        <v>33</v>
      </c>
      <c r="C22" s="14">
        <v>23</v>
      </c>
      <c r="D22" s="13">
        <v>16</v>
      </c>
      <c r="E22" s="16">
        <v>0</v>
      </c>
      <c r="F22" s="17">
        <f t="shared" si="0"/>
        <v>0.69565217391304346</v>
      </c>
      <c r="G22" s="14">
        <v>1893</v>
      </c>
      <c r="H22" s="14">
        <v>755</v>
      </c>
      <c r="I22" s="18">
        <v>0</v>
      </c>
      <c r="J22" s="17">
        <f t="shared" si="1"/>
        <v>0.39883782356048603</v>
      </c>
      <c r="K22" s="22"/>
      <c r="L22" s="21"/>
      <c r="M22" s="22"/>
      <c r="N22" s="24"/>
      <c r="O22" s="27"/>
    </row>
    <row r="23" spans="1:15" s="5" customFormat="1" ht="34" customHeight="1">
      <c r="A23" s="11"/>
      <c r="B23" s="11" t="s">
        <v>34</v>
      </c>
      <c r="C23" s="14">
        <f>SUM(C6:C22)</f>
        <v>1504</v>
      </c>
      <c r="D23" s="14">
        <f>SUM(D6:D22)</f>
        <v>296</v>
      </c>
      <c r="E23" s="18">
        <f>SUM(E6:E22)</f>
        <v>4</v>
      </c>
      <c r="F23" s="17">
        <f t="shared" si="0"/>
        <v>0.19680851063829788</v>
      </c>
      <c r="G23" s="14">
        <f>SUM(G6:G22)</f>
        <v>85438</v>
      </c>
      <c r="H23" s="14">
        <f>SUM(H6:H22)</f>
        <v>18803</v>
      </c>
      <c r="I23" s="18">
        <f>SUM(I6:I22)</f>
        <v>37</v>
      </c>
      <c r="J23" s="17">
        <f t="shared" si="1"/>
        <v>0.2200777171750275</v>
      </c>
      <c r="K23" s="14">
        <f>SUM(K6:K22)</f>
        <v>5132</v>
      </c>
      <c r="L23" s="18">
        <f>SUM(L6:L22)</f>
        <v>152</v>
      </c>
      <c r="M23" s="14">
        <f>SUM(M6:M22)</f>
        <v>28201</v>
      </c>
      <c r="N23" s="18">
        <f>SUM(N6:N22)</f>
        <v>-809</v>
      </c>
      <c r="O23" s="14"/>
    </row>
  </sheetData>
  <mergeCells count="10">
    <mergeCell ref="A2:O2"/>
    <mergeCell ref="C3:J3"/>
    <mergeCell ref="K3:N3"/>
    <mergeCell ref="C4:F4"/>
    <mergeCell ref="G4:J4"/>
    <mergeCell ref="K4:L4"/>
    <mergeCell ref="M4:N4"/>
    <mergeCell ref="A3:A5"/>
    <mergeCell ref="B3:B5"/>
    <mergeCell ref="O3:O5"/>
  </mergeCells>
  <phoneticPr fontId="10" type="noConversion"/>
  <pageMargins left="0.75" right="0.66874999999999996" top="0.51180555555555551" bottom="0.51180555555555551" header="0.5" footer="0.5"/>
  <pageSetup paperSize="9" scale="66" orientation="landscape" r:id="rId1"/>
  <ignoredErrors>
    <ignoredError sqref="H23:J23 F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2022-04-26T17:30:42Z</dcterms:created>
  <dcterms:modified xsi:type="dcterms:W3CDTF">2025-03-30T13:22:25Z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