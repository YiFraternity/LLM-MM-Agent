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3月25日\"/>
    </mc:Choice>
  </mc:AlternateContent>
  <xr:revisionPtr revIDLastSave="0" documentId="8_{7EBF624E-812E-4CED-9391-07054DDAA39D}" xr6:coauthVersionLast="36" xr6:coauthVersionMax="36" xr10:uidLastSave="{00000000-0000-0000-0000-000000000000}"/>
  <bookViews>
    <workbookView xWindow="32769" yWindow="32769" windowWidth="16980" windowHeight="4680" tabRatio="618"/>
  </bookViews>
  <sheets>
    <sheet name="工作表1" sheetId="1" r:id="rId1"/>
    <sheet name="工作表2" sheetId="2" r:id="rId2"/>
    <sheet name="工作表3" sheetId="3" r:id="rId3"/>
  </sheets>
  <calcPr calcId="191029"/>
</workbook>
</file>

<file path=xl/calcChain.xml><?xml version="1.0" encoding="utf-8"?>
<calcChain xmlns="http://schemas.openxmlformats.org/spreadsheetml/2006/main">
  <c r="C23" i="1" l="1"/>
  <c r="D23" i="1"/>
  <c r="E23" i="1"/>
  <c r="F23" i="1"/>
  <c r="G23" i="1"/>
  <c r="H23" i="1"/>
  <c r="I23" i="1"/>
  <c r="J23" i="1"/>
  <c r="B23" i="1"/>
  <c r="C22" i="1"/>
  <c r="D22" i="1"/>
  <c r="E22" i="1"/>
  <c r="F22" i="1"/>
  <c r="G22" i="1"/>
  <c r="H22" i="1"/>
  <c r="I22" i="1"/>
  <c r="J22" i="1"/>
  <c r="B22" i="1"/>
  <c r="C21" i="1"/>
  <c r="D21" i="1"/>
  <c r="E21" i="1"/>
  <c r="F21" i="1"/>
  <c r="G21" i="1"/>
  <c r="H21" i="1"/>
  <c r="I21" i="1"/>
  <c r="J21" i="1"/>
  <c r="B21" i="1"/>
</calcChain>
</file>

<file path=xl/sharedStrings.xml><?xml version="1.0" encoding="utf-8"?>
<sst xmlns="http://schemas.openxmlformats.org/spreadsheetml/2006/main" count="29" uniqueCount="29">
  <si>
    <t>日期</t>
  </si>
  <si>
    <t>大白菜</t>
  </si>
  <si>
    <t>土豆</t>
  </si>
  <si>
    <t>白萝卜</t>
  </si>
  <si>
    <t>圆葱</t>
  </si>
  <si>
    <t>7日</t>
  </si>
  <si>
    <t>8日</t>
  </si>
  <si>
    <t>9日</t>
  </si>
  <si>
    <t>10日</t>
  </si>
  <si>
    <t>11日</t>
  </si>
  <si>
    <t>12日</t>
  </si>
  <si>
    <t>13日</t>
  </si>
  <si>
    <t>14日</t>
  </si>
  <si>
    <t>15日</t>
  </si>
  <si>
    <t>16日</t>
  </si>
  <si>
    <t>17日</t>
  </si>
  <si>
    <t>18日</t>
  </si>
  <si>
    <t>19日</t>
  </si>
  <si>
    <t>西红柿</t>
    <phoneticPr fontId="1" type="noConversion"/>
  </si>
  <si>
    <t>黄瓜</t>
    <phoneticPr fontId="1" type="noConversion"/>
  </si>
  <si>
    <t>青椒</t>
    <phoneticPr fontId="1" type="noConversion"/>
  </si>
  <si>
    <t>生菜</t>
    <phoneticPr fontId="1" type="noConversion"/>
  </si>
  <si>
    <t>20日</t>
  </si>
  <si>
    <t>水果（平均）</t>
    <phoneticPr fontId="1" type="noConversion"/>
  </si>
  <si>
    <t>21日</t>
  </si>
  <si>
    <t>22日</t>
  </si>
  <si>
    <t>23日</t>
  </si>
  <si>
    <t>24日</t>
  </si>
  <si>
    <t>25日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</si>
</sst>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8">
    <font>
      <sz val="12"/>
      <name val="方正仿宋_GBK"/>
      <charset val="134"/>
    </font>
    <font>
      <sz val="9"/>
      <name val="方正仿宋_GBK"/>
      <charset val="134"/>
    </font>
    <font>
      <sz val="12"/>
      <name val="方正仿宋_GBK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 applyProtection="0">
      <alignment vertical="center"/>
    </xf>
  </cellStyleXfs>
  <cellXfs count="10">
    <xf numFmtId="0" fontId="0" fillId="0" borderId="0" xfId="0" applyProtection="1">
      <alignment vertical="center"/>
    </xf>
    <xf numFmtId="0" fontId="2" fillId="0" borderId="0" xfId="0" applyFont="1" applyProtection="1">
      <alignment vertical="center"/>
    </xf>
    <xf numFmtId="176" fontId="3" fillId="0" borderId="1" xfId="0" applyNumberFormat="1" applyFont="1" applyBorder="1" applyAlignment="1" applyProtection="1">
      <alignment horizontal="center" vertical="center" wrapText="1"/>
      <protection locked="0"/>
    </xf>
    <xf numFmtId="176" fontId="3" fillId="0" borderId="2" xfId="0" applyNumberFormat="1" applyFont="1" applyBorder="1" applyAlignment="1" applyProtection="1">
      <alignment horizontal="center" vertical="center" wrapText="1"/>
      <protection locked="0"/>
    </xf>
    <xf numFmtId="176" fontId="4" fillId="0" borderId="1" xfId="0" applyNumberFormat="1" applyFont="1" applyBorder="1" applyAlignment="1" applyProtection="1">
      <alignment horizontal="center" vertical="center"/>
      <protection locked="0"/>
    </xf>
    <xf numFmtId="176" fontId="4" fillId="0" borderId="1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Protection="1">
      <alignment vertical="center"/>
    </xf>
    <xf numFmtId="176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6" fillId="0" borderId="1" xfId="0" applyNumberFormat="1" applyFont="1" applyFill="1" applyBorder="1" applyAlignment="1" applyProtection="1">
      <alignment horizontal="center" vertical="center" wrapText="1"/>
      <protection locked="0"/>
    </xf>
    <xf numFmtId="176" fontId="2" fillId="0" borderId="0" xfId="0" applyNumberFormat="1" applyFont="1" applyProtection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600" b="1">
                <a:solidFill>
                  <a:sysClr val="windowText" lastClr="000000"/>
                </a:solidFill>
                <a:latin typeface="宋体" panose="02010600030101010101" pitchFamily="2" charset="-122"/>
                <a:ea typeface="宋体" panose="02010600030101010101" pitchFamily="2" charset="-122"/>
              </a:rPr>
              <a:t>点调重点企业蔬菜价格变化图表</a:t>
            </a:r>
            <a:endParaRPr lang="en-US" altLang="zh-CN" sz="1600" b="1">
              <a:solidFill>
                <a:sysClr val="windowText" lastClr="000000"/>
              </a:solidFill>
              <a:latin typeface="宋体" panose="02010600030101010101" pitchFamily="2" charset="-122"/>
              <a:ea typeface="宋体" panose="02010600030101010101" pitchFamily="2" charset="-122"/>
            </a:endParaRP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（数据来源：市商务局点调的</a:t>
            </a:r>
            <a:r>
              <a:rPr lang="en-US" altLang="zh-CN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51</a:t>
            </a:r>
            <a:r>
              <a:rPr lang="zh-CN" altLang="en-US" sz="1000" b="1">
                <a:solidFill>
                  <a:sysClr val="windowText" lastClr="000000"/>
                </a:solidFill>
                <a:latin typeface="楷体" panose="02010609060101010101" pitchFamily="49" charset="-122"/>
                <a:ea typeface="楷体" panose="02010609060101010101" pitchFamily="49" charset="-122"/>
              </a:rPr>
              <a:t>家欧亚连锁超市）</a:t>
            </a:r>
          </a:p>
        </c:rich>
      </c:tx>
      <c:layout>
        <c:manualLayout>
          <c:xMode val="edge"/>
          <c:yMode val="edge"/>
          <c:x val="0.28239171881900532"/>
          <c:y val="3.658821335857608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4405870280015694E-2"/>
          <c:y val="9.0551610142412406E-2"/>
          <c:w val="0.87810281163205728"/>
          <c:h val="0.75224464159663129"/>
        </c:manualLayout>
      </c:layout>
      <c:lineChart>
        <c:grouping val="standard"/>
        <c:varyColors val="0"/>
        <c:ser>
          <c:idx val="0"/>
          <c:order val="0"/>
          <c:tx>
            <c:strRef>
              <c:f>工作表1!$B$1</c:f>
              <c:strCache>
                <c:ptCount val="1"/>
                <c:pt idx="0">
                  <c:v>大白菜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工作表1!$B$2:$B$20</c:f>
              <c:numCache>
                <c:formatCode>0.00_ </c:formatCode>
                <c:ptCount val="19"/>
                <c:pt idx="0">
                  <c:v>3.2</c:v>
                </c:pt>
                <c:pt idx="1">
                  <c:v>3.2</c:v>
                </c:pt>
                <c:pt idx="2">
                  <c:v>3.2</c:v>
                </c:pt>
                <c:pt idx="3">
                  <c:v>3.2</c:v>
                </c:pt>
                <c:pt idx="4">
                  <c:v>3.2</c:v>
                </c:pt>
                <c:pt idx="5">
                  <c:v>3.56</c:v>
                </c:pt>
                <c:pt idx="6">
                  <c:v>3.72</c:v>
                </c:pt>
                <c:pt idx="7">
                  <c:v>3.68</c:v>
                </c:pt>
                <c:pt idx="8">
                  <c:v>3.68</c:v>
                </c:pt>
                <c:pt idx="9">
                  <c:v>3.68</c:v>
                </c:pt>
                <c:pt idx="10">
                  <c:v>3.32</c:v>
                </c:pt>
                <c:pt idx="11">
                  <c:v>3.32</c:v>
                </c:pt>
                <c:pt idx="12">
                  <c:v>3.32</c:v>
                </c:pt>
                <c:pt idx="13">
                  <c:v>3.32</c:v>
                </c:pt>
                <c:pt idx="14">
                  <c:v>3.32</c:v>
                </c:pt>
                <c:pt idx="15">
                  <c:v>3.32</c:v>
                </c:pt>
                <c:pt idx="16">
                  <c:v>3.32</c:v>
                </c:pt>
                <c:pt idx="17">
                  <c:v>3.32</c:v>
                </c:pt>
                <c:pt idx="18">
                  <c:v>3.32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0C-4436-A159-3541443250FA}"/>
            </c:ext>
          </c:extLst>
        </c:ser>
        <c:ser>
          <c:idx val="1"/>
          <c:order val="1"/>
          <c:tx>
            <c:strRef>
              <c:f>工作表1!$C$1</c:f>
              <c:strCache>
                <c:ptCount val="1"/>
                <c:pt idx="0">
                  <c:v>土豆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工作表1!$C$2:$C$20</c:f>
              <c:numCache>
                <c:formatCode>0.00_ </c:formatCode>
                <c:ptCount val="19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1.8</c:v>
                </c:pt>
                <c:pt idx="17">
                  <c:v>1.8</c:v>
                </c:pt>
                <c:pt idx="18">
                  <c:v>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0C-4436-A159-3541443250FA}"/>
            </c:ext>
          </c:extLst>
        </c:ser>
        <c:ser>
          <c:idx val="2"/>
          <c:order val="2"/>
          <c:tx>
            <c:strRef>
              <c:f>工作表1!$D$1</c:f>
              <c:strCache>
                <c:ptCount val="1"/>
                <c:pt idx="0">
                  <c:v>白萝卜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工作表1!$D$2:$D$20</c:f>
              <c:numCache>
                <c:formatCode>0.00_ 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1.9</c:v>
                </c:pt>
                <c:pt idx="6">
                  <c:v>2.12</c:v>
                </c:pt>
                <c:pt idx="7">
                  <c:v>2.12</c:v>
                </c:pt>
                <c:pt idx="8">
                  <c:v>2.12</c:v>
                </c:pt>
                <c:pt idx="9">
                  <c:v>2.12</c:v>
                </c:pt>
                <c:pt idx="10">
                  <c:v>2.12</c:v>
                </c:pt>
                <c:pt idx="11">
                  <c:v>2.12</c:v>
                </c:pt>
                <c:pt idx="12">
                  <c:v>2.12</c:v>
                </c:pt>
                <c:pt idx="13">
                  <c:v>2.12</c:v>
                </c:pt>
                <c:pt idx="14">
                  <c:v>2.12</c:v>
                </c:pt>
                <c:pt idx="15">
                  <c:v>2.12</c:v>
                </c:pt>
                <c:pt idx="16">
                  <c:v>2.12</c:v>
                </c:pt>
                <c:pt idx="17">
                  <c:v>1.92</c:v>
                </c:pt>
                <c:pt idx="18">
                  <c:v>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0C-4436-A159-3541443250FA}"/>
            </c:ext>
          </c:extLst>
        </c:ser>
        <c:ser>
          <c:idx val="3"/>
          <c:order val="3"/>
          <c:tx>
            <c:strRef>
              <c:f>工作表1!$E$1</c:f>
              <c:strCache>
                <c:ptCount val="1"/>
                <c:pt idx="0">
                  <c:v>圆葱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工作表1!$E$2:$E$20</c:f>
              <c:numCache>
                <c:formatCode>0.00_ </c:formatCode>
                <c:ptCount val="19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2</c:v>
                </c:pt>
                <c:pt idx="6">
                  <c:v>2.5</c:v>
                </c:pt>
                <c:pt idx="7">
                  <c:v>2.5</c:v>
                </c:pt>
                <c:pt idx="8">
                  <c:v>2.5</c:v>
                </c:pt>
                <c:pt idx="9">
                  <c:v>2.5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2.1</c:v>
                </c:pt>
                <c:pt idx="15">
                  <c:v>2.1</c:v>
                </c:pt>
                <c:pt idx="16">
                  <c:v>2.1</c:v>
                </c:pt>
                <c:pt idx="17">
                  <c:v>2.1</c:v>
                </c:pt>
                <c:pt idx="18">
                  <c:v>2.2000000000000002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0C-4436-A159-3541443250FA}"/>
            </c:ext>
          </c:extLst>
        </c:ser>
        <c:ser>
          <c:idx val="4"/>
          <c:order val="4"/>
          <c:tx>
            <c:strRef>
              <c:f>工作表1!$F$1</c:f>
              <c:strCache>
                <c:ptCount val="1"/>
                <c:pt idx="0">
                  <c:v>西红柿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工作表1!$F$2:$F$20</c:f>
              <c:numCache>
                <c:formatCode>0.00_ </c:formatCode>
                <c:ptCount val="19"/>
                <c:pt idx="0">
                  <c:v>11.6</c:v>
                </c:pt>
                <c:pt idx="1">
                  <c:v>10.8</c:v>
                </c:pt>
                <c:pt idx="2">
                  <c:v>10</c:v>
                </c:pt>
                <c:pt idx="3">
                  <c:v>11.6</c:v>
                </c:pt>
                <c:pt idx="4">
                  <c:v>10</c:v>
                </c:pt>
                <c:pt idx="5">
                  <c:v>9.4</c:v>
                </c:pt>
                <c:pt idx="6">
                  <c:v>9.4</c:v>
                </c:pt>
                <c:pt idx="7">
                  <c:v>9.8000000000000007</c:v>
                </c:pt>
                <c:pt idx="8">
                  <c:v>9.8000000000000007</c:v>
                </c:pt>
                <c:pt idx="9">
                  <c:v>9.8000000000000007</c:v>
                </c:pt>
                <c:pt idx="10">
                  <c:v>9.8000000000000007</c:v>
                </c:pt>
                <c:pt idx="11">
                  <c:v>9.4</c:v>
                </c:pt>
                <c:pt idx="12">
                  <c:v>9.6</c:v>
                </c:pt>
                <c:pt idx="13">
                  <c:v>9.4</c:v>
                </c:pt>
                <c:pt idx="14">
                  <c:v>9.4</c:v>
                </c:pt>
                <c:pt idx="15">
                  <c:v>9.4</c:v>
                </c:pt>
                <c:pt idx="16">
                  <c:v>10</c:v>
                </c:pt>
                <c:pt idx="17">
                  <c:v>9.6999999999999993</c:v>
                </c:pt>
                <c:pt idx="18">
                  <c:v>9.6999999999999993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0C-4436-A159-3541443250FA}"/>
            </c:ext>
          </c:extLst>
        </c:ser>
        <c:ser>
          <c:idx val="5"/>
          <c:order val="5"/>
          <c:tx>
            <c:strRef>
              <c:f>工作表1!$G$1</c:f>
              <c:strCache>
                <c:ptCount val="1"/>
                <c:pt idx="0">
                  <c:v>黄瓜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工作表1!$G$2:$G$20</c:f>
              <c:numCache>
                <c:formatCode>0.00_ </c:formatCode>
                <c:ptCount val="19"/>
                <c:pt idx="0">
                  <c:v>7.2</c:v>
                </c:pt>
                <c:pt idx="1">
                  <c:v>6</c:v>
                </c:pt>
                <c:pt idx="2">
                  <c:v>6</c:v>
                </c:pt>
                <c:pt idx="3">
                  <c:v>7.2</c:v>
                </c:pt>
                <c:pt idx="4">
                  <c:v>6</c:v>
                </c:pt>
                <c:pt idx="5">
                  <c:v>6.24</c:v>
                </c:pt>
                <c:pt idx="6">
                  <c:v>6.24</c:v>
                </c:pt>
                <c:pt idx="7">
                  <c:v>6.56</c:v>
                </c:pt>
                <c:pt idx="8">
                  <c:v>6.56</c:v>
                </c:pt>
                <c:pt idx="9">
                  <c:v>6.56</c:v>
                </c:pt>
                <c:pt idx="10">
                  <c:v>6.56</c:v>
                </c:pt>
                <c:pt idx="11">
                  <c:v>6.56</c:v>
                </c:pt>
                <c:pt idx="12">
                  <c:v>6.56</c:v>
                </c:pt>
                <c:pt idx="13">
                  <c:v>6.56</c:v>
                </c:pt>
                <c:pt idx="14">
                  <c:v>6.56</c:v>
                </c:pt>
                <c:pt idx="15">
                  <c:v>6.56</c:v>
                </c:pt>
                <c:pt idx="16">
                  <c:v>6.4</c:v>
                </c:pt>
                <c:pt idx="17">
                  <c:v>6.32</c:v>
                </c:pt>
                <c:pt idx="18">
                  <c:v>6.32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0C-4436-A159-3541443250FA}"/>
            </c:ext>
          </c:extLst>
        </c:ser>
        <c:ser>
          <c:idx val="6"/>
          <c:order val="6"/>
          <c:tx>
            <c:strRef>
              <c:f>工作表1!$H$1</c:f>
              <c:strCache>
                <c:ptCount val="1"/>
                <c:pt idx="0">
                  <c:v>青椒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工作表1!$H$2:$H$20</c:f>
              <c:numCache>
                <c:formatCode>0.00_ </c:formatCode>
                <c:ptCount val="19"/>
                <c:pt idx="0">
                  <c:v>6.6</c:v>
                </c:pt>
                <c:pt idx="1">
                  <c:v>6.4</c:v>
                </c:pt>
                <c:pt idx="2">
                  <c:v>6.6</c:v>
                </c:pt>
                <c:pt idx="3">
                  <c:v>6.6</c:v>
                </c:pt>
                <c:pt idx="4">
                  <c:v>6.6</c:v>
                </c:pt>
                <c:pt idx="5">
                  <c:v>7.4</c:v>
                </c:pt>
                <c:pt idx="6">
                  <c:v>7.4</c:v>
                </c:pt>
                <c:pt idx="7">
                  <c:v>8</c:v>
                </c:pt>
                <c:pt idx="8">
                  <c:v>7.6</c:v>
                </c:pt>
                <c:pt idx="9">
                  <c:v>7.6</c:v>
                </c:pt>
                <c:pt idx="10">
                  <c:v>7.6</c:v>
                </c:pt>
                <c:pt idx="11">
                  <c:v>7.6</c:v>
                </c:pt>
                <c:pt idx="12">
                  <c:v>10.4</c:v>
                </c:pt>
                <c:pt idx="13">
                  <c:v>10.4</c:v>
                </c:pt>
                <c:pt idx="14">
                  <c:v>11.6</c:v>
                </c:pt>
                <c:pt idx="15">
                  <c:v>11.6</c:v>
                </c:pt>
                <c:pt idx="16">
                  <c:v>11.6</c:v>
                </c:pt>
                <c:pt idx="17">
                  <c:v>9.68</c:v>
                </c:pt>
                <c:pt idx="18">
                  <c:v>9.68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30C-4436-A159-3541443250FA}"/>
            </c:ext>
          </c:extLst>
        </c:ser>
        <c:ser>
          <c:idx val="7"/>
          <c:order val="7"/>
          <c:tx>
            <c:strRef>
              <c:f>工作表1!$I$1</c:f>
              <c:strCache>
                <c:ptCount val="1"/>
                <c:pt idx="0">
                  <c:v>生菜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dLbls>
            <c:spPr>
              <a:noFill/>
              <a:ln w="25400">
                <a:noFill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工作表1!$A$2:$A$20</c:f>
              <c:strCache>
                <c:ptCount val="19"/>
                <c:pt idx="0">
                  <c:v>7日</c:v>
                </c:pt>
                <c:pt idx="1">
                  <c:v>8日</c:v>
                </c:pt>
                <c:pt idx="2">
                  <c:v>9日</c:v>
                </c:pt>
                <c:pt idx="3">
                  <c:v>10日</c:v>
                </c:pt>
                <c:pt idx="4">
                  <c:v>11日</c:v>
                </c:pt>
                <c:pt idx="5">
                  <c:v>12日</c:v>
                </c:pt>
                <c:pt idx="6">
                  <c:v>13日</c:v>
                </c:pt>
                <c:pt idx="7">
                  <c:v>14日</c:v>
                </c:pt>
                <c:pt idx="8">
                  <c:v>15日</c:v>
                </c:pt>
                <c:pt idx="9">
                  <c:v>16日</c:v>
                </c:pt>
                <c:pt idx="10">
                  <c:v>17日</c:v>
                </c:pt>
                <c:pt idx="11">
                  <c:v>18日</c:v>
                </c:pt>
                <c:pt idx="12">
                  <c:v>19日</c:v>
                </c:pt>
                <c:pt idx="13">
                  <c:v>20日</c:v>
                </c:pt>
                <c:pt idx="14">
                  <c:v>21日</c:v>
                </c:pt>
                <c:pt idx="15">
                  <c:v>22日</c:v>
                </c:pt>
                <c:pt idx="16">
                  <c:v>23日</c:v>
                </c:pt>
                <c:pt idx="17">
                  <c:v>24日</c:v>
                </c:pt>
                <c:pt idx="18">
                  <c:v>25日</c:v>
                </c:pt>
              </c:strCache>
            </c:strRef>
          </c:cat>
          <c:val>
            <c:numRef>
              <c:f>工作表1!$I$2:$I$20</c:f>
              <c:numCache>
                <c:formatCode>0.00_ </c:formatCode>
                <c:ptCount val="19"/>
                <c:pt idx="0">
                  <c:v>5.4</c:v>
                </c:pt>
                <c:pt idx="1">
                  <c:v>5.8</c:v>
                </c:pt>
                <c:pt idx="2">
                  <c:v>5.4</c:v>
                </c:pt>
                <c:pt idx="3">
                  <c:v>5.4</c:v>
                </c:pt>
                <c:pt idx="4">
                  <c:v>5.4</c:v>
                </c:pt>
                <c:pt idx="5">
                  <c:v>5.12</c:v>
                </c:pt>
                <c:pt idx="6">
                  <c:v>4.4400000000000004</c:v>
                </c:pt>
                <c:pt idx="7">
                  <c:v>4.4400000000000004</c:v>
                </c:pt>
                <c:pt idx="8">
                  <c:v>4.9400000000000004</c:v>
                </c:pt>
                <c:pt idx="9">
                  <c:v>4.9400000000000004</c:v>
                </c:pt>
                <c:pt idx="10">
                  <c:v>4.9400000000000004</c:v>
                </c:pt>
                <c:pt idx="11">
                  <c:v>4.9400000000000004</c:v>
                </c:pt>
                <c:pt idx="12">
                  <c:v>4.3600000000000003</c:v>
                </c:pt>
                <c:pt idx="13">
                  <c:v>4.3600000000000003</c:v>
                </c:pt>
                <c:pt idx="14">
                  <c:v>5.26</c:v>
                </c:pt>
                <c:pt idx="15">
                  <c:v>5.26</c:v>
                </c:pt>
                <c:pt idx="16">
                  <c:v>5.26</c:v>
                </c:pt>
                <c:pt idx="17">
                  <c:v>5.08</c:v>
                </c:pt>
                <c:pt idx="18">
                  <c:v>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30C-4436-A159-354144325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4197903"/>
        <c:axId val="1"/>
      </c:lineChart>
      <c:catAx>
        <c:axId val="20441979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/>
                  <a:t>日期（</a:t>
                </a:r>
                <a:r>
                  <a:rPr lang="en-US" altLang="zh-CN"/>
                  <a:t>3</a:t>
                </a:r>
                <a:r>
                  <a:rPr lang="zh-CN" altLang="en-US"/>
                  <a:t>月）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价格（单位：元</a:t>
                </a:r>
                <a:r>
                  <a:rPr lang="en-US" altLang="zh-CN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/</a:t>
                </a:r>
                <a:r>
                  <a:rPr lang="zh-CN" altLang="en-US" sz="1000">
                    <a:solidFill>
                      <a:sysClr val="windowText" lastClr="000000"/>
                    </a:solidFill>
                    <a:latin typeface="宋体" panose="02010600030101010101" pitchFamily="2" charset="-122"/>
                    <a:ea typeface="宋体" panose="02010600030101010101" pitchFamily="2" charset="-122"/>
                  </a:rPr>
                  <a:t>公斤）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_ " sourceLinked="1"/>
        <c:majorTickMark val="none"/>
        <c:minorTickMark val="none"/>
        <c:tickLblPos val="nextTo"/>
        <c:spPr>
          <a:ln w="6350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044197903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10242695671278468"/>
          <c:y val="0.94282637353521304"/>
          <c:w val="0.79361344323264471"/>
          <c:h val="4.3433574511172732E-2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130629</xdr:colOff>
      <xdr:row>12</xdr:row>
      <xdr:rowOff>130629</xdr:rowOff>
    </xdr:from>
    <xdr:to>
      <xdr:col>22</xdr:col>
      <xdr:colOff>234043</xdr:colOff>
      <xdr:row>29</xdr:row>
      <xdr:rowOff>108857</xdr:rowOff>
    </xdr:to>
    <xdr:graphicFrame macro="">
      <xdr:nvGraphicFramePr>
        <xdr:cNvPr id="1054" name="图表 2">
          <a:extLst>
            <a:ext uri="{FF2B5EF4-FFF2-40B4-BE49-F238E27FC236}">
              <a16:creationId xmlns:a16="http://schemas.microsoft.com/office/drawing/2014/main" id="{121C6EF9-CDC0-4FE7-BE85-70CF49E931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3"/>
  <sheetViews>
    <sheetView tabSelected="1" topLeftCell="A19" zoomScaleNormal="100" workbookViewId="0">
      <selection activeCell="I23" sqref="I23"/>
    </sheetView>
  </sheetViews>
  <sheetFormatPr defaultColWidth="9" defaultRowHeight="15"/>
  <cols>
    <col min="1" max="1" width="8.5703125" style="1" customWidth="1"/>
    <col min="2" max="2" width="8.5" style="1" customWidth="1"/>
    <col min="3" max="5" width="7.5" style="1" customWidth="1"/>
    <col min="6" max="16384" width="9" style="1"/>
  </cols>
  <sheetData>
    <row r="1" spans="1:17" ht="22.9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18</v>
      </c>
      <c r="G1" s="2" t="s">
        <v>19</v>
      </c>
      <c r="H1" s="2" t="s">
        <v>20</v>
      </c>
      <c r="I1" s="2" t="s">
        <v>21</v>
      </c>
      <c r="J1" s="7" t="s">
        <v>23</v>
      </c>
    </row>
    <row r="2" spans="1:17" ht="27" customHeight="1">
      <c r="A2" s="3" t="s">
        <v>5</v>
      </c>
      <c r="B2" s="4">
        <v>3.2</v>
      </c>
      <c r="C2" s="4">
        <v>1.8</v>
      </c>
      <c r="D2" s="4">
        <v>2</v>
      </c>
      <c r="E2" s="4">
        <v>2</v>
      </c>
      <c r="F2" s="4">
        <v>11.6</v>
      </c>
      <c r="G2" s="5">
        <v>7.2</v>
      </c>
      <c r="H2" s="5">
        <v>6.6</v>
      </c>
      <c r="I2" s="5">
        <v>5.4</v>
      </c>
      <c r="J2" s="8">
        <v>3.6</v>
      </c>
    </row>
    <row r="3" spans="1:17" ht="27" customHeight="1">
      <c r="A3" s="3" t="s">
        <v>6</v>
      </c>
      <c r="B3" s="5">
        <v>3.2</v>
      </c>
      <c r="C3" s="5">
        <v>1.8</v>
      </c>
      <c r="D3" s="5">
        <v>2</v>
      </c>
      <c r="E3" s="5">
        <v>2</v>
      </c>
      <c r="F3" s="5">
        <v>10.8</v>
      </c>
      <c r="G3" s="5">
        <v>6</v>
      </c>
      <c r="H3" s="5">
        <v>6.4</v>
      </c>
      <c r="I3" s="5">
        <v>5.8</v>
      </c>
      <c r="J3" s="8">
        <v>3.7</v>
      </c>
    </row>
    <row r="4" spans="1:17" ht="27" customHeight="1">
      <c r="A4" s="3" t="s">
        <v>7</v>
      </c>
      <c r="B4" s="5">
        <v>3.2</v>
      </c>
      <c r="C4" s="5">
        <v>1.8</v>
      </c>
      <c r="D4" s="5">
        <v>2</v>
      </c>
      <c r="E4" s="5">
        <v>2</v>
      </c>
      <c r="F4" s="5">
        <v>10</v>
      </c>
      <c r="G4" s="5">
        <v>6</v>
      </c>
      <c r="H4" s="5">
        <v>6.6</v>
      </c>
      <c r="I4" s="5">
        <v>5.4</v>
      </c>
      <c r="J4" s="8">
        <v>3.6</v>
      </c>
      <c r="Q4" s="6"/>
    </row>
    <row r="5" spans="1:17" ht="27" customHeight="1">
      <c r="A5" s="3" t="s">
        <v>8</v>
      </c>
      <c r="B5" s="4">
        <v>3.2</v>
      </c>
      <c r="C5" s="4">
        <v>1.8</v>
      </c>
      <c r="D5" s="4">
        <v>2</v>
      </c>
      <c r="E5" s="4">
        <v>2</v>
      </c>
      <c r="F5" s="4">
        <v>11.6</v>
      </c>
      <c r="G5" s="5">
        <v>7.2</v>
      </c>
      <c r="H5" s="5">
        <v>6.6</v>
      </c>
      <c r="I5" s="5">
        <v>5.4</v>
      </c>
      <c r="J5" s="8">
        <v>3.6</v>
      </c>
    </row>
    <row r="6" spans="1:17" ht="27" customHeight="1">
      <c r="A6" s="3" t="s">
        <v>9</v>
      </c>
      <c r="B6" s="5">
        <v>3.2</v>
      </c>
      <c r="C6" s="5">
        <v>1.8</v>
      </c>
      <c r="D6" s="5">
        <v>2</v>
      </c>
      <c r="E6" s="5">
        <v>2</v>
      </c>
      <c r="F6" s="5">
        <v>10</v>
      </c>
      <c r="G6" s="5">
        <v>6</v>
      </c>
      <c r="H6" s="5">
        <v>6.6</v>
      </c>
      <c r="I6" s="5">
        <v>5.4</v>
      </c>
      <c r="J6" s="8">
        <v>3.8</v>
      </c>
    </row>
    <row r="7" spans="1:17" ht="27" customHeight="1">
      <c r="A7" s="3" t="s">
        <v>10</v>
      </c>
      <c r="B7" s="5">
        <v>3.56</v>
      </c>
      <c r="C7" s="5">
        <v>1.8</v>
      </c>
      <c r="D7" s="5">
        <v>1.9</v>
      </c>
      <c r="E7" s="5">
        <v>2</v>
      </c>
      <c r="F7" s="5">
        <v>9.4</v>
      </c>
      <c r="G7" s="5">
        <v>6.24</v>
      </c>
      <c r="H7" s="5">
        <v>7.4</v>
      </c>
      <c r="I7" s="5">
        <v>5.12</v>
      </c>
      <c r="J7" s="8">
        <v>3.5</v>
      </c>
    </row>
    <row r="8" spans="1:17" ht="27" customHeight="1">
      <c r="A8" s="3" t="s">
        <v>11</v>
      </c>
      <c r="B8" s="4">
        <v>3.72</v>
      </c>
      <c r="C8" s="4">
        <v>1.8</v>
      </c>
      <c r="D8" s="4">
        <v>2.12</v>
      </c>
      <c r="E8" s="4">
        <v>2.5</v>
      </c>
      <c r="F8" s="4">
        <v>9.4</v>
      </c>
      <c r="G8" s="4">
        <v>6.24</v>
      </c>
      <c r="H8" s="4">
        <v>7.4</v>
      </c>
      <c r="I8" s="4">
        <v>4.4400000000000004</v>
      </c>
      <c r="J8" s="8">
        <v>3.5</v>
      </c>
    </row>
    <row r="9" spans="1:17" ht="27" customHeight="1">
      <c r="A9" s="3" t="s">
        <v>12</v>
      </c>
      <c r="B9" s="5">
        <v>3.68</v>
      </c>
      <c r="C9" s="5">
        <v>1.8</v>
      </c>
      <c r="D9" s="5">
        <v>2.12</v>
      </c>
      <c r="E9" s="5">
        <v>2.5</v>
      </c>
      <c r="F9" s="5">
        <v>9.8000000000000007</v>
      </c>
      <c r="G9" s="5">
        <v>6.56</v>
      </c>
      <c r="H9" s="5">
        <v>8</v>
      </c>
      <c r="I9" s="5">
        <v>4.4400000000000004</v>
      </c>
      <c r="J9" s="8">
        <v>3.5</v>
      </c>
    </row>
    <row r="10" spans="1:17" ht="28.5" customHeight="1">
      <c r="A10" s="3" t="s">
        <v>13</v>
      </c>
      <c r="B10" s="5">
        <v>3.68</v>
      </c>
      <c r="C10" s="5">
        <v>1.8</v>
      </c>
      <c r="D10" s="5">
        <v>2.12</v>
      </c>
      <c r="E10" s="5">
        <v>2.5</v>
      </c>
      <c r="F10" s="5">
        <v>9.8000000000000007</v>
      </c>
      <c r="G10" s="5">
        <v>6.56</v>
      </c>
      <c r="H10" s="5">
        <v>7.6</v>
      </c>
      <c r="I10" s="5">
        <v>4.9400000000000004</v>
      </c>
      <c r="J10" s="8">
        <v>3.5</v>
      </c>
    </row>
    <row r="11" spans="1:17" ht="31.5" customHeight="1">
      <c r="A11" s="3" t="s">
        <v>14</v>
      </c>
      <c r="B11" s="5">
        <v>3.68</v>
      </c>
      <c r="C11" s="5">
        <v>1.8</v>
      </c>
      <c r="D11" s="5">
        <v>2.12</v>
      </c>
      <c r="E11" s="5">
        <v>2.5</v>
      </c>
      <c r="F11" s="5">
        <v>9.8000000000000007</v>
      </c>
      <c r="G11" s="5">
        <v>6.56</v>
      </c>
      <c r="H11" s="5">
        <v>7.6</v>
      </c>
      <c r="I11" s="5">
        <v>4.9400000000000004</v>
      </c>
      <c r="J11" s="8">
        <v>3.5</v>
      </c>
    </row>
    <row r="12" spans="1:17" ht="27" customHeight="1">
      <c r="A12" s="3" t="s">
        <v>15</v>
      </c>
      <c r="B12" s="5">
        <v>3.32</v>
      </c>
      <c r="C12" s="5">
        <v>1.8</v>
      </c>
      <c r="D12" s="5">
        <v>2.12</v>
      </c>
      <c r="E12" s="5">
        <v>2.1</v>
      </c>
      <c r="F12" s="5">
        <v>9.8000000000000007</v>
      </c>
      <c r="G12" s="5">
        <v>6.56</v>
      </c>
      <c r="H12" s="5">
        <v>7.6</v>
      </c>
      <c r="I12" s="5">
        <v>4.9400000000000004</v>
      </c>
      <c r="J12" s="8">
        <v>3.5</v>
      </c>
    </row>
    <row r="13" spans="1:17" ht="26.25" customHeight="1">
      <c r="A13" s="3" t="s">
        <v>16</v>
      </c>
      <c r="B13" s="5">
        <v>3.32</v>
      </c>
      <c r="C13" s="5">
        <v>1.8</v>
      </c>
      <c r="D13" s="5">
        <v>2.12</v>
      </c>
      <c r="E13" s="5">
        <v>2.1</v>
      </c>
      <c r="F13" s="5">
        <v>9.4</v>
      </c>
      <c r="G13" s="5">
        <v>6.56</v>
      </c>
      <c r="H13" s="5">
        <v>7.6</v>
      </c>
      <c r="I13" s="5">
        <v>4.9400000000000004</v>
      </c>
      <c r="J13" s="8">
        <v>3.5</v>
      </c>
    </row>
    <row r="14" spans="1:17" ht="26.25" customHeight="1">
      <c r="A14" s="2" t="s">
        <v>17</v>
      </c>
      <c r="B14" s="5">
        <v>3.32</v>
      </c>
      <c r="C14" s="5">
        <v>1.8</v>
      </c>
      <c r="D14" s="5">
        <v>2.12</v>
      </c>
      <c r="E14" s="5">
        <v>2.1</v>
      </c>
      <c r="F14" s="5">
        <v>9.6</v>
      </c>
      <c r="G14" s="5">
        <v>6.56</v>
      </c>
      <c r="H14" s="5">
        <v>10.4</v>
      </c>
      <c r="I14" s="5">
        <v>4.3600000000000003</v>
      </c>
      <c r="J14" s="8">
        <v>7.2</v>
      </c>
    </row>
    <row r="15" spans="1:17" ht="31.95" customHeight="1">
      <c r="A15" s="2" t="s">
        <v>22</v>
      </c>
      <c r="B15" s="5">
        <v>3.32</v>
      </c>
      <c r="C15" s="5">
        <v>1.8</v>
      </c>
      <c r="D15" s="5">
        <v>2.12</v>
      </c>
      <c r="E15" s="5">
        <v>2.1</v>
      </c>
      <c r="F15" s="5">
        <v>9.4</v>
      </c>
      <c r="G15" s="5">
        <v>6.56</v>
      </c>
      <c r="H15" s="5">
        <v>10.4</v>
      </c>
      <c r="I15" s="5">
        <v>4.3600000000000003</v>
      </c>
      <c r="J15" s="8">
        <v>7.2</v>
      </c>
    </row>
    <row r="16" spans="1:17" ht="32.700000000000003" customHeight="1">
      <c r="A16" s="2" t="s">
        <v>24</v>
      </c>
      <c r="B16" s="5">
        <v>3.32</v>
      </c>
      <c r="C16" s="5">
        <v>1.8</v>
      </c>
      <c r="D16" s="5">
        <v>2.12</v>
      </c>
      <c r="E16" s="5">
        <v>2.1</v>
      </c>
      <c r="F16" s="5">
        <v>9.4</v>
      </c>
      <c r="G16" s="5">
        <v>6.56</v>
      </c>
      <c r="H16" s="5">
        <v>11.6</v>
      </c>
      <c r="I16" s="5">
        <v>5.26</v>
      </c>
      <c r="J16" s="8">
        <v>7.2</v>
      </c>
    </row>
    <row r="17" spans="1:10" ht="35.700000000000003" customHeight="1">
      <c r="A17" s="2" t="s">
        <v>25</v>
      </c>
      <c r="B17" s="5">
        <v>3.32</v>
      </c>
      <c r="C17" s="5">
        <v>1.8</v>
      </c>
      <c r="D17" s="5">
        <v>2.12</v>
      </c>
      <c r="E17" s="5">
        <v>2.1</v>
      </c>
      <c r="F17" s="5">
        <v>9.4</v>
      </c>
      <c r="G17" s="5">
        <v>6.56</v>
      </c>
      <c r="H17" s="5">
        <v>11.6</v>
      </c>
      <c r="I17" s="5">
        <v>5.26</v>
      </c>
      <c r="J17" s="8">
        <v>7.1</v>
      </c>
    </row>
    <row r="18" spans="1:10" ht="35.700000000000003" customHeight="1">
      <c r="A18" s="2" t="s">
        <v>26</v>
      </c>
      <c r="B18" s="5">
        <v>3.32</v>
      </c>
      <c r="C18" s="5">
        <v>1.8</v>
      </c>
      <c r="D18" s="5">
        <v>2.12</v>
      </c>
      <c r="E18" s="5">
        <v>2.1</v>
      </c>
      <c r="F18" s="5">
        <v>10</v>
      </c>
      <c r="G18" s="5">
        <v>6.4</v>
      </c>
      <c r="H18" s="5">
        <v>11.6</v>
      </c>
      <c r="I18" s="5">
        <v>5.26</v>
      </c>
      <c r="J18" s="8">
        <v>7.2</v>
      </c>
    </row>
    <row r="19" spans="1:10" ht="35.700000000000003" customHeight="1">
      <c r="A19" s="2" t="s">
        <v>27</v>
      </c>
      <c r="B19" s="5">
        <v>3.32</v>
      </c>
      <c r="C19" s="5">
        <v>1.8</v>
      </c>
      <c r="D19" s="5">
        <v>1.92</v>
      </c>
      <c r="E19" s="5">
        <v>2.1</v>
      </c>
      <c r="F19" s="5">
        <v>9.6999999999999993</v>
      </c>
      <c r="G19" s="5">
        <v>6.32</v>
      </c>
      <c r="H19" s="5">
        <v>9.68</v>
      </c>
      <c r="I19" s="5">
        <v>5.08</v>
      </c>
      <c r="J19" s="8">
        <v>7</v>
      </c>
    </row>
    <row r="20" spans="1:10" ht="35.700000000000003" customHeight="1">
      <c r="A20" s="2" t="s">
        <v>28</v>
      </c>
      <c r="B20" s="5">
        <v>3.32</v>
      </c>
      <c r="C20" s="5">
        <v>1.8</v>
      </c>
      <c r="D20" s="5">
        <v>1.92</v>
      </c>
      <c r="E20" s="5">
        <v>2.2000000000000002</v>
      </c>
      <c r="F20" s="5">
        <v>9.6999999999999993</v>
      </c>
      <c r="G20" s="5">
        <v>6.32</v>
      </c>
      <c r="H20" s="5">
        <v>9.68</v>
      </c>
      <c r="I20" s="5">
        <v>5.08</v>
      </c>
      <c r="J20" s="8">
        <v>7.2</v>
      </c>
    </row>
    <row r="21" spans="1:10" ht="27.75" customHeight="1">
      <c r="B21" s="9">
        <f>B20/2</f>
        <v>1.66</v>
      </c>
      <c r="C21" s="9">
        <f t="shared" ref="C21:J21" si="0">C20/2</f>
        <v>0.9</v>
      </c>
      <c r="D21" s="9">
        <f t="shared" si="0"/>
        <v>0.96</v>
      </c>
      <c r="E21" s="9">
        <f t="shared" si="0"/>
        <v>1.1000000000000001</v>
      </c>
      <c r="F21" s="9">
        <f t="shared" si="0"/>
        <v>4.8499999999999996</v>
      </c>
      <c r="G21" s="9">
        <f t="shared" si="0"/>
        <v>3.16</v>
      </c>
      <c r="H21" s="9">
        <f t="shared" si="0"/>
        <v>4.84</v>
      </c>
      <c r="I21" s="9">
        <f t="shared" si="0"/>
        <v>2.54</v>
      </c>
      <c r="J21" s="9">
        <f t="shared" si="0"/>
        <v>3.6</v>
      </c>
    </row>
    <row r="22" spans="1:10">
      <c r="B22" s="1">
        <f>B20/B19-1</f>
        <v>0</v>
      </c>
      <c r="C22" s="1">
        <f t="shared" ref="C22:J22" si="1">C20/C19-1</f>
        <v>0</v>
      </c>
      <c r="D22" s="1">
        <f t="shared" si="1"/>
        <v>0</v>
      </c>
      <c r="E22" s="1">
        <f t="shared" si="1"/>
        <v>4.7619047619047672E-2</v>
      </c>
      <c r="F22" s="1">
        <f t="shared" si="1"/>
        <v>0</v>
      </c>
      <c r="G22" s="1">
        <f t="shared" si="1"/>
        <v>0</v>
      </c>
      <c r="H22" s="1">
        <f t="shared" si="1"/>
        <v>0</v>
      </c>
      <c r="I22" s="1">
        <f t="shared" si="1"/>
        <v>0</v>
      </c>
      <c r="J22" s="1">
        <f t="shared" si="1"/>
        <v>2.8571428571428692E-2</v>
      </c>
    </row>
    <row r="23" spans="1:10">
      <c r="B23" s="1">
        <f>B20/B2-1</f>
        <v>3.7499999999999867E-2</v>
      </c>
      <c r="C23" s="1">
        <f t="shared" ref="C23:J23" si="2">C20/C2-1</f>
        <v>0</v>
      </c>
      <c r="D23" s="1">
        <f t="shared" si="2"/>
        <v>-4.0000000000000036E-2</v>
      </c>
      <c r="E23" s="1">
        <f t="shared" si="2"/>
        <v>0.10000000000000009</v>
      </c>
      <c r="F23" s="1">
        <f t="shared" si="2"/>
        <v>-0.16379310344827591</v>
      </c>
      <c r="G23" s="1">
        <f t="shared" si="2"/>
        <v>-0.12222222222222223</v>
      </c>
      <c r="H23" s="1">
        <f t="shared" si="2"/>
        <v>0.46666666666666679</v>
      </c>
      <c r="I23" s="1">
        <f t="shared" si="2"/>
        <v>-5.9259259259259345E-2</v>
      </c>
      <c r="J23" s="1">
        <f t="shared" si="2"/>
        <v>1</v>
      </c>
    </row>
  </sheetData>
  <phoneticPr fontId="1" type="noConversion"/>
  <pageMargins left="0.70060688679612526" right="0.70060688679612526" top="0.75198932895510218" bottom="0.75198932895510218" header="0.29926813962891347" footer="0.29926813962891347"/>
  <pageSetup paperSize="9" scale="79" firstPageNumber="4294967295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ColWidth="9" defaultRowHeight="15"/>
  <cols>
    <col min="1" max="16384" width="9" style="1"/>
  </cols>
  <sheetData/>
  <phoneticPr fontId="1" type="noConversion"/>
  <pageMargins left="0.70060688679612526" right="0.70060688679612526" top="0.75198932895510218" bottom="0.75198932895510218" header="0.29926813962891347" footer="0.29926813962891347"/>
  <pageSetup paperSize="9" firstPageNumber="42949672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42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</vt:lpstr>
      <vt:lpstr>工作表2</vt:lpstr>
      <vt:lpstr>工作表3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cp:revision>1</cp:revision>
  <dcterms:created xsi:type="dcterms:W3CDTF">2022-03-14T02:25:23Z</dcterms:created>
  <dcterms:modified xsi:type="dcterms:W3CDTF">2025-03-30T13:16:05Z</dcterms:modified>
</cp:coreProperties>
</file>