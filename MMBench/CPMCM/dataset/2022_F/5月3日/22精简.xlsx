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3日\"/>
    </mc:Choice>
  </mc:AlternateContent>
  <xr:revisionPtr revIDLastSave="0" documentId="8_{7ACEC52D-524A-4197-B024-5823825B78DB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17" i="1" l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</calcChain>
</file>

<file path=xl/sharedStrings.xml><?xml version="1.0" encoding="utf-8"?>
<sst xmlns="http://schemas.openxmlformats.org/spreadsheetml/2006/main" count="35" uniqueCount="21">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</sst>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4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6488076117308099"/>
          <c:y val="1.45295574316946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901964957101E-2"/>
          <c:y val="9.7945381596246869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工作表1!$A$2:$A$16</c:f>
              <c:strCache>
                <c:ptCount val="1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</c:strCache>
            </c:strRef>
          </c:cat>
          <c:val>
            <c:numRef>
              <c:f>工作表1!$B$2:$B$16</c:f>
              <c:numCache>
                <c:formatCode>0.00_ </c:formatCode>
                <c:ptCount val="15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6.76</c:v>
                </c:pt>
                <c:pt idx="9">
                  <c:v>4.3600000000000003</c:v>
                </c:pt>
                <c:pt idx="10">
                  <c:v>4.3600000000000003</c:v>
                </c:pt>
                <c:pt idx="11">
                  <c:v>3.16</c:v>
                </c:pt>
                <c:pt idx="12">
                  <c:v>3.16</c:v>
                </c:pt>
                <c:pt idx="13">
                  <c:v>3.5</c:v>
                </c:pt>
                <c:pt idx="14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F0-4BBF-865A-58DFD2991881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工作表1!$A$2:$A$16</c:f>
              <c:strCache>
                <c:ptCount val="1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</c:strCache>
            </c:strRef>
          </c:cat>
          <c:val>
            <c:numRef>
              <c:f>工作表1!$C$2:$C$16</c:f>
              <c:numCache>
                <c:formatCode>0.00_ </c:formatCode>
                <c:ptCount val="15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2.4</c:v>
                </c:pt>
                <c:pt idx="8">
                  <c:v>2.4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  <c:pt idx="12">
                  <c:v>2.56</c:v>
                </c:pt>
                <c:pt idx="13">
                  <c:v>2.56</c:v>
                </c:pt>
                <c:pt idx="14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F0-4BBF-865A-58DFD2991881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工作表1!$A$2:$A$16</c:f>
              <c:strCache>
                <c:ptCount val="1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</c:strCache>
            </c:strRef>
          </c:cat>
          <c:val>
            <c:numRef>
              <c:f>工作表1!$D$2:$D$16</c:f>
              <c:numCache>
                <c:formatCode>0.00_ 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6.56</c:v>
                </c:pt>
                <c:pt idx="8">
                  <c:v>3.16</c:v>
                </c:pt>
                <c:pt idx="9">
                  <c:v>6.36</c:v>
                </c:pt>
                <c:pt idx="10">
                  <c:v>6.36</c:v>
                </c:pt>
                <c:pt idx="11">
                  <c:v>5.98</c:v>
                </c:pt>
                <c:pt idx="12">
                  <c:v>5.96</c:v>
                </c:pt>
                <c:pt idx="13">
                  <c:v>5.96</c:v>
                </c:pt>
                <c:pt idx="14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F0-4BBF-865A-58DFD2991881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工作表1!$A$2:$A$16</c:f>
              <c:strCache>
                <c:ptCount val="1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</c:strCache>
            </c:strRef>
          </c:cat>
          <c:val>
            <c:numRef>
              <c:f>工作表1!$E$2:$E$16</c:f>
              <c:numCache>
                <c:formatCode>0.00_ 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5.8</c:v>
                </c:pt>
                <c:pt idx="8">
                  <c:v>5.76</c:v>
                </c:pt>
                <c:pt idx="9">
                  <c:v>5.76</c:v>
                </c:pt>
                <c:pt idx="10">
                  <c:v>5.76</c:v>
                </c:pt>
                <c:pt idx="11">
                  <c:v>3.96</c:v>
                </c:pt>
                <c:pt idx="12">
                  <c:v>3.96</c:v>
                </c:pt>
                <c:pt idx="13">
                  <c:v>3.96</c:v>
                </c:pt>
                <c:pt idx="14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F0-4BBF-865A-58DFD2991881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工作表1!$A$2:$A$16</c:f>
              <c:strCache>
                <c:ptCount val="1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</c:strCache>
            </c:strRef>
          </c:cat>
          <c:val>
            <c:numRef>
              <c:f>工作表1!$F$2:$F$16</c:f>
              <c:numCache>
                <c:formatCode>0.00_ </c:formatCode>
                <c:ptCount val="15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10.7</c:v>
                </c:pt>
                <c:pt idx="8">
                  <c:v>11.36</c:v>
                </c:pt>
                <c:pt idx="9">
                  <c:v>12.96</c:v>
                </c:pt>
                <c:pt idx="10">
                  <c:v>10.56</c:v>
                </c:pt>
                <c:pt idx="11">
                  <c:v>9.76</c:v>
                </c:pt>
                <c:pt idx="12">
                  <c:v>10.36</c:v>
                </c:pt>
                <c:pt idx="13">
                  <c:v>10.76</c:v>
                </c:pt>
                <c:pt idx="14">
                  <c:v>11.36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F0-4BBF-865A-58DFD2991881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工作表1!$A$2:$A$16</c:f>
              <c:strCache>
                <c:ptCount val="1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</c:strCache>
            </c:strRef>
          </c:cat>
          <c:val>
            <c:numRef>
              <c:f>工作表1!$G$2:$G$16</c:f>
              <c:numCache>
                <c:formatCode>0.00_ </c:formatCode>
                <c:ptCount val="15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7.96</c:v>
                </c:pt>
                <c:pt idx="8">
                  <c:v>6.76</c:v>
                </c:pt>
                <c:pt idx="9">
                  <c:v>7.16</c:v>
                </c:pt>
                <c:pt idx="10">
                  <c:v>6.96</c:v>
                </c:pt>
                <c:pt idx="11">
                  <c:v>5.36</c:v>
                </c:pt>
                <c:pt idx="12">
                  <c:v>5.56</c:v>
                </c:pt>
                <c:pt idx="13">
                  <c:v>5.56</c:v>
                </c:pt>
                <c:pt idx="14">
                  <c:v>5.56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F0-4BBF-865A-58DFD2991881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工作表1!$A$2:$A$16</c:f>
              <c:strCache>
                <c:ptCount val="1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</c:strCache>
            </c:strRef>
          </c:cat>
          <c:val>
            <c:numRef>
              <c:f>工作表1!$H$2:$H$16</c:f>
              <c:numCache>
                <c:formatCode>0.00_ </c:formatCode>
                <c:ptCount val="15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13</c:v>
                </c:pt>
                <c:pt idx="8">
                  <c:v>13.36</c:v>
                </c:pt>
                <c:pt idx="9">
                  <c:v>10.56</c:v>
                </c:pt>
                <c:pt idx="10">
                  <c:v>9.56</c:v>
                </c:pt>
                <c:pt idx="11">
                  <c:v>7.56</c:v>
                </c:pt>
                <c:pt idx="12">
                  <c:v>8.16</c:v>
                </c:pt>
                <c:pt idx="13">
                  <c:v>8.56</c:v>
                </c:pt>
                <c:pt idx="14">
                  <c:v>8.76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F0-4BBF-865A-58DFD2991881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工作表1!$A$2:$A$16</c:f>
              <c:strCache>
                <c:ptCount val="15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</c:strCache>
            </c:strRef>
          </c:cat>
          <c:val>
            <c:numRef>
              <c:f>工作表1!$I$2:$I$16</c:f>
              <c:numCache>
                <c:formatCode>0.00_ </c:formatCode>
                <c:ptCount val="15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10.52</c:v>
                </c:pt>
                <c:pt idx="8">
                  <c:v>4.96</c:v>
                </c:pt>
                <c:pt idx="9">
                  <c:v>4.96</c:v>
                </c:pt>
                <c:pt idx="10">
                  <c:v>4.5599999999999996</c:v>
                </c:pt>
                <c:pt idx="11">
                  <c:v>3.96</c:v>
                </c:pt>
                <c:pt idx="12">
                  <c:v>4.34</c:v>
                </c:pt>
                <c:pt idx="13">
                  <c:v>4.3600000000000003</c:v>
                </c:pt>
                <c:pt idx="14">
                  <c:v>4.16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3F0-4BBF-865A-58DFD2991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565264"/>
        <c:axId val="1"/>
      </c:lineChart>
      <c:catAx>
        <c:axId val="13056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3056526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264732399658254"/>
          <c:y val="0.95076109952146115"/>
          <c:w val="0.61223146430250341"/>
          <c:h val="3.4672669656252902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625929</xdr:colOff>
      <xdr:row>6</xdr:row>
      <xdr:rowOff>27214</xdr:rowOff>
    </xdr:from>
    <xdr:to>
      <xdr:col>26</xdr:col>
      <xdr:colOff>500743</xdr:colOff>
      <xdr:row>25</xdr:row>
      <xdr:rowOff>97971</xdr:rowOff>
    </xdr:to>
    <xdr:graphicFrame macro="">
      <xdr:nvGraphicFramePr>
        <xdr:cNvPr id="1143" name="图表 2">
          <a:extLst>
            <a:ext uri="{FF2B5EF4-FFF2-40B4-BE49-F238E27FC236}">
              <a16:creationId xmlns:a16="http://schemas.microsoft.com/office/drawing/2014/main" id="{E7E6EDB7-E903-4A1F-BF48-7A8BFB416B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0.16476</cdr:x>
      <cdr:y>0.89565</cdr:y>
    </cdr:from>
    <cdr:to>
      <cdr:x>0.46558</cdr:x>
      <cdr:y>0.92688</cdr:y>
    </cdr:to>
    <cdr:sp macro="" textlink="">
      <cdr:nvSpPr>
        <cdr:cNvPr id="121858" name="文本框 1">
          <a:extLst xmlns:a="http://schemas.openxmlformats.org/drawingml/2006/main">
            <a:ext uri="{FF2B5EF4-FFF2-40B4-BE49-F238E27FC236}">
              <a16:creationId xmlns:a16="http://schemas.microsoft.com/office/drawing/2014/main" id="{915A9576-3D2B-4B64-BCB7-DB092CDE115E}"/>
            </a:ext>
          </a:extLst>
        </cdr:cNvPr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76990" y="5349573"/>
          <a:ext cx="3058545" cy="18646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</cdr: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tabSelected="1" topLeftCell="A5" zoomScale="85" workbookViewId="0">
      <selection activeCell="T11" sqref="T11"/>
    </sheetView>
  </sheetViews>
  <sheetFormatPr defaultColWidth="9" defaultRowHeight="15"/>
  <cols>
    <col min="1" max="1" width="8.5703125" style="1" customWidth="1"/>
    <col min="2" max="2" width="8.5" style="1" customWidth="1"/>
    <col min="3" max="3" width="8.2109375" style="1" customWidth="1"/>
    <col min="4" max="4" width="8.35546875" style="1" customWidth="1"/>
    <col min="5" max="5" width="8.28515625" style="1" customWidth="1"/>
    <col min="6" max="6" width="9" style="1" bestFit="1"/>
    <col min="7" max="16384" width="9" style="1"/>
  </cols>
  <sheetData>
    <row r="1" spans="1:10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11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11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11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11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11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2">
        <v>5.08</v>
      </c>
      <c r="J7" s="11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13"/>
    </row>
    <row r="9" spans="1:10" ht="27.75" customHeight="1">
      <c r="A9" s="6" t="s">
        <v>11</v>
      </c>
      <c r="B9" s="8">
        <v>4.9000000000000004</v>
      </c>
      <c r="C9" s="8">
        <v>2.4</v>
      </c>
      <c r="D9" s="8">
        <v>6.56</v>
      </c>
      <c r="E9" s="8">
        <v>5.8</v>
      </c>
      <c r="F9" s="8">
        <v>10.7</v>
      </c>
      <c r="G9" s="8">
        <v>7.96</v>
      </c>
      <c r="H9" s="8">
        <v>13</v>
      </c>
      <c r="I9" s="8">
        <v>10.52</v>
      </c>
      <c r="J9" s="8"/>
    </row>
    <row r="10" spans="1:10" ht="27.75" customHeight="1">
      <c r="A10" s="6" t="s">
        <v>12</v>
      </c>
      <c r="B10" s="8">
        <v>6.76</v>
      </c>
      <c r="C10" s="8">
        <v>2.4</v>
      </c>
      <c r="D10" s="8">
        <v>3.16</v>
      </c>
      <c r="E10" s="8">
        <v>5.76</v>
      </c>
      <c r="F10" s="8">
        <v>11.36</v>
      </c>
      <c r="G10" s="8">
        <v>6.76</v>
      </c>
      <c r="H10" s="8">
        <v>13.36</v>
      </c>
      <c r="I10" s="8">
        <v>4.96</v>
      </c>
      <c r="J10" s="8"/>
    </row>
    <row r="11" spans="1:10" ht="27.75" customHeight="1">
      <c r="A11" s="6" t="s">
        <v>13</v>
      </c>
      <c r="B11" s="8">
        <v>4.3600000000000003</v>
      </c>
      <c r="C11" s="8">
        <v>2.7</v>
      </c>
      <c r="D11" s="8">
        <v>6.36</v>
      </c>
      <c r="E11" s="8">
        <v>5.76</v>
      </c>
      <c r="F11" s="8">
        <v>12.96</v>
      </c>
      <c r="G11" s="8">
        <v>7.16</v>
      </c>
      <c r="H11" s="8">
        <v>10.56</v>
      </c>
      <c r="I11" s="8">
        <v>4.96</v>
      </c>
      <c r="J11" s="8"/>
    </row>
    <row r="12" spans="1:10" ht="27.75" customHeight="1">
      <c r="A12" s="6" t="s">
        <v>14</v>
      </c>
      <c r="B12" s="8">
        <v>4.3600000000000003</v>
      </c>
      <c r="C12" s="8">
        <v>2.7</v>
      </c>
      <c r="D12" s="8">
        <v>6.36</v>
      </c>
      <c r="E12" s="8">
        <v>5.76</v>
      </c>
      <c r="F12" s="8">
        <v>10.56</v>
      </c>
      <c r="G12" s="8">
        <v>6.96</v>
      </c>
      <c r="H12" s="8">
        <v>9.56</v>
      </c>
      <c r="I12" s="8">
        <v>4.5599999999999996</v>
      </c>
      <c r="J12" s="8"/>
    </row>
    <row r="13" spans="1:10" ht="27.75" customHeight="1">
      <c r="A13" s="6" t="s">
        <v>15</v>
      </c>
      <c r="B13" s="8">
        <v>3.16</v>
      </c>
      <c r="C13" s="8">
        <v>2.7</v>
      </c>
      <c r="D13" s="8">
        <v>5.98</v>
      </c>
      <c r="E13" s="8">
        <v>3.96</v>
      </c>
      <c r="F13" s="8">
        <v>9.76</v>
      </c>
      <c r="G13" s="8">
        <v>5.36</v>
      </c>
      <c r="H13" s="8">
        <v>7.56</v>
      </c>
      <c r="I13" s="8">
        <v>3.96</v>
      </c>
      <c r="J13" s="8"/>
    </row>
    <row r="14" spans="1:10" ht="27.75" customHeight="1">
      <c r="A14" s="6" t="s">
        <v>16</v>
      </c>
      <c r="B14" s="8">
        <v>3.16</v>
      </c>
      <c r="C14" s="8">
        <v>2.56</v>
      </c>
      <c r="D14" s="8">
        <v>5.96</v>
      </c>
      <c r="E14" s="8">
        <v>3.96</v>
      </c>
      <c r="F14" s="8">
        <v>10.36</v>
      </c>
      <c r="G14" s="8">
        <v>5.56</v>
      </c>
      <c r="H14" s="8">
        <v>8.16</v>
      </c>
      <c r="I14" s="8">
        <v>4.34</v>
      </c>
      <c r="J14" s="8"/>
    </row>
    <row r="15" spans="1:10" ht="27.75" customHeight="1">
      <c r="A15" s="6" t="s">
        <v>17</v>
      </c>
      <c r="B15" s="8">
        <v>3.5</v>
      </c>
      <c r="C15" s="8">
        <v>2.56</v>
      </c>
      <c r="D15" s="8">
        <v>5.96</v>
      </c>
      <c r="E15" s="8">
        <v>3.96</v>
      </c>
      <c r="F15" s="8">
        <v>10.76</v>
      </c>
      <c r="G15" s="8">
        <v>5.56</v>
      </c>
      <c r="H15" s="8">
        <v>8.56</v>
      </c>
      <c r="I15" s="8">
        <v>4.3600000000000003</v>
      </c>
      <c r="J15" s="8"/>
    </row>
    <row r="16" spans="1:10" ht="27.75" customHeight="1">
      <c r="A16" s="6" t="s">
        <v>18</v>
      </c>
      <c r="B16" s="8">
        <v>3.76</v>
      </c>
      <c r="C16" s="8">
        <v>2.56</v>
      </c>
      <c r="D16" s="8">
        <v>3.76</v>
      </c>
      <c r="E16" s="8">
        <v>3.96</v>
      </c>
      <c r="F16" s="8">
        <v>11.36</v>
      </c>
      <c r="G16" s="8">
        <v>5.56</v>
      </c>
      <c r="H16" s="8">
        <v>8.76</v>
      </c>
      <c r="I16" s="8">
        <v>4.16</v>
      </c>
      <c r="J16" s="8"/>
    </row>
    <row r="17" spans="1:10" ht="27.75" customHeight="1">
      <c r="B17" s="8">
        <f>B16/2</f>
        <v>1.88</v>
      </c>
      <c r="C17" s="8">
        <f t="shared" ref="C17:I17" si="0">C16/2</f>
        <v>1.28</v>
      </c>
      <c r="D17" s="8">
        <f t="shared" si="0"/>
        <v>1.88</v>
      </c>
      <c r="E17" s="8">
        <f t="shared" si="0"/>
        <v>1.98</v>
      </c>
      <c r="F17" s="8">
        <f t="shared" si="0"/>
        <v>5.68</v>
      </c>
      <c r="G17" s="8">
        <f t="shared" si="0"/>
        <v>2.78</v>
      </c>
      <c r="H17" s="8">
        <f t="shared" si="0"/>
        <v>4.38</v>
      </c>
      <c r="I17" s="8">
        <f t="shared" si="0"/>
        <v>2.08</v>
      </c>
      <c r="J17" s="8"/>
    </row>
    <row r="18" spans="1:10" ht="19.95" customHeight="1">
      <c r="A18" s="9" t="s">
        <v>19</v>
      </c>
      <c r="B18" s="10">
        <f>B16/B15-1</f>
        <v>7.4285714285714288E-2</v>
      </c>
      <c r="C18" s="10">
        <f t="shared" ref="C18:I18" si="1">C16/C15-1</f>
        <v>0</v>
      </c>
      <c r="D18" s="10">
        <f t="shared" si="1"/>
        <v>-0.36912751677852351</v>
      </c>
      <c r="E18" s="10">
        <f t="shared" si="1"/>
        <v>0</v>
      </c>
      <c r="F18" s="10">
        <f t="shared" si="1"/>
        <v>5.5762081784386686E-2</v>
      </c>
      <c r="G18" s="10">
        <f t="shared" si="1"/>
        <v>0</v>
      </c>
      <c r="H18" s="10">
        <f t="shared" si="1"/>
        <v>2.3364485981308247E-2</v>
      </c>
      <c r="I18" s="10">
        <f t="shared" si="1"/>
        <v>-4.5871559633027581E-2</v>
      </c>
      <c r="J18" s="10"/>
    </row>
    <row r="19" spans="1:10" ht="25.2" customHeight="1">
      <c r="A19" s="9" t="s">
        <v>20</v>
      </c>
      <c r="B19" s="10">
        <f>B16/B2-1</f>
        <v>0.17499999999999982</v>
      </c>
      <c r="C19" s="10">
        <f t="shared" ref="C19:I19" si="2">C16/C2-1</f>
        <v>0.42222222222222228</v>
      </c>
      <c r="D19" s="10">
        <f t="shared" si="2"/>
        <v>0.87999999999999989</v>
      </c>
      <c r="E19" s="10">
        <f t="shared" si="2"/>
        <v>0.98</v>
      </c>
      <c r="F19" s="10">
        <f t="shared" si="2"/>
        <v>-2.0689655172413834E-2</v>
      </c>
      <c r="G19" s="10">
        <f t="shared" si="2"/>
        <v>-0.22777777777777786</v>
      </c>
      <c r="H19" s="10">
        <f t="shared" si="2"/>
        <v>0.32727272727272738</v>
      </c>
      <c r="I19" s="10">
        <f t="shared" si="2"/>
        <v>-0.22962962962962963</v>
      </c>
      <c r="J19" s="10"/>
    </row>
    <row r="20" spans="1:10" ht="26.7" customHeight="1">
      <c r="B20" s="2" t="s">
        <v>1</v>
      </c>
      <c r="C20" s="2" t="s">
        <v>2</v>
      </c>
      <c r="D20" s="2" t="s">
        <v>3</v>
      </c>
      <c r="E20" s="2" t="s">
        <v>4</v>
      </c>
      <c r="F20" s="2" t="s">
        <v>5</v>
      </c>
      <c r="G20" s="2" t="s">
        <v>6</v>
      </c>
      <c r="H20" s="2" t="s">
        <v>7</v>
      </c>
      <c r="I20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