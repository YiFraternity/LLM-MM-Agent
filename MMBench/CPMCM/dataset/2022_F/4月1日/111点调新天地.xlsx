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日\"/>
    </mc:Choice>
  </mc:AlternateContent>
  <xr:revisionPtr revIDLastSave="0" documentId="8_{5D580A97-B959-4555-BFC1-D117F0FC4C9D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B6" i="1"/>
  <c r="C6" i="1"/>
  <c r="D6" i="1"/>
  <c r="E6" i="1"/>
  <c r="F6" i="1"/>
  <c r="G6" i="1"/>
  <c r="H6" i="1"/>
  <c r="I6" i="1"/>
  <c r="B7" i="1"/>
  <c r="C7" i="1"/>
  <c r="D7" i="1"/>
  <c r="E7" i="1"/>
  <c r="F7" i="1"/>
  <c r="G7" i="1"/>
  <c r="H7" i="1"/>
  <c r="I7" i="1"/>
</calcChain>
</file>

<file path=xl/sharedStrings.xml><?xml version="1.0" encoding="utf-8"?>
<sst xmlns="http://schemas.openxmlformats.org/spreadsheetml/2006/main" count="14" uniqueCount="14">
  <si>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</si>
  <si>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</si>
  <si>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</si>
  <si>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</si>
  <si>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</si>
  <si>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</si>
  <si>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</si>
  <si>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</si>
  <si>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</si>
  <si>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7日</t>
  </si>
  <si>
    <t>31日</t>
  </si>
  <si>
    <t>1日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</si>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</sst>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9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（数据来源：市商务局点调的302家新天地连锁超市）</a:t>
            </a:r>
            <a:endParaRPr lang="zh-CN" altLang="en-US"/>
          </a:p>
        </c:rich>
      </c:tx>
      <c:layout>
        <c:manualLayout>
          <c:xMode val="edge"/>
          <c:yMode val="edge"/>
          <c:x val="0.28239171990293666"/>
          <c:y val="3.658826412551009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169734322949504E-2"/>
          <c:y val="9.6138202321183364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</c:f>
              <c:strCache>
                <c:ptCount val="3"/>
                <c:pt idx="0">
                  <c:v>7日</c:v>
                </c:pt>
                <c:pt idx="1">
                  <c:v>31日</c:v>
                </c:pt>
                <c:pt idx="2">
                  <c:v>1日</c:v>
                </c:pt>
              </c:strCache>
            </c:strRef>
          </c:cat>
          <c:val>
            <c:numRef>
              <c:f>工作表1!$B$2:$B$4</c:f>
              <c:numCache>
                <c:formatCode>0.00_ </c:formatCode>
                <c:ptCount val="3"/>
                <c:pt idx="0">
                  <c:v>3.645</c:v>
                </c:pt>
                <c:pt idx="1">
                  <c:v>6.45</c:v>
                </c:pt>
                <c:pt idx="2">
                  <c:v>7.65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1B-49F7-AD7A-4B108DAA213E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</c:f>
              <c:strCache>
                <c:ptCount val="3"/>
                <c:pt idx="0">
                  <c:v>7日</c:v>
                </c:pt>
                <c:pt idx="1">
                  <c:v>31日</c:v>
                </c:pt>
                <c:pt idx="2">
                  <c:v>1日</c:v>
                </c:pt>
              </c:strCache>
            </c:strRef>
          </c:cat>
          <c:val>
            <c:numRef>
              <c:f>工作表1!$C$2:$C$4</c:f>
              <c:numCache>
                <c:formatCode>0.00_ </c:formatCode>
                <c:ptCount val="3"/>
                <c:pt idx="0">
                  <c:v>2.5550000000000002</c:v>
                </c:pt>
                <c:pt idx="1">
                  <c:v>2.15</c:v>
                </c:pt>
                <c:pt idx="2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1B-49F7-AD7A-4B108DAA213E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</c:f>
              <c:strCache>
                <c:ptCount val="3"/>
                <c:pt idx="0">
                  <c:v>7日</c:v>
                </c:pt>
                <c:pt idx="1">
                  <c:v>31日</c:v>
                </c:pt>
                <c:pt idx="2">
                  <c:v>1日</c:v>
                </c:pt>
              </c:strCache>
            </c:strRef>
          </c:cat>
          <c:val>
            <c:numRef>
              <c:f>工作表1!$D$2:$D$4</c:f>
              <c:numCache>
                <c:formatCode>0.00_ </c:formatCode>
                <c:ptCount val="3"/>
                <c:pt idx="0">
                  <c:v>1.55</c:v>
                </c:pt>
                <c:pt idx="1">
                  <c:v>2.25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1B-49F7-AD7A-4B108DAA213E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</c:f>
              <c:strCache>
                <c:ptCount val="3"/>
                <c:pt idx="0">
                  <c:v>7日</c:v>
                </c:pt>
                <c:pt idx="1">
                  <c:v>31日</c:v>
                </c:pt>
                <c:pt idx="2">
                  <c:v>1日</c:v>
                </c:pt>
              </c:strCache>
            </c:strRef>
          </c:cat>
          <c:val>
            <c:numRef>
              <c:f>工作表1!$E$2:$E$4</c:f>
              <c:numCache>
                <c:formatCode>0.00_ </c:formatCode>
                <c:ptCount val="3"/>
                <c:pt idx="0">
                  <c:v>2.4900000000000002</c:v>
                </c:pt>
                <c:pt idx="1">
                  <c:v>2.5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1B-49F7-AD7A-4B108DAA213E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</c:f>
              <c:strCache>
                <c:ptCount val="3"/>
                <c:pt idx="0">
                  <c:v>7日</c:v>
                </c:pt>
                <c:pt idx="1">
                  <c:v>31日</c:v>
                </c:pt>
                <c:pt idx="2">
                  <c:v>1日</c:v>
                </c:pt>
              </c:strCache>
            </c:strRef>
          </c:cat>
          <c:val>
            <c:numRef>
              <c:f>工作表1!$F$2:$F$4</c:f>
              <c:numCache>
                <c:formatCode>0.00_ </c:formatCode>
                <c:ptCount val="3"/>
                <c:pt idx="0">
                  <c:v>7.61</c:v>
                </c:pt>
                <c:pt idx="1">
                  <c:v>7.25</c:v>
                </c:pt>
                <c:pt idx="2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1B-49F7-AD7A-4B108DAA213E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</c:f>
              <c:strCache>
                <c:ptCount val="3"/>
                <c:pt idx="0">
                  <c:v>7日</c:v>
                </c:pt>
                <c:pt idx="1">
                  <c:v>31日</c:v>
                </c:pt>
                <c:pt idx="2">
                  <c:v>1日</c:v>
                </c:pt>
              </c:strCache>
            </c:strRef>
          </c:cat>
          <c:val>
            <c:numRef>
              <c:f>工作表1!$G$2:$G$4</c:f>
              <c:numCache>
                <c:formatCode>0.00_ </c:formatCode>
                <c:ptCount val="3"/>
                <c:pt idx="0">
                  <c:v>10.975</c:v>
                </c:pt>
                <c:pt idx="1">
                  <c:v>7</c:v>
                </c:pt>
                <c:pt idx="2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11B-49F7-AD7A-4B108DAA213E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</c:f>
              <c:strCache>
                <c:ptCount val="3"/>
                <c:pt idx="0">
                  <c:v>7日</c:v>
                </c:pt>
                <c:pt idx="1">
                  <c:v>31日</c:v>
                </c:pt>
                <c:pt idx="2">
                  <c:v>1日</c:v>
                </c:pt>
              </c:strCache>
            </c:strRef>
          </c:cat>
          <c:val>
            <c:numRef>
              <c:f>工作表1!$H$2:$H$4</c:f>
              <c:numCache>
                <c:formatCode>0.00_ </c:formatCode>
                <c:ptCount val="3"/>
                <c:pt idx="0">
                  <c:v>3.91</c:v>
                </c:pt>
                <c:pt idx="1">
                  <c:v>8</c:v>
                </c:pt>
                <c:pt idx="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1B-49F7-AD7A-4B108DAA213E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</c:f>
              <c:strCache>
                <c:ptCount val="3"/>
                <c:pt idx="0">
                  <c:v>7日</c:v>
                </c:pt>
                <c:pt idx="1">
                  <c:v>31日</c:v>
                </c:pt>
                <c:pt idx="2">
                  <c:v>1日</c:v>
                </c:pt>
              </c:strCache>
            </c:strRef>
          </c:cat>
          <c:val>
            <c:numRef>
              <c:f>工作表1!$I$2:$I$4</c:f>
              <c:numCache>
                <c:formatCode>0.00_ </c:formatCode>
                <c:ptCount val="3"/>
                <c:pt idx="0">
                  <c:v>6.13</c:v>
                </c:pt>
                <c:pt idx="1">
                  <c:v>6.45</c:v>
                </c:pt>
                <c:pt idx="2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11B-49F7-AD7A-4B108DAA2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708736"/>
        <c:axId val="1"/>
      </c:lineChart>
      <c:catAx>
        <c:axId val="1097708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</a:rPr>
                  <a:t>日期（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Calibri"/>
                    <a:ea typeface="等线"/>
                    <a:cs typeface="Calibri"/>
                  </a:rPr>
                  <a:t>3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Calibri"/>
                  </a:rPr>
                  <a:t>月）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09770873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1646659571200661"/>
          <c:y val="0.93526571088375221"/>
          <c:w val="0.82029867720617"/>
          <c:h val="4.1713728889181428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680357</xdr:colOff>
      <xdr:row>0</xdr:row>
      <xdr:rowOff>174171</xdr:rowOff>
    </xdr:from>
    <xdr:to>
      <xdr:col>21</xdr:col>
      <xdr:colOff>21771</xdr:colOff>
      <xdr:row>22</xdr:row>
      <xdr:rowOff>10886</xdr:rowOff>
    </xdr:to>
    <xdr:graphicFrame macro="">
      <xdr:nvGraphicFramePr>
        <xdr:cNvPr id="1078" name="图表 2">
          <a:extLst>
            <a:ext uri="{FF2B5EF4-FFF2-40B4-BE49-F238E27FC236}">
              <a16:creationId xmlns:a16="http://schemas.microsoft.com/office/drawing/2014/main" id="{4F6DA9AE-3BCF-474F-8D12-D21F7C2EB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Views>
    <sheetView tabSelected="1" workbookViewId="0">
      <selection activeCell="B16" sqref="B16"/>
    </sheetView>
  </sheetViews>
  <sheetFormatPr defaultColWidth="9" defaultRowHeight="15"/>
  <cols>
    <col min="1" max="1" width="8.5703125" style="1" customWidth="1"/>
    <col min="2" max="2" width="8.5" style="1" customWidth="1"/>
    <col min="3" max="3" width="9.35546875" style="1" customWidth="1"/>
    <col min="4" max="5" width="7.5" style="1" customWidth="1"/>
    <col min="6" max="6" width="9" style="1" bestFit="1"/>
    <col min="7" max="16384" width="9" style="1"/>
  </cols>
  <sheetData>
    <row r="1" spans="1:9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7" customHeight="1">
      <c r="A2" s="3" t="s">
        <v>9</v>
      </c>
      <c r="B2" s="4">
        <v>3.645</v>
      </c>
      <c r="C2" s="4">
        <v>2.5550000000000002</v>
      </c>
      <c r="D2" s="4">
        <v>1.55</v>
      </c>
      <c r="E2" s="4">
        <v>2.4900000000000002</v>
      </c>
      <c r="F2" s="4">
        <v>7.61</v>
      </c>
      <c r="G2" s="5">
        <v>10.975</v>
      </c>
      <c r="H2" s="5">
        <v>3.91</v>
      </c>
      <c r="I2" s="5">
        <v>6.13</v>
      </c>
    </row>
    <row r="3" spans="1:9" ht="35.700000000000003" customHeight="1">
      <c r="A3" s="2" t="s">
        <v>10</v>
      </c>
      <c r="B3" s="5">
        <v>6.45</v>
      </c>
      <c r="C3" s="5">
        <v>2.15</v>
      </c>
      <c r="D3" s="5">
        <v>2.25</v>
      </c>
      <c r="E3" s="5">
        <v>2.5</v>
      </c>
      <c r="F3" s="5">
        <v>7.25</v>
      </c>
      <c r="G3" s="5">
        <v>7</v>
      </c>
      <c r="H3" s="5">
        <v>8</v>
      </c>
      <c r="I3" s="5">
        <v>6.45</v>
      </c>
    </row>
    <row r="4" spans="1:9" ht="35.700000000000003" customHeight="1">
      <c r="A4" s="2" t="s">
        <v>11</v>
      </c>
      <c r="B4" s="5">
        <v>7.65</v>
      </c>
      <c r="C4" s="5">
        <v>2.1</v>
      </c>
      <c r="D4" s="5">
        <v>2.4</v>
      </c>
      <c r="E4" s="5">
        <v>2.5</v>
      </c>
      <c r="F4" s="5">
        <v>7.1</v>
      </c>
      <c r="G4" s="5">
        <v>6.9</v>
      </c>
      <c r="H4" s="5">
        <v>8</v>
      </c>
      <c r="I4" s="5">
        <v>6.1</v>
      </c>
    </row>
    <row r="5" spans="1:9" ht="27.75" customHeight="1">
      <c r="B5" s="6">
        <f>B4/2</f>
        <v>3.8250000000000002</v>
      </c>
      <c r="C5" s="6">
        <f t="shared" ref="C5:I5" si="0">C4/2</f>
        <v>1.05</v>
      </c>
      <c r="D5" s="6">
        <f t="shared" si="0"/>
        <v>1.2</v>
      </c>
      <c r="E5" s="6">
        <f t="shared" si="0"/>
        <v>1.25</v>
      </c>
      <c r="F5" s="6">
        <f t="shared" si="0"/>
        <v>3.55</v>
      </c>
      <c r="G5" s="6">
        <f t="shared" si="0"/>
        <v>3.45</v>
      </c>
      <c r="H5" s="6">
        <f t="shared" si="0"/>
        <v>4</v>
      </c>
      <c r="I5" s="6">
        <f t="shared" si="0"/>
        <v>3.05</v>
      </c>
    </row>
    <row r="6" spans="1:9">
      <c r="A6" s="7" t="s">
        <v>12</v>
      </c>
      <c r="B6" s="8">
        <f>B4/B3-1</f>
        <v>0.18604651162790709</v>
      </c>
      <c r="C6" s="8">
        <f t="shared" ref="C6:I6" si="1">C4/C3-1</f>
        <v>-2.3255813953488302E-2</v>
      </c>
      <c r="D6" s="8">
        <f t="shared" si="1"/>
        <v>6.6666666666666652E-2</v>
      </c>
      <c r="E6" s="8">
        <f t="shared" si="1"/>
        <v>0</v>
      </c>
      <c r="F6" s="8">
        <f t="shared" si="1"/>
        <v>-2.0689655172413834E-2</v>
      </c>
      <c r="G6" s="8">
        <f t="shared" si="1"/>
        <v>-1.4285714285714235E-2</v>
      </c>
      <c r="H6" s="8">
        <f t="shared" si="1"/>
        <v>0</v>
      </c>
      <c r="I6" s="8">
        <f t="shared" si="1"/>
        <v>-5.4263565891472965E-2</v>
      </c>
    </row>
    <row r="7" spans="1:9">
      <c r="A7" s="7" t="s">
        <v>13</v>
      </c>
      <c r="B7" s="8">
        <f>B4/B2-1</f>
        <v>1.0987654320987654</v>
      </c>
      <c r="C7" s="8">
        <f t="shared" ref="C7:I7" si="2">C4/C2-1</f>
        <v>-0.17808219178082196</v>
      </c>
      <c r="D7" s="8">
        <f t="shared" si="2"/>
        <v>0.54838709677419351</v>
      </c>
      <c r="E7" s="8">
        <f t="shared" si="2"/>
        <v>4.0160642570279403E-3</v>
      </c>
      <c r="F7" s="8">
        <f t="shared" si="2"/>
        <v>-6.7017082785808202E-2</v>
      </c>
      <c r="G7" s="8">
        <f t="shared" si="2"/>
        <v>-0.37129840546697035</v>
      </c>
      <c r="H7" s="8">
        <f t="shared" si="2"/>
        <v>1.0460358056265986</v>
      </c>
      <c r="I7" s="8">
        <f t="shared" si="2"/>
        <v>-4.8939641109299048E-3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