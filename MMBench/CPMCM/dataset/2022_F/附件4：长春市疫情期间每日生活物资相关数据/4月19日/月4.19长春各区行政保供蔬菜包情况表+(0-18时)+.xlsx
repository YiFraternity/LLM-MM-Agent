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9日\"/>
    </mc:Choice>
  </mc:AlternateContent>
  <xr:revisionPtr revIDLastSave="0" documentId="8_{DB992E07-17AC-47DF-8F41-B3D435E0EF1A}" xr6:coauthVersionLast="36" xr6:coauthVersionMax="36" xr10:uidLastSave="{00000000-0000-0000-0000-000000000000}"/>
  <bookViews>
    <workbookView xWindow="32769" yWindow="32769" windowWidth="28800" windowHeight="12317"/>
  </bookViews>
  <sheets>
    <sheet name="4.18" sheetId="6" r:id="rId1"/>
  </sheets>
  <definedNames>
    <definedName name="_xlnm.Print_Area" localSheetId="0">'4.18'!$A$1:$S$21</definedName>
    <definedName name="_xlnm.Print_Titles" localSheetId="0">'4.18'!$1:$6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Q7" i="6"/>
  <c r="R7" i="6"/>
  <c r="S7" i="6"/>
  <c r="P8" i="6"/>
  <c r="Q8" i="6"/>
  <c r="R8" i="6"/>
  <c r="S8" i="6"/>
  <c r="P9" i="6"/>
  <c r="Q9" i="6"/>
  <c r="Q20" i="6" s="1"/>
  <c r="R9" i="6"/>
  <c r="R20" i="6" s="1"/>
  <c r="S9" i="6"/>
  <c r="S20" i="6" s="1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P14" i="6"/>
  <c r="Q14" i="6"/>
  <c r="R14" i="6"/>
  <c r="S14" i="6"/>
  <c r="P16" i="6"/>
  <c r="Q16" i="6"/>
  <c r="R16" i="6"/>
  <c r="S16" i="6"/>
  <c r="P17" i="6"/>
  <c r="Q17" i="6"/>
  <c r="R17" i="6"/>
  <c r="S17" i="6"/>
  <c r="P18" i="6"/>
  <c r="Q18" i="6"/>
  <c r="R18" i="6"/>
  <c r="S18" i="6"/>
  <c r="P19" i="6"/>
  <c r="Q19" i="6"/>
  <c r="R19" i="6"/>
  <c r="S19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</calcChain>
</file>

<file path=xl/sharedStrings.xml><?xml version="1.0" encoding="utf-8"?>
<sst xmlns="http://schemas.openxmlformats.org/spreadsheetml/2006/main" count="54" uniqueCount="35">
  <si>
    <t>4月19日长春各区行政保供蔬菜包情况表</t>
  </si>
  <si>
    <t>统计时间段：19日0-18时</t>
  </si>
  <si>
    <t>上报时间：4月19日18时</t>
  </si>
  <si>
    <t>序号</t>
  </si>
  <si>
    <t>各城区、
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</si>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</sst>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69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tabSelected="1" view="pageBreakPreview" zoomScaleNormal="85" workbookViewId="0">
      <pane ySplit="6" topLeftCell="A11" activePane="bottomLeft" state="frozen"/>
      <selection pane="bottomLeft" activeCell="N17" sqref="N17"/>
    </sheetView>
  </sheetViews>
  <sheetFormatPr defaultColWidth="9" defaultRowHeight="15" x14ac:dyDescent="0.3"/>
  <cols>
    <col min="1" max="1" width="5.5" customWidth="1"/>
    <col min="2" max="2" width="13.85546875" customWidth="1"/>
    <col min="3" max="3" width="9" customWidth="1"/>
    <col min="4" max="4" width="10" customWidth="1"/>
    <col min="5" max="5" width="9.2109375" customWidth="1"/>
    <col min="6" max="6" width="10" customWidth="1"/>
    <col min="7" max="7" width="9.140625" customWidth="1"/>
    <col min="8" max="8" width="9.7109375" style="1" customWidth="1"/>
    <col min="9" max="9" width="9.7109375" customWidth="1"/>
    <col min="10" max="11" width="9.7109375" style="1" customWidth="1"/>
    <col min="12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  <col min="21" max="21" width="9.35546875" bestFit="1" customWidth="1"/>
    <col min="23" max="23" width="9.35546875" bestFit="1" customWidth="1"/>
  </cols>
  <sheetData>
    <row r="1" spans="1:19" ht="18" customHeight="1" x14ac:dyDescent="0.3">
      <c r="A1" s="37"/>
      <c r="B1" s="37"/>
      <c r="C1" s="3"/>
    </row>
    <row r="2" spans="1:19" ht="28" customHeight="1" x14ac:dyDescent="0.3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ht="23.05" customHeight="1" x14ac:dyDescent="0.3">
      <c r="A3" s="39" t="s">
        <v>1</v>
      </c>
      <c r="B3" s="39"/>
      <c r="C3" s="39"/>
      <c r="D3" s="39"/>
      <c r="E3" s="39"/>
      <c r="F3" s="16"/>
      <c r="G3" s="4"/>
      <c r="H3" s="4"/>
      <c r="I3" s="39"/>
      <c r="J3" s="39"/>
      <c r="K3" s="39"/>
      <c r="L3" s="25"/>
      <c r="M3" s="39"/>
      <c r="N3" s="39"/>
      <c r="O3" s="39"/>
      <c r="P3" s="39" t="s">
        <v>2</v>
      </c>
      <c r="Q3" s="39"/>
      <c r="R3" s="39"/>
    </row>
    <row r="4" spans="1:19" ht="33" customHeight="1" x14ac:dyDescent="0.3">
      <c r="A4" s="55" t="s">
        <v>3</v>
      </c>
      <c r="B4" s="52" t="s">
        <v>4</v>
      </c>
      <c r="C4" s="40" t="s">
        <v>5</v>
      </c>
      <c r="D4" s="41"/>
      <c r="E4" s="41"/>
      <c r="F4" s="41"/>
      <c r="G4" s="42"/>
      <c r="H4" s="43" t="s">
        <v>6</v>
      </c>
      <c r="I4" s="44"/>
      <c r="J4" s="44"/>
      <c r="K4" s="45"/>
      <c r="L4" s="46" t="s">
        <v>7</v>
      </c>
      <c r="M4" s="47"/>
      <c r="N4" s="47"/>
      <c r="O4" s="47"/>
      <c r="P4" s="48" t="s">
        <v>8</v>
      </c>
      <c r="Q4" s="48"/>
      <c r="R4" s="48"/>
      <c r="S4" s="48"/>
    </row>
    <row r="5" spans="1:19" ht="33" customHeight="1" x14ac:dyDescent="0.3">
      <c r="A5" s="55"/>
      <c r="B5" s="52"/>
      <c r="C5" s="60" t="s">
        <v>9</v>
      </c>
      <c r="D5" s="49" t="s">
        <v>10</v>
      </c>
      <c r="E5" s="49"/>
      <c r="F5" s="41" t="s">
        <v>11</v>
      </c>
      <c r="G5" s="42"/>
      <c r="H5" s="50" t="s">
        <v>10</v>
      </c>
      <c r="I5" s="50"/>
      <c r="J5" s="44" t="s">
        <v>11</v>
      </c>
      <c r="K5" s="45"/>
      <c r="L5" s="46" t="s">
        <v>12</v>
      </c>
      <c r="M5" s="51"/>
      <c r="N5" s="46" t="s">
        <v>11</v>
      </c>
      <c r="O5" s="47"/>
      <c r="P5" s="52" t="s">
        <v>13</v>
      </c>
      <c r="Q5" s="52"/>
      <c r="R5" s="48" t="s">
        <v>11</v>
      </c>
      <c r="S5" s="48"/>
    </row>
    <row r="6" spans="1:19" ht="45" customHeight="1" x14ac:dyDescent="0.3">
      <c r="A6" s="55"/>
      <c r="B6" s="52"/>
      <c r="C6" s="61"/>
      <c r="D6" s="5" t="s">
        <v>14</v>
      </c>
      <c r="E6" s="17" t="s">
        <v>15</v>
      </c>
      <c r="F6" s="5" t="s">
        <v>14</v>
      </c>
      <c r="G6" s="17" t="s">
        <v>15</v>
      </c>
      <c r="H6" s="18" t="s">
        <v>14</v>
      </c>
      <c r="I6" s="26" t="s">
        <v>15</v>
      </c>
      <c r="J6" s="18" t="s">
        <v>14</v>
      </c>
      <c r="K6" s="26" t="s">
        <v>15</v>
      </c>
      <c r="L6" s="27" t="s">
        <v>14</v>
      </c>
      <c r="M6" s="27" t="s">
        <v>15</v>
      </c>
      <c r="N6" s="27" t="s">
        <v>14</v>
      </c>
      <c r="O6" s="27" t="s">
        <v>15</v>
      </c>
      <c r="P6" s="34" t="s">
        <v>14</v>
      </c>
      <c r="Q6" s="34" t="s">
        <v>15</v>
      </c>
      <c r="R6" s="34" t="s">
        <v>14</v>
      </c>
      <c r="S6" s="34" t="s">
        <v>15</v>
      </c>
    </row>
    <row r="7" spans="1:19" ht="39" customHeight="1" x14ac:dyDescent="0.3">
      <c r="A7" s="6">
        <v>1</v>
      </c>
      <c r="B7" s="7" t="s">
        <v>16</v>
      </c>
      <c r="C7" s="7"/>
      <c r="D7" s="8">
        <v>0</v>
      </c>
      <c r="E7" s="19"/>
      <c r="F7" s="8">
        <v>0</v>
      </c>
      <c r="G7" s="19"/>
      <c r="H7" s="7">
        <v>0</v>
      </c>
      <c r="I7" s="28"/>
      <c r="J7" s="29">
        <v>0</v>
      </c>
      <c r="K7" s="28"/>
      <c r="L7" s="7">
        <v>9048</v>
      </c>
      <c r="M7" s="30">
        <v>90.48</v>
      </c>
      <c r="N7" s="7">
        <v>9048</v>
      </c>
      <c r="O7" s="30">
        <v>90.48</v>
      </c>
      <c r="P7" s="6">
        <f t="shared" ref="P7:S9" si="0">H7+D7+L7</f>
        <v>9048</v>
      </c>
      <c r="Q7" s="22">
        <f t="shared" si="0"/>
        <v>90.48</v>
      </c>
      <c r="R7" s="36">
        <f t="shared" si="0"/>
        <v>9048</v>
      </c>
      <c r="S7" s="22">
        <f t="shared" si="0"/>
        <v>90.48</v>
      </c>
    </row>
    <row r="8" spans="1:19" ht="39" customHeight="1" x14ac:dyDescent="0.3">
      <c r="A8" s="9">
        <v>2</v>
      </c>
      <c r="B8" s="10" t="s">
        <v>17</v>
      </c>
      <c r="C8" s="7"/>
      <c r="D8" s="8">
        <v>0</v>
      </c>
      <c r="E8" s="20"/>
      <c r="F8" s="8">
        <v>0</v>
      </c>
      <c r="G8" s="19"/>
      <c r="H8" s="7">
        <v>0</v>
      </c>
      <c r="I8" s="28"/>
      <c r="J8" s="29">
        <v>0</v>
      </c>
      <c r="K8" s="28"/>
      <c r="L8" s="7">
        <v>0</v>
      </c>
      <c r="M8" s="30"/>
      <c r="N8" s="7">
        <v>0</v>
      </c>
      <c r="O8" s="30"/>
      <c r="P8" s="6">
        <f t="shared" si="0"/>
        <v>0</v>
      </c>
      <c r="Q8" s="22">
        <f t="shared" si="0"/>
        <v>0</v>
      </c>
      <c r="R8" s="36">
        <f t="shared" si="0"/>
        <v>0</v>
      </c>
      <c r="S8" s="22">
        <f t="shared" si="0"/>
        <v>0</v>
      </c>
    </row>
    <row r="9" spans="1:19" ht="39" customHeight="1" x14ac:dyDescent="0.3">
      <c r="A9" s="6">
        <v>3</v>
      </c>
      <c r="B9" s="7" t="s">
        <v>18</v>
      </c>
      <c r="C9" s="7"/>
      <c r="D9" s="8">
        <v>0</v>
      </c>
      <c r="E9" s="19"/>
      <c r="F9" s="8">
        <v>0</v>
      </c>
      <c r="G9" s="19"/>
      <c r="H9" s="7">
        <v>0</v>
      </c>
      <c r="I9" s="28"/>
      <c r="J9" s="29">
        <v>0</v>
      </c>
      <c r="K9" s="28"/>
      <c r="L9" s="7">
        <v>1900</v>
      </c>
      <c r="M9" s="30">
        <v>19</v>
      </c>
      <c r="N9" s="7">
        <v>3000</v>
      </c>
      <c r="O9" s="30">
        <v>30</v>
      </c>
      <c r="P9" s="6">
        <f t="shared" si="0"/>
        <v>1900</v>
      </c>
      <c r="Q9" s="22">
        <f t="shared" si="0"/>
        <v>19</v>
      </c>
      <c r="R9" s="36">
        <f t="shared" si="0"/>
        <v>3000</v>
      </c>
      <c r="S9" s="22">
        <f t="shared" si="0"/>
        <v>30</v>
      </c>
    </row>
    <row r="10" spans="1:19" ht="39" customHeight="1" x14ac:dyDescent="0.3">
      <c r="A10" s="9">
        <v>4</v>
      </c>
      <c r="B10" s="10" t="s">
        <v>19</v>
      </c>
      <c r="C10" s="7" t="s">
        <v>20</v>
      </c>
      <c r="D10" s="8">
        <v>0</v>
      </c>
      <c r="E10" s="20"/>
      <c r="F10" s="10">
        <v>0</v>
      </c>
      <c r="G10" s="21"/>
      <c r="H10" s="11">
        <v>1992</v>
      </c>
      <c r="I10" s="30">
        <v>17.93</v>
      </c>
      <c r="J10" s="11">
        <v>1992</v>
      </c>
      <c r="K10" s="30">
        <v>17.93</v>
      </c>
      <c r="L10" s="10">
        <v>0</v>
      </c>
      <c r="M10" s="30"/>
      <c r="N10" s="10">
        <v>0</v>
      </c>
      <c r="O10" s="30"/>
      <c r="P10" s="9">
        <f>D10+H10+L10</f>
        <v>1992</v>
      </c>
      <c r="Q10" s="9">
        <f>E10+I10+M10</f>
        <v>17.93</v>
      </c>
      <c r="R10" s="9">
        <f>F10+J10+N10</f>
        <v>1992</v>
      </c>
      <c r="S10" s="9">
        <f>G10+K10+O10</f>
        <v>17.93</v>
      </c>
    </row>
    <row r="11" spans="1:19" ht="39" customHeight="1" x14ac:dyDescent="0.3">
      <c r="A11" s="6">
        <v>5</v>
      </c>
      <c r="B11" s="11" t="s">
        <v>21</v>
      </c>
      <c r="C11" s="7" t="s">
        <v>22</v>
      </c>
      <c r="D11" s="8">
        <v>0</v>
      </c>
      <c r="E11" s="20"/>
      <c r="F11" s="8">
        <v>0</v>
      </c>
      <c r="G11" s="20"/>
      <c r="H11" s="7">
        <v>0</v>
      </c>
      <c r="I11" s="28"/>
      <c r="J11" s="29">
        <v>0</v>
      </c>
      <c r="K11" s="28"/>
      <c r="L11" s="8">
        <v>0</v>
      </c>
      <c r="M11" s="30"/>
      <c r="N11" s="8">
        <v>0</v>
      </c>
      <c r="O11" s="30"/>
      <c r="P11" s="6">
        <f>H11+D11+L11</f>
        <v>0</v>
      </c>
      <c r="Q11" s="22">
        <f>I11+E11+M11</f>
        <v>0</v>
      </c>
      <c r="R11" s="36">
        <f>J11+F11+N11</f>
        <v>0</v>
      </c>
      <c r="S11" s="22">
        <f>K11+G11+O11</f>
        <v>0</v>
      </c>
    </row>
    <row r="12" spans="1:19" ht="39" customHeight="1" x14ac:dyDescent="0.3">
      <c r="A12" s="9">
        <v>6</v>
      </c>
      <c r="B12" s="7" t="s">
        <v>23</v>
      </c>
      <c r="C12" s="7" t="s">
        <v>24</v>
      </c>
      <c r="D12" s="8">
        <v>0</v>
      </c>
      <c r="E12" s="20"/>
      <c r="F12" s="8">
        <v>0</v>
      </c>
      <c r="G12" s="20"/>
      <c r="H12" s="7">
        <v>0</v>
      </c>
      <c r="I12" s="28"/>
      <c r="J12" s="29">
        <v>0</v>
      </c>
      <c r="K12" s="28"/>
      <c r="L12" s="7">
        <v>8300</v>
      </c>
      <c r="M12" s="30">
        <v>73.900000000000006</v>
      </c>
      <c r="N12" s="7">
        <v>8700</v>
      </c>
      <c r="O12" s="30">
        <v>77.900000000000006</v>
      </c>
      <c r="P12" s="6">
        <f>H12+D12+L12</f>
        <v>8300</v>
      </c>
      <c r="Q12" s="22">
        <f>I12+E12+M12</f>
        <v>73.900000000000006</v>
      </c>
      <c r="R12" s="36">
        <f>F12+J12+N12</f>
        <v>8700</v>
      </c>
      <c r="S12" s="22">
        <f>G12+K12+O12</f>
        <v>77.900000000000006</v>
      </c>
    </row>
    <row r="13" spans="1:19" ht="39" customHeight="1" x14ac:dyDescent="0.3">
      <c r="A13" s="6">
        <v>7</v>
      </c>
      <c r="B13" s="7" t="s">
        <v>25</v>
      </c>
      <c r="C13" s="7" t="s">
        <v>26</v>
      </c>
      <c r="D13" s="8">
        <v>0</v>
      </c>
      <c r="E13" s="20"/>
      <c r="F13" s="8">
        <v>0</v>
      </c>
      <c r="G13" s="20"/>
      <c r="H13" s="8">
        <v>0</v>
      </c>
      <c r="I13" s="20"/>
      <c r="J13" s="31">
        <v>0</v>
      </c>
      <c r="K13" s="20"/>
      <c r="L13" s="7">
        <v>0</v>
      </c>
      <c r="M13" s="30"/>
      <c r="N13" s="7">
        <v>0</v>
      </c>
      <c r="O13" s="30"/>
      <c r="P13" s="6">
        <f>D13+H13+L13</f>
        <v>0</v>
      </c>
      <c r="Q13" s="22">
        <f>E13+I13+M13</f>
        <v>0</v>
      </c>
      <c r="R13" s="36">
        <f>F13+J13+N13</f>
        <v>0</v>
      </c>
      <c r="S13" s="22">
        <f>G13+K13+O13</f>
        <v>0</v>
      </c>
    </row>
    <row r="14" spans="1:19" ht="39" customHeight="1" x14ac:dyDescent="0.3">
      <c r="A14" s="56">
        <v>8</v>
      </c>
      <c r="B14" s="58" t="s">
        <v>27</v>
      </c>
      <c r="C14" s="7" t="s">
        <v>28</v>
      </c>
      <c r="D14" s="8">
        <v>0</v>
      </c>
      <c r="E14" s="20"/>
      <c r="F14" s="8">
        <v>0</v>
      </c>
      <c r="G14" s="20"/>
      <c r="H14" s="58">
        <v>0</v>
      </c>
      <c r="I14" s="62"/>
      <c r="J14" s="64">
        <v>0</v>
      </c>
      <c r="K14" s="62"/>
      <c r="L14" s="58">
        <v>0</v>
      </c>
      <c r="M14" s="62"/>
      <c r="N14" s="58">
        <v>0</v>
      </c>
      <c r="O14" s="62"/>
      <c r="P14" s="56">
        <f>D14+D15+H14+L14</f>
        <v>0</v>
      </c>
      <c r="Q14" s="67">
        <f>E14+E15+I14+M14</f>
        <v>0</v>
      </c>
      <c r="R14" s="56">
        <f>F14+F15+J14+N14</f>
        <v>2165</v>
      </c>
      <c r="S14" s="67">
        <f>G14+G15+K14+O14</f>
        <v>17.3</v>
      </c>
    </row>
    <row r="15" spans="1:19" ht="39" customHeight="1" x14ac:dyDescent="0.3">
      <c r="A15" s="57"/>
      <c r="B15" s="59"/>
      <c r="C15" s="7" t="s">
        <v>29</v>
      </c>
      <c r="D15" s="4">
        <v>0</v>
      </c>
      <c r="E15" s="20"/>
      <c r="F15" s="8">
        <v>2165</v>
      </c>
      <c r="G15" s="20">
        <v>17.3</v>
      </c>
      <c r="H15" s="59"/>
      <c r="I15" s="63"/>
      <c r="J15" s="65"/>
      <c r="K15" s="63"/>
      <c r="L15" s="59"/>
      <c r="M15" s="63"/>
      <c r="N15" s="59"/>
      <c r="O15" s="63"/>
      <c r="P15" s="66"/>
      <c r="Q15" s="68"/>
      <c r="R15" s="66"/>
      <c r="S15" s="68"/>
    </row>
    <row r="16" spans="1:19" ht="39" customHeight="1" x14ac:dyDescent="0.3">
      <c r="A16" s="6">
        <v>9</v>
      </c>
      <c r="B16" s="11" t="s">
        <v>30</v>
      </c>
      <c r="C16" s="7" t="s">
        <v>31</v>
      </c>
      <c r="D16" s="12">
        <v>0</v>
      </c>
      <c r="E16" s="22"/>
      <c r="F16" s="12">
        <v>0</v>
      </c>
      <c r="G16" s="23"/>
      <c r="H16" s="7">
        <v>0</v>
      </c>
      <c r="I16" s="28"/>
      <c r="J16" s="29">
        <v>0</v>
      </c>
      <c r="K16" s="28"/>
      <c r="L16" s="32">
        <v>0</v>
      </c>
      <c r="M16" s="30"/>
      <c r="N16" s="9">
        <v>0</v>
      </c>
      <c r="O16" s="35"/>
      <c r="P16" s="6">
        <f t="shared" ref="P16:S18" si="1">H16+D16+L16</f>
        <v>0</v>
      </c>
      <c r="Q16" s="6">
        <f t="shared" si="1"/>
        <v>0</v>
      </c>
      <c r="R16" s="36">
        <f t="shared" si="1"/>
        <v>0</v>
      </c>
      <c r="S16" s="6">
        <f t="shared" si="1"/>
        <v>0</v>
      </c>
    </row>
    <row r="17" spans="1:19" ht="39" customHeight="1" x14ac:dyDescent="0.3">
      <c r="A17" s="6">
        <v>10</v>
      </c>
      <c r="B17" s="7" t="s">
        <v>32</v>
      </c>
      <c r="C17" s="7"/>
      <c r="D17" s="12">
        <v>0</v>
      </c>
      <c r="E17" s="22"/>
      <c r="F17" s="12">
        <v>0</v>
      </c>
      <c r="G17" s="23"/>
      <c r="H17" s="7">
        <v>0</v>
      </c>
      <c r="I17" s="28"/>
      <c r="J17" s="29">
        <v>0</v>
      </c>
      <c r="K17" s="28"/>
      <c r="L17" s="32"/>
      <c r="M17" s="30"/>
      <c r="N17" s="9"/>
      <c r="O17" s="35"/>
      <c r="P17" s="6">
        <f t="shared" si="1"/>
        <v>0</v>
      </c>
      <c r="Q17" s="22">
        <f t="shared" si="1"/>
        <v>0</v>
      </c>
      <c r="R17" s="36">
        <f t="shared" si="1"/>
        <v>0</v>
      </c>
      <c r="S17" s="22">
        <f t="shared" si="1"/>
        <v>0</v>
      </c>
    </row>
    <row r="18" spans="1:19" ht="39" customHeight="1" x14ac:dyDescent="0.3">
      <c r="A18" s="6">
        <v>11</v>
      </c>
      <c r="B18" s="7" t="s">
        <v>33</v>
      </c>
      <c r="C18" s="7"/>
      <c r="D18" s="12">
        <v>0</v>
      </c>
      <c r="E18" s="22"/>
      <c r="F18" s="12">
        <v>0</v>
      </c>
      <c r="G18" s="23"/>
      <c r="H18" s="7">
        <v>0</v>
      </c>
      <c r="I18" s="28"/>
      <c r="J18" s="29">
        <v>0</v>
      </c>
      <c r="K18" s="28"/>
      <c r="L18" s="32"/>
      <c r="M18" s="30"/>
      <c r="N18" s="9"/>
      <c r="O18" s="35"/>
      <c r="P18" s="6">
        <f t="shared" si="1"/>
        <v>0</v>
      </c>
      <c r="Q18" s="22">
        <f t="shared" si="1"/>
        <v>0</v>
      </c>
      <c r="R18" s="36">
        <f t="shared" si="1"/>
        <v>0</v>
      </c>
      <c r="S18" s="22">
        <f t="shared" si="1"/>
        <v>0</v>
      </c>
    </row>
    <row r="19" spans="1:19" ht="39" customHeight="1" x14ac:dyDescent="0.3">
      <c r="A19" s="6">
        <v>12</v>
      </c>
      <c r="B19" s="7" t="s">
        <v>34</v>
      </c>
      <c r="C19" s="13"/>
      <c r="D19" s="12">
        <v>0</v>
      </c>
      <c r="E19" s="22"/>
      <c r="F19" s="12">
        <v>0</v>
      </c>
      <c r="G19" s="23"/>
      <c r="H19" s="7">
        <v>0</v>
      </c>
      <c r="I19" s="28"/>
      <c r="J19" s="29">
        <v>0</v>
      </c>
      <c r="K19" s="28"/>
      <c r="L19" s="32">
        <v>0</v>
      </c>
      <c r="M19" s="30"/>
      <c r="N19" s="9">
        <v>0</v>
      </c>
      <c r="O19" s="35"/>
      <c r="P19" s="6">
        <f>D19+H19+L19</f>
        <v>0</v>
      </c>
      <c r="Q19" s="6">
        <f>E19+I19+M19</f>
        <v>0</v>
      </c>
      <c r="R19" s="6">
        <f>F19+J19+N19</f>
        <v>0</v>
      </c>
      <c r="S19" s="6">
        <f>G19+K19+O19</f>
        <v>0</v>
      </c>
    </row>
    <row r="20" spans="1:19" ht="39" customHeight="1" x14ac:dyDescent="0.3">
      <c r="A20" s="53" t="s">
        <v>8</v>
      </c>
      <c r="B20" s="53"/>
      <c r="C20" s="15"/>
      <c r="D20" s="14">
        <f t="shared" ref="D20:S20" si="2">SUM(D7:D19)</f>
        <v>0</v>
      </c>
      <c r="E20" s="24">
        <f t="shared" si="2"/>
        <v>0</v>
      </c>
      <c r="F20" s="14">
        <f t="shared" si="2"/>
        <v>2165</v>
      </c>
      <c r="G20" s="24">
        <f t="shared" si="2"/>
        <v>17.3</v>
      </c>
      <c r="H20" s="14">
        <f t="shared" si="2"/>
        <v>1992</v>
      </c>
      <c r="I20" s="24">
        <f t="shared" si="2"/>
        <v>17.93</v>
      </c>
      <c r="J20" s="33">
        <f t="shared" si="2"/>
        <v>1992</v>
      </c>
      <c r="K20" s="24">
        <f t="shared" si="2"/>
        <v>17.93</v>
      </c>
      <c r="L20" s="14">
        <f t="shared" si="2"/>
        <v>19248</v>
      </c>
      <c r="M20" s="24">
        <f t="shared" si="2"/>
        <v>183.38</v>
      </c>
      <c r="N20" s="14">
        <f t="shared" si="2"/>
        <v>20748</v>
      </c>
      <c r="O20" s="24">
        <f t="shared" si="2"/>
        <v>198.38</v>
      </c>
      <c r="P20" s="14">
        <f t="shared" si="2"/>
        <v>21240</v>
      </c>
      <c r="Q20" s="24">
        <f t="shared" si="2"/>
        <v>201.31</v>
      </c>
      <c r="R20" s="14">
        <f t="shared" si="2"/>
        <v>24905</v>
      </c>
      <c r="S20" s="24">
        <f t="shared" si="2"/>
        <v>233.61</v>
      </c>
    </row>
    <row r="21" spans="1:19" ht="34" hidden="1" customHeight="1" x14ac:dyDescent="0.3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</row>
  </sheetData>
  <mergeCells count="37">
    <mergeCell ref="O14:O15"/>
    <mergeCell ref="P14:P15"/>
    <mergeCell ref="Q14:Q15"/>
    <mergeCell ref="R14:R15"/>
    <mergeCell ref="S14:S15"/>
    <mergeCell ref="I14:I15"/>
    <mergeCell ref="J14:J15"/>
    <mergeCell ref="K14:K15"/>
    <mergeCell ref="L14:L15"/>
    <mergeCell ref="M14:M15"/>
    <mergeCell ref="N14:N15"/>
    <mergeCell ref="P5:Q5"/>
    <mergeCell ref="R5:S5"/>
    <mergeCell ref="A20:B20"/>
    <mergeCell ref="A21:S21"/>
    <mergeCell ref="A4:A6"/>
    <mergeCell ref="A14:A15"/>
    <mergeCell ref="B4:B6"/>
    <mergeCell ref="B14:B15"/>
    <mergeCell ref="C5:C6"/>
    <mergeCell ref="H14:H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72" fitToHeight="0" orientation="landscape" r:id="rId1"/>
  <headerFooter alignWithMargins="0"/>
  <rowBreaks count="1" manualBreakCount="1">
    <brk id="21" max="16383" man="1"/>
  </rowBreaks>
  <ignoredErrors>
    <ignoredError sqref="P10:S10 R11:S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4.18</vt:lpstr>
      <vt:lpstr>'4.18'!Print_Area</vt:lpstr>
      <vt:lpstr>'4.18'!Print_Titles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1997-01-17T17:32:42Z</dcterms:created>
  <dcterms:modified xsi:type="dcterms:W3CDTF">2025-03-30T13:20:15Z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