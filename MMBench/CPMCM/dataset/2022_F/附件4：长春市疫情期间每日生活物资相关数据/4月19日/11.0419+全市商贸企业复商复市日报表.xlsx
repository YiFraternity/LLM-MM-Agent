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19日\"/>
    </mc:Choice>
  </mc:AlternateContent>
  <xr:revisionPtr revIDLastSave="0" documentId="8_{2815D4AD-CDBA-45C3-BD60-0C2E68DD4A1E}" xr6:coauthVersionLast="36" xr6:coauthVersionMax="36" xr10:uidLastSave="{00000000-0000-0000-0000-000000000000}"/>
  <bookViews>
    <workbookView xWindow="32769" yWindow="32769" windowWidth="28800" windowHeight="12463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6" i="1" l="1"/>
  <c r="J6" i="1"/>
  <c r="F7" i="1"/>
  <c r="J7" i="1"/>
  <c r="F8" i="1"/>
  <c r="J8" i="1"/>
  <c r="F9" i="1"/>
  <c r="J9" i="1"/>
  <c r="F10" i="1"/>
  <c r="J10" i="1"/>
  <c r="F11" i="1"/>
  <c r="J11" i="1"/>
  <c r="F12" i="1"/>
  <c r="J12" i="1"/>
  <c r="F13" i="1"/>
  <c r="J13" i="1"/>
  <c r="F14" i="1"/>
  <c r="J14" i="1"/>
  <c r="F15" i="1"/>
  <c r="J15" i="1"/>
  <c r="F16" i="1"/>
  <c r="J16" i="1"/>
  <c r="F17" i="1"/>
  <c r="J17" i="1"/>
  <c r="F18" i="1"/>
  <c r="J18" i="1"/>
  <c r="F19" i="1"/>
  <c r="J19" i="1"/>
  <c r="F20" i="1"/>
  <c r="J20" i="1"/>
  <c r="F21" i="1"/>
  <c r="J21" i="1"/>
  <c r="F22" i="1"/>
  <c r="J22" i="1"/>
  <c r="C23" i="1"/>
  <c r="D23" i="1"/>
  <c r="F23" i="1" s="1"/>
  <c r="E23" i="1"/>
  <c r="G23" i="1"/>
  <c r="H23" i="1"/>
  <c r="I23" i="1"/>
  <c r="J23" i="1"/>
</calcChain>
</file>

<file path=xl/sharedStrings.xml><?xml version="1.0" encoding="utf-8"?>
<sst xmlns="http://schemas.openxmlformats.org/spreadsheetml/2006/main" count="33" uniqueCount="32">
  <si>
    <t>附件1</t>
  </si>
  <si>
    <t>全市限上商贸企业复商复市情况统计表（4月19日）</t>
  </si>
  <si>
    <t>序号</t>
  </si>
  <si>
    <t>地区</t>
  </si>
  <si>
    <t>限上企业情况</t>
  </si>
  <si>
    <t>企业数量</t>
  </si>
  <si>
    <t>上岗人数</t>
  </si>
  <si>
    <t>总户数</t>
  </si>
  <si>
    <t>4.19日复市</t>
  </si>
  <si>
    <t>比昨日新增</t>
  </si>
  <si>
    <t>复市率</t>
  </si>
  <si>
    <t>总人数</t>
  </si>
  <si>
    <t>4.19日复岗</t>
  </si>
  <si>
    <t>复岗率</t>
  </si>
  <si>
    <t>朝阳区</t>
  </si>
  <si>
    <t>南关区</t>
  </si>
  <si>
    <t>宽城区</t>
  </si>
  <si>
    <t>绿园区</t>
  </si>
  <si>
    <t>二道区</t>
  </si>
  <si>
    <t>经开区</t>
  </si>
  <si>
    <t>汽开区</t>
  </si>
  <si>
    <t>净月区</t>
  </si>
  <si>
    <t>新区</t>
  </si>
  <si>
    <t>中韩</t>
  </si>
  <si>
    <t>莲花山</t>
  </si>
  <si>
    <t>双阳</t>
  </si>
  <si>
    <t>九台</t>
  </si>
  <si>
    <t>德惠</t>
  </si>
  <si>
    <t>榆树</t>
  </si>
  <si>
    <t>农安</t>
  </si>
  <si>
    <t>公主岭</t>
  </si>
  <si>
    <t>全市合计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</si>
</sst>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8">
    <font>
      <sz val="11"/>
      <color theme="1"/>
      <name val="等线"/>
      <scheme val="minor"/>
    </font>
    <font>
      <sz val="20"/>
      <name val="方正小标宋简体"/>
      <charset val="134"/>
    </font>
    <font>
      <b/>
      <sz val="11"/>
      <color theme="1"/>
      <name val="等线"/>
      <scheme val="minor"/>
    </font>
    <font>
      <sz val="14"/>
      <color theme="1"/>
      <name val="方正小标宋简体"/>
      <charset val="134"/>
    </font>
    <font>
      <sz val="11"/>
      <name val="等线"/>
      <scheme val="minor"/>
    </font>
    <font>
      <b/>
      <sz val="12"/>
      <color theme="1"/>
      <name val="等线"/>
      <scheme val="minor"/>
    </font>
    <font>
      <sz val="12"/>
      <name val="等线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10" fontId="0" fillId="0" borderId="0" xfId="0" applyNumberFormat="1" applyFont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0" fontId="6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zoomScale="80" zoomScaleSheetLayoutView="100" workbookViewId="0">
      <selection activeCell="A2" sqref="A2:J2"/>
    </sheetView>
  </sheetViews>
  <sheetFormatPr defaultColWidth="9" defaultRowHeight="14.15"/>
  <cols>
    <col min="1" max="1" width="5.35546875" style="6" customWidth="1"/>
    <col min="2" max="4" width="14.0703125" style="7" customWidth="1"/>
    <col min="5" max="6" width="14.0703125" style="8" customWidth="1"/>
    <col min="7" max="8" width="14.0703125" style="7" customWidth="1"/>
    <col min="9" max="10" width="14.0703125" style="8" customWidth="1"/>
    <col min="11" max="16384" width="9" style="7"/>
  </cols>
  <sheetData>
    <row r="1" spans="1:10" ht="20.05" customHeight="1">
      <c r="A1" s="16" t="s">
        <v>0</v>
      </c>
      <c r="B1" s="16"/>
    </row>
    <row r="2" spans="1:10" ht="29.0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s="1" customFormat="1" ht="23.05" customHeight="1">
      <c r="A3" s="24" t="s">
        <v>2</v>
      </c>
      <c r="B3" s="25" t="s">
        <v>3</v>
      </c>
      <c r="C3" s="18" t="s">
        <v>4</v>
      </c>
      <c r="D3" s="19"/>
      <c r="E3" s="19"/>
      <c r="F3" s="19"/>
      <c r="G3" s="19"/>
      <c r="H3" s="19"/>
      <c r="I3" s="19"/>
      <c r="J3" s="20"/>
    </row>
    <row r="4" spans="1:10" s="1" customFormat="1" ht="23.05" customHeight="1">
      <c r="A4" s="24"/>
      <c r="B4" s="25"/>
      <c r="C4" s="18" t="s">
        <v>5</v>
      </c>
      <c r="D4" s="19"/>
      <c r="E4" s="21"/>
      <c r="F4" s="22"/>
      <c r="G4" s="23" t="s">
        <v>6</v>
      </c>
      <c r="H4" s="21"/>
      <c r="I4" s="21"/>
      <c r="J4" s="22"/>
    </row>
    <row r="5" spans="1:10" s="2" customFormat="1" ht="23.05" customHeight="1">
      <c r="A5" s="24"/>
      <c r="B5" s="25"/>
      <c r="C5" s="9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12</v>
      </c>
      <c r="I5" s="9" t="s">
        <v>9</v>
      </c>
      <c r="J5" s="9" t="s">
        <v>13</v>
      </c>
    </row>
    <row r="6" spans="1:10" s="3" customFormat="1" ht="23.05" customHeight="1">
      <c r="A6" s="10">
        <v>1</v>
      </c>
      <c r="B6" s="10" t="s">
        <v>14</v>
      </c>
      <c r="C6" s="11">
        <v>194</v>
      </c>
      <c r="D6" s="12">
        <v>29</v>
      </c>
      <c r="E6" s="12">
        <v>1</v>
      </c>
      <c r="F6" s="15">
        <f>D6/C6</f>
        <v>0.14948453608247422</v>
      </c>
      <c r="G6" s="11">
        <v>12839</v>
      </c>
      <c r="H6" s="12">
        <v>1583</v>
      </c>
      <c r="I6" s="14">
        <v>2</v>
      </c>
      <c r="J6" s="15">
        <f>H6/G6</f>
        <v>0.12329620686969391</v>
      </c>
    </row>
    <row r="7" spans="1:10" s="3" customFormat="1" ht="23.05" customHeight="1">
      <c r="A7" s="10">
        <v>2</v>
      </c>
      <c r="B7" s="10" t="s">
        <v>15</v>
      </c>
      <c r="C7" s="13">
        <v>170</v>
      </c>
      <c r="D7" s="14">
        <v>26</v>
      </c>
      <c r="E7" s="12">
        <v>1</v>
      </c>
      <c r="F7" s="15">
        <f t="shared" ref="F7:F23" si="0">D7/C7</f>
        <v>0.15294117647058825</v>
      </c>
      <c r="G7" s="13">
        <v>18007</v>
      </c>
      <c r="H7" s="14">
        <v>2520</v>
      </c>
      <c r="I7" s="14">
        <v>0</v>
      </c>
      <c r="J7" s="15">
        <f t="shared" ref="J7:J23" si="1">H7/G7</f>
        <v>0.13994557672016439</v>
      </c>
    </row>
    <row r="8" spans="1:10" s="3" customFormat="1" ht="23.05" customHeight="1">
      <c r="A8" s="10">
        <v>3</v>
      </c>
      <c r="B8" s="10" t="s">
        <v>16</v>
      </c>
      <c r="C8" s="13">
        <v>106</v>
      </c>
      <c r="D8" s="14">
        <v>22</v>
      </c>
      <c r="E8" s="12">
        <v>1</v>
      </c>
      <c r="F8" s="15">
        <f t="shared" si="0"/>
        <v>0.20754716981132076</v>
      </c>
      <c r="G8" s="13">
        <v>9766</v>
      </c>
      <c r="H8" s="14">
        <v>1526</v>
      </c>
      <c r="I8" s="14">
        <v>2</v>
      </c>
      <c r="J8" s="15">
        <f t="shared" si="1"/>
        <v>0.15625639975424943</v>
      </c>
    </row>
    <row r="9" spans="1:10" s="3" customFormat="1" ht="23.05" customHeight="1">
      <c r="A9" s="10">
        <v>4</v>
      </c>
      <c r="B9" s="10" t="s">
        <v>17</v>
      </c>
      <c r="C9" s="13">
        <v>140</v>
      </c>
      <c r="D9" s="14">
        <v>16</v>
      </c>
      <c r="E9" s="12">
        <v>0</v>
      </c>
      <c r="F9" s="15">
        <f t="shared" si="0"/>
        <v>0.11428571428571428</v>
      </c>
      <c r="G9" s="13">
        <v>8214</v>
      </c>
      <c r="H9" s="14">
        <v>1400</v>
      </c>
      <c r="I9" s="14">
        <v>0</v>
      </c>
      <c r="J9" s="15">
        <f t="shared" si="1"/>
        <v>0.17044071098125152</v>
      </c>
    </row>
    <row r="10" spans="1:10" s="3" customFormat="1" ht="23.05" customHeight="1">
      <c r="A10" s="10">
        <v>5</v>
      </c>
      <c r="B10" s="10" t="s">
        <v>18</v>
      </c>
      <c r="C10" s="13">
        <v>131</v>
      </c>
      <c r="D10" s="14">
        <v>14</v>
      </c>
      <c r="E10" s="12">
        <v>0</v>
      </c>
      <c r="F10" s="15">
        <f t="shared" si="0"/>
        <v>0.10687022900763359</v>
      </c>
      <c r="G10" s="13">
        <v>4762</v>
      </c>
      <c r="H10" s="14">
        <v>1893</v>
      </c>
      <c r="I10" s="14">
        <v>0</v>
      </c>
      <c r="J10" s="15">
        <f t="shared" si="1"/>
        <v>0.39752204955900883</v>
      </c>
    </row>
    <row r="11" spans="1:10" s="3" customFormat="1" ht="23.05" customHeight="1">
      <c r="A11" s="10">
        <v>6</v>
      </c>
      <c r="B11" s="10" t="s">
        <v>19</v>
      </c>
      <c r="C11" s="13">
        <v>140</v>
      </c>
      <c r="D11" s="14">
        <v>11</v>
      </c>
      <c r="E11" s="12">
        <v>0</v>
      </c>
      <c r="F11" s="15">
        <f t="shared" si="0"/>
        <v>7.857142857142857E-2</v>
      </c>
      <c r="G11" s="13">
        <v>5600</v>
      </c>
      <c r="H11" s="14">
        <v>192</v>
      </c>
      <c r="I11" s="14">
        <v>0</v>
      </c>
      <c r="J11" s="15">
        <f t="shared" si="1"/>
        <v>3.4285714285714287E-2</v>
      </c>
    </row>
    <row r="12" spans="1:10" s="4" customFormat="1" ht="23.05" customHeight="1">
      <c r="A12" s="10">
        <v>7</v>
      </c>
      <c r="B12" s="10" t="s">
        <v>20</v>
      </c>
      <c r="C12" s="13">
        <v>135</v>
      </c>
      <c r="D12" s="14">
        <v>8</v>
      </c>
      <c r="E12" s="12">
        <v>2</v>
      </c>
      <c r="F12" s="15">
        <f t="shared" si="0"/>
        <v>5.9259259259259262E-2</v>
      </c>
      <c r="G12" s="13">
        <v>8515</v>
      </c>
      <c r="H12" s="14">
        <v>593</v>
      </c>
      <c r="I12" s="14">
        <v>58</v>
      </c>
      <c r="J12" s="15">
        <f t="shared" si="1"/>
        <v>6.9641808573106284E-2</v>
      </c>
    </row>
    <row r="13" spans="1:10" s="3" customFormat="1" ht="23.05" customHeight="1">
      <c r="A13" s="10">
        <v>8</v>
      </c>
      <c r="B13" s="10" t="s">
        <v>21</v>
      </c>
      <c r="C13" s="13">
        <v>157</v>
      </c>
      <c r="D13" s="14">
        <v>15</v>
      </c>
      <c r="E13" s="12">
        <v>1</v>
      </c>
      <c r="F13" s="15">
        <f t="shared" si="0"/>
        <v>9.5541401273885357E-2</v>
      </c>
      <c r="G13" s="13">
        <v>5806</v>
      </c>
      <c r="H13" s="14">
        <v>300</v>
      </c>
      <c r="I13" s="14">
        <v>65</v>
      </c>
      <c r="J13" s="15">
        <f t="shared" si="1"/>
        <v>5.1670685497760938E-2</v>
      </c>
    </row>
    <row r="14" spans="1:10" s="3" customFormat="1" ht="23.05" customHeight="1">
      <c r="A14" s="10">
        <v>9</v>
      </c>
      <c r="B14" s="10" t="s">
        <v>22</v>
      </c>
      <c r="C14" s="13">
        <v>131</v>
      </c>
      <c r="D14" s="14">
        <v>10</v>
      </c>
      <c r="E14" s="12">
        <v>3</v>
      </c>
      <c r="F14" s="15">
        <f t="shared" si="0"/>
        <v>7.6335877862595422E-2</v>
      </c>
      <c r="G14" s="13">
        <v>1895</v>
      </c>
      <c r="H14" s="14">
        <v>570</v>
      </c>
      <c r="I14" s="14">
        <v>207</v>
      </c>
      <c r="J14" s="15">
        <f t="shared" si="1"/>
        <v>0.30079155672823221</v>
      </c>
    </row>
    <row r="15" spans="1:10" s="3" customFormat="1" ht="23.05" customHeight="1">
      <c r="A15" s="10">
        <v>10</v>
      </c>
      <c r="B15" s="10" t="s">
        <v>23</v>
      </c>
      <c r="C15" s="13">
        <v>6</v>
      </c>
      <c r="D15" s="14">
        <v>5</v>
      </c>
      <c r="E15" s="12">
        <v>1</v>
      </c>
      <c r="F15" s="15">
        <f t="shared" si="0"/>
        <v>0.83333333333333337</v>
      </c>
      <c r="G15" s="13">
        <v>1147</v>
      </c>
      <c r="H15" s="14">
        <v>848</v>
      </c>
      <c r="I15" s="14">
        <v>23</v>
      </c>
      <c r="J15" s="15">
        <f t="shared" si="1"/>
        <v>0.73931996512641673</v>
      </c>
    </row>
    <row r="16" spans="1:10" s="3" customFormat="1" ht="23.05" customHeight="1">
      <c r="A16" s="10">
        <v>11</v>
      </c>
      <c r="B16" s="10" t="s">
        <v>24</v>
      </c>
      <c r="C16" s="13">
        <v>6</v>
      </c>
      <c r="D16" s="14">
        <v>0</v>
      </c>
      <c r="E16" s="12">
        <v>0</v>
      </c>
      <c r="F16" s="15">
        <f t="shared" si="0"/>
        <v>0</v>
      </c>
      <c r="G16" s="13">
        <v>77</v>
      </c>
      <c r="H16" s="14">
        <v>0</v>
      </c>
      <c r="I16" s="14">
        <v>0</v>
      </c>
      <c r="J16" s="15">
        <f t="shared" si="1"/>
        <v>0</v>
      </c>
    </row>
    <row r="17" spans="1:10" s="3" customFormat="1" ht="23.05" customHeight="1">
      <c r="A17" s="10">
        <v>12</v>
      </c>
      <c r="B17" s="10" t="s">
        <v>25</v>
      </c>
      <c r="C17" s="13">
        <v>16</v>
      </c>
      <c r="D17" s="14">
        <v>14</v>
      </c>
      <c r="E17" s="12">
        <v>0</v>
      </c>
      <c r="F17" s="15">
        <f t="shared" si="0"/>
        <v>0.875</v>
      </c>
      <c r="G17" s="13">
        <v>1508</v>
      </c>
      <c r="H17" s="14">
        <v>958</v>
      </c>
      <c r="I17" s="14">
        <v>0</v>
      </c>
      <c r="J17" s="15">
        <f t="shared" si="1"/>
        <v>0.63527851458885942</v>
      </c>
    </row>
    <row r="18" spans="1:10" s="3" customFormat="1" ht="23.05" customHeight="1">
      <c r="A18" s="10">
        <v>13</v>
      </c>
      <c r="B18" s="10" t="s">
        <v>26</v>
      </c>
      <c r="C18" s="13">
        <v>51</v>
      </c>
      <c r="D18" s="14">
        <v>19</v>
      </c>
      <c r="E18" s="12">
        <v>10</v>
      </c>
      <c r="F18" s="15">
        <f t="shared" si="0"/>
        <v>0.37254901960784315</v>
      </c>
      <c r="G18" s="13">
        <v>2155</v>
      </c>
      <c r="H18" s="14">
        <v>680</v>
      </c>
      <c r="I18" s="14">
        <v>591</v>
      </c>
      <c r="J18" s="15">
        <f t="shared" si="1"/>
        <v>0.31554524361948955</v>
      </c>
    </row>
    <row r="19" spans="1:10" s="3" customFormat="1" ht="23.05" customHeight="1">
      <c r="A19" s="10">
        <v>14</v>
      </c>
      <c r="B19" s="10" t="s">
        <v>27</v>
      </c>
      <c r="C19" s="13">
        <v>13</v>
      </c>
      <c r="D19" s="14">
        <v>4</v>
      </c>
      <c r="E19" s="12">
        <v>1</v>
      </c>
      <c r="F19" s="15">
        <f t="shared" si="0"/>
        <v>0.30769230769230771</v>
      </c>
      <c r="G19" s="13">
        <v>426</v>
      </c>
      <c r="H19" s="14">
        <v>297</v>
      </c>
      <c r="I19" s="14">
        <v>17</v>
      </c>
      <c r="J19" s="15">
        <f t="shared" si="1"/>
        <v>0.69718309859154926</v>
      </c>
    </row>
    <row r="20" spans="1:10" s="3" customFormat="1" ht="23.05" customHeight="1">
      <c r="A20" s="10">
        <v>15</v>
      </c>
      <c r="B20" s="10" t="s">
        <v>28</v>
      </c>
      <c r="C20" s="13">
        <v>33</v>
      </c>
      <c r="D20" s="14">
        <v>17</v>
      </c>
      <c r="E20" s="12">
        <v>1</v>
      </c>
      <c r="F20" s="15">
        <f t="shared" si="0"/>
        <v>0.51515151515151514</v>
      </c>
      <c r="G20" s="13">
        <v>1928</v>
      </c>
      <c r="H20" s="14">
        <v>675</v>
      </c>
      <c r="I20" s="14">
        <v>2</v>
      </c>
      <c r="J20" s="15">
        <f t="shared" si="1"/>
        <v>0.350103734439834</v>
      </c>
    </row>
    <row r="21" spans="1:10" s="3" customFormat="1" ht="23.05" customHeight="1">
      <c r="A21" s="10">
        <v>16</v>
      </c>
      <c r="B21" s="10" t="s">
        <v>29</v>
      </c>
      <c r="C21" s="13">
        <v>52</v>
      </c>
      <c r="D21" s="14">
        <v>12</v>
      </c>
      <c r="E21" s="12">
        <v>0</v>
      </c>
      <c r="F21" s="15">
        <f t="shared" si="0"/>
        <v>0.23076923076923078</v>
      </c>
      <c r="G21" s="13">
        <v>977</v>
      </c>
      <c r="H21" s="14">
        <v>329</v>
      </c>
      <c r="I21" s="14">
        <v>0</v>
      </c>
      <c r="J21" s="15">
        <f t="shared" si="1"/>
        <v>0.3367451381780962</v>
      </c>
    </row>
    <row r="22" spans="1:10" s="3" customFormat="1" ht="23.05" customHeight="1">
      <c r="A22" s="10">
        <v>17</v>
      </c>
      <c r="B22" s="10" t="s">
        <v>30</v>
      </c>
      <c r="C22" s="13">
        <v>23</v>
      </c>
      <c r="D22" s="14">
        <v>13</v>
      </c>
      <c r="E22" s="12">
        <v>1</v>
      </c>
      <c r="F22" s="15">
        <f t="shared" si="0"/>
        <v>0.56521739130434778</v>
      </c>
      <c r="G22" s="13">
        <v>1893</v>
      </c>
      <c r="H22" s="14">
        <v>578</v>
      </c>
      <c r="I22" s="14">
        <v>0</v>
      </c>
      <c r="J22" s="15">
        <f t="shared" si="1"/>
        <v>0.3053354463814052</v>
      </c>
    </row>
    <row r="23" spans="1:10" s="5" customFormat="1" ht="23.05" customHeight="1">
      <c r="A23" s="10"/>
      <c r="B23" s="10" t="s">
        <v>31</v>
      </c>
      <c r="C23" s="13">
        <f>SUM(C6:C22)</f>
        <v>1504</v>
      </c>
      <c r="D23" s="14">
        <f>SUM(D6:D22)</f>
        <v>235</v>
      </c>
      <c r="E23" s="14">
        <f>SUM(E6:E22)</f>
        <v>23</v>
      </c>
      <c r="F23" s="15">
        <f t="shared" si="0"/>
        <v>0.15625</v>
      </c>
      <c r="G23" s="13">
        <f>SUM(G6:G22)</f>
        <v>85515</v>
      </c>
      <c r="H23" s="14">
        <f>SUM(H6:H22)</f>
        <v>14942</v>
      </c>
      <c r="I23" s="14">
        <f>SUM(I6:I22)</f>
        <v>967</v>
      </c>
      <c r="J23" s="15">
        <f t="shared" si="1"/>
        <v>0.17472957960591709</v>
      </c>
    </row>
  </sheetData>
  <mergeCells count="7">
    <mergeCell ref="A1:B1"/>
    <mergeCell ref="A2:J2"/>
    <mergeCell ref="C3:J3"/>
    <mergeCell ref="C4:F4"/>
    <mergeCell ref="G4:J4"/>
    <mergeCell ref="A3:A5"/>
    <mergeCell ref="B3:B5"/>
  </mergeCells>
  <phoneticPr fontId="7" type="noConversion"/>
  <pageMargins left="0.75138888888888888" right="0.66874999999999996" top="0.39305555555555555" bottom="0.39305555555555555" header="0.39305555555555555" footer="0.39305555555555555"/>
  <pageSetup paperSize="9" orientation="landscape" r:id="rId1"/>
  <ignoredErrors>
    <ignoredError sqref="F23:J2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2022-04-22T09:30:42Z</dcterms:created>
  <dcterms:modified xsi:type="dcterms:W3CDTF">2025-03-30T13:19:55Z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