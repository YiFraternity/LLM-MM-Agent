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日\"/>
    </mc:Choice>
  </mc:AlternateContent>
  <xr:revisionPtr revIDLastSave="0" documentId="8_{273AF4FE-A69C-4D03-A5EA-5813B798CE5C}" xr6:coauthVersionLast="36" xr6:coauthVersionMax="36" xr10:uidLastSave="{00000000-0000-0000-0000-000000000000}"/>
  <bookViews>
    <workbookView xWindow="32769" yWindow="32769" windowWidth="28800" windowHeight="12463" activeTab="1"/>
  </bookViews>
  <sheets>
    <sheet name="0.排名表" sheetId="1" r:id="rId1"/>
    <sheet name="附件1" sheetId="2" r:id="rId2"/>
    <sheet name="汇总表1" sheetId="4" r:id="rId3"/>
    <sheet name="汇总表2" sheetId="5" r:id="rId4"/>
  </sheets>
  <definedNames>
    <definedName name="_xlnm.Print_Area" localSheetId="1">附件1!$A$1:$L$17</definedName>
  </definedNames>
  <calcPr calcId="191029"/>
</workbook>
</file>

<file path=xl/calcChain.xml><?xml version="1.0" encoding="utf-8"?>
<calcChain xmlns="http://schemas.openxmlformats.org/spreadsheetml/2006/main">
  <c r="F5" i="1" l="1"/>
  <c r="F6" i="1"/>
  <c r="F7" i="1"/>
  <c r="C8" i="1"/>
  <c r="F8" i="1"/>
  <c r="F11" i="1"/>
  <c r="F12" i="1"/>
  <c r="F13" i="1"/>
  <c r="G13" i="1"/>
  <c r="C14" i="1"/>
  <c r="F14" i="1"/>
  <c r="E5" i="2"/>
  <c r="G5" i="2"/>
  <c r="H5" i="2"/>
  <c r="I5" i="2"/>
  <c r="G5" i="1" s="1"/>
  <c r="J5" i="2"/>
  <c r="J17" i="2" s="1"/>
  <c r="K5" i="2"/>
  <c r="K17" i="2" s="1"/>
  <c r="L5" i="2"/>
  <c r="L17" i="2" s="1"/>
  <c r="C6" i="2"/>
  <c r="C6" i="1" s="1"/>
  <c r="E6" i="2"/>
  <c r="H6" i="2"/>
  <c r="I6" i="2"/>
  <c r="G6" i="1" s="1"/>
  <c r="J6" i="2"/>
  <c r="K6" i="2"/>
  <c r="L6" i="2"/>
  <c r="D7" i="2"/>
  <c r="D7" i="1" s="1"/>
  <c r="G7" i="2"/>
  <c r="H7" i="2"/>
  <c r="J7" i="2"/>
  <c r="K7" i="2"/>
  <c r="L7" i="2"/>
  <c r="C8" i="2"/>
  <c r="D8" i="2"/>
  <c r="D8" i="1" s="1"/>
  <c r="E8" i="2"/>
  <c r="F8" i="2"/>
  <c r="G8" i="2"/>
  <c r="H8" i="2"/>
  <c r="I8" i="2"/>
  <c r="G8" i="1" s="1"/>
  <c r="J8" i="2"/>
  <c r="K8" i="2"/>
  <c r="L8" i="2"/>
  <c r="C9" i="2"/>
  <c r="C9" i="1" s="1"/>
  <c r="F9" i="2"/>
  <c r="G9" i="2"/>
  <c r="H9" i="2"/>
  <c r="F9" i="1" s="1"/>
  <c r="I9" i="2"/>
  <c r="G9" i="1" s="1"/>
  <c r="J9" i="2"/>
  <c r="K9" i="2"/>
  <c r="L9" i="2"/>
  <c r="G10" i="2"/>
  <c r="H10" i="2"/>
  <c r="F10" i="1" s="1"/>
  <c r="J10" i="2"/>
  <c r="K10" i="2"/>
  <c r="L10" i="2"/>
  <c r="C11" i="2"/>
  <c r="C11" i="1" s="1"/>
  <c r="G11" i="2"/>
  <c r="H11" i="2"/>
  <c r="J11" i="2"/>
  <c r="K11" i="2"/>
  <c r="L11" i="2"/>
  <c r="C12" i="2"/>
  <c r="C12" i="1" s="1"/>
  <c r="E12" i="2"/>
  <c r="G12" i="2"/>
  <c r="H12" i="2"/>
  <c r="J12" i="2"/>
  <c r="K12" i="2"/>
  <c r="L12" i="2"/>
  <c r="D13" i="2"/>
  <c r="D13" i="1" s="1"/>
  <c r="G13" i="2"/>
  <c r="H13" i="2"/>
  <c r="I13" i="2"/>
  <c r="J13" i="2"/>
  <c r="K13" i="2"/>
  <c r="L13" i="2"/>
  <c r="C14" i="2"/>
  <c r="D14" i="2"/>
  <c r="D14" i="1" s="1"/>
  <c r="E14" i="2"/>
  <c r="F14" i="2"/>
  <c r="G14" i="2"/>
  <c r="H14" i="2"/>
  <c r="I14" i="2"/>
  <c r="G14" i="1" s="1"/>
  <c r="J14" i="2"/>
  <c r="K14" i="2"/>
  <c r="L14" i="2"/>
  <c r="C15" i="2"/>
  <c r="C15" i="1" s="1"/>
  <c r="F15" i="2"/>
  <c r="G15" i="2"/>
  <c r="H15" i="2"/>
  <c r="F15" i="1" s="1"/>
  <c r="I15" i="2"/>
  <c r="G15" i="1" s="1"/>
  <c r="J15" i="2"/>
  <c r="K15" i="2"/>
  <c r="L15" i="2"/>
  <c r="H17" i="2"/>
  <c r="D6" i="4"/>
  <c r="D7" i="4"/>
  <c r="I7" i="2" s="1"/>
  <c r="G7" i="1" s="1"/>
  <c r="D8" i="4"/>
  <c r="D9" i="4"/>
  <c r="D10" i="4"/>
  <c r="I10" i="2" s="1"/>
  <c r="G10" i="1" s="1"/>
  <c r="D11" i="4"/>
  <c r="I11" i="2" s="1"/>
  <c r="G11" i="1" s="1"/>
  <c r="J11" i="4"/>
  <c r="D12" i="4"/>
  <c r="I12" i="2" s="1"/>
  <c r="G12" i="1" s="1"/>
  <c r="D13" i="4"/>
  <c r="D14" i="4"/>
  <c r="D15" i="4"/>
  <c r="C16" i="4"/>
  <c r="E16" i="4"/>
  <c r="D16" i="4" s="1"/>
  <c r="I17" i="2" s="1"/>
  <c r="G17" i="1" s="1"/>
  <c r="F16" i="4"/>
  <c r="G16" i="4"/>
  <c r="H16" i="4"/>
  <c r="I16" i="4"/>
  <c r="J16" i="4"/>
  <c r="U5" i="5"/>
  <c r="C5" i="2" s="1"/>
  <c r="V5" i="5"/>
  <c r="W5" i="5"/>
  <c r="D5" i="2" s="1"/>
  <c r="D5" i="1" s="1"/>
  <c r="X5" i="5"/>
  <c r="F5" i="2" s="1"/>
  <c r="S6" i="5"/>
  <c r="G6" i="2" s="1"/>
  <c r="U6" i="5"/>
  <c r="V6" i="5"/>
  <c r="W6" i="5"/>
  <c r="D6" i="2" s="1"/>
  <c r="D6" i="1" s="1"/>
  <c r="X6" i="5"/>
  <c r="F6" i="2" s="1"/>
  <c r="U7" i="5"/>
  <c r="C7" i="2" s="1"/>
  <c r="C7" i="1" s="1"/>
  <c r="V7" i="5"/>
  <c r="E7" i="2" s="1"/>
  <c r="W7" i="5"/>
  <c r="X7" i="5"/>
  <c r="F7" i="2" s="1"/>
  <c r="U8" i="5"/>
  <c r="V8" i="5"/>
  <c r="W8" i="5"/>
  <c r="X8" i="5"/>
  <c r="U9" i="5"/>
  <c r="V9" i="5"/>
  <c r="E9" i="2" s="1"/>
  <c r="W9" i="5"/>
  <c r="D9" i="2" s="1"/>
  <c r="D9" i="1" s="1"/>
  <c r="X9" i="5"/>
  <c r="U10" i="5"/>
  <c r="C10" i="2" s="1"/>
  <c r="C10" i="1" s="1"/>
  <c r="V10" i="5"/>
  <c r="E10" i="2" s="1"/>
  <c r="W10" i="5"/>
  <c r="D10" i="2" s="1"/>
  <c r="D10" i="1" s="1"/>
  <c r="X10" i="5"/>
  <c r="F10" i="2" s="1"/>
  <c r="U11" i="5"/>
  <c r="V11" i="5"/>
  <c r="E11" i="2" s="1"/>
  <c r="W11" i="5"/>
  <c r="D11" i="2" s="1"/>
  <c r="D11" i="1" s="1"/>
  <c r="X11" i="5"/>
  <c r="F11" i="2" s="1"/>
  <c r="U12" i="5"/>
  <c r="V12" i="5"/>
  <c r="W12" i="5"/>
  <c r="D12" i="2" s="1"/>
  <c r="D12" i="1" s="1"/>
  <c r="X12" i="5"/>
  <c r="F12" i="2" s="1"/>
  <c r="U13" i="5"/>
  <c r="C13" i="2" s="1"/>
  <c r="C13" i="1" s="1"/>
  <c r="V13" i="5"/>
  <c r="E13" i="2" s="1"/>
  <c r="W13" i="5"/>
  <c r="X13" i="5"/>
  <c r="F13" i="2" s="1"/>
  <c r="U14" i="5"/>
  <c r="V14" i="5"/>
  <c r="W14" i="5"/>
  <c r="X14" i="5"/>
  <c r="U15" i="5"/>
  <c r="V15" i="5"/>
  <c r="E15" i="2" s="1"/>
  <c r="W15" i="5"/>
  <c r="D15" i="2" s="1"/>
  <c r="D15" i="1" s="1"/>
  <c r="X15" i="5"/>
  <c r="U16" i="5"/>
  <c r="V16" i="5"/>
  <c r="W16" i="5"/>
  <c r="X16" i="5"/>
  <c r="S17" i="5"/>
  <c r="U17" i="5"/>
  <c r="V17" i="5"/>
  <c r="W17" i="5"/>
  <c r="X17" i="5"/>
  <c r="U18" i="5"/>
  <c r="V18" i="5"/>
  <c r="W18" i="5"/>
  <c r="X18" i="5"/>
  <c r="U19" i="5"/>
  <c r="V19" i="5"/>
  <c r="W19" i="5"/>
  <c r="X19" i="5"/>
  <c r="U20" i="5"/>
  <c r="V20" i="5"/>
  <c r="W20" i="5"/>
  <c r="X20" i="5"/>
  <c r="U21" i="5"/>
  <c r="V21" i="5"/>
  <c r="W21" i="5"/>
  <c r="X21" i="5"/>
  <c r="C22" i="5"/>
  <c r="D22" i="5"/>
  <c r="W22" i="5" s="1"/>
  <c r="D17" i="2" s="1"/>
  <c r="D17" i="1" s="1"/>
  <c r="E22" i="5"/>
  <c r="F22" i="5"/>
  <c r="G22" i="5"/>
  <c r="H22" i="5"/>
  <c r="I22" i="5"/>
  <c r="J22" i="5"/>
  <c r="K22" i="5"/>
  <c r="L22" i="5"/>
  <c r="M22" i="5"/>
  <c r="N22" i="5"/>
  <c r="X22" i="5" s="1"/>
  <c r="F17" i="2" s="1"/>
  <c r="O22" i="5"/>
  <c r="P22" i="5"/>
  <c r="Q22" i="5"/>
  <c r="R22" i="5"/>
  <c r="T22" i="5"/>
  <c r="C23" i="5"/>
  <c r="D23" i="5"/>
  <c r="W23" i="5" s="1"/>
  <c r="D16" i="2" s="1"/>
  <c r="D16" i="1" s="1"/>
  <c r="E23" i="5"/>
  <c r="F23" i="5"/>
  <c r="V23" i="5" s="1"/>
  <c r="E16" i="2" s="1"/>
  <c r="G23" i="5"/>
  <c r="H23" i="5"/>
  <c r="I23" i="5"/>
  <c r="J23" i="5"/>
  <c r="K23" i="5"/>
  <c r="L23" i="5"/>
  <c r="M23" i="5"/>
  <c r="N23" i="5"/>
  <c r="X23" i="5" s="1"/>
  <c r="F16" i="2" s="1"/>
  <c r="O23" i="5"/>
  <c r="P23" i="5"/>
  <c r="Q23" i="5"/>
  <c r="R23" i="5"/>
  <c r="S23" i="5"/>
  <c r="G16" i="2" s="1"/>
  <c r="T23" i="5"/>
  <c r="C5" i="1" l="1"/>
  <c r="E17" i="2"/>
  <c r="G17" i="2"/>
  <c r="F17" i="1"/>
  <c r="U22" i="5"/>
  <c r="U23" i="5"/>
  <c r="C16" i="2" s="1"/>
  <c r="C16" i="1" s="1"/>
  <c r="S22" i="5"/>
  <c r="V22" i="5"/>
  <c r="C17" i="2" l="1"/>
  <c r="C17" i="1"/>
</calcChain>
</file>

<file path=xl/sharedStrings.xml><?xml version="1.0" encoding="utf-8"?>
<sst xmlns="http://schemas.openxmlformats.org/spreadsheetml/2006/main" count="156" uniqueCount="75">
  <si>
    <t>各区复商复市排名表</t>
  </si>
  <si>
    <t>序号</t>
  </si>
  <si>
    <t>地区</t>
  </si>
  <si>
    <t>限上商贸企业</t>
  </si>
  <si>
    <t>全口径商贸主体</t>
  </si>
  <si>
    <t>复市数量</t>
  </si>
  <si>
    <t>复市率</t>
  </si>
  <si>
    <t>排名</t>
  </si>
  <si>
    <t>南关区</t>
  </si>
  <si>
    <t>宽城区</t>
  </si>
  <si>
    <t>朝阳区</t>
  </si>
  <si>
    <t>二道区</t>
  </si>
  <si>
    <t>绿园区</t>
  </si>
  <si>
    <t>经开区</t>
  </si>
  <si>
    <t>净月区</t>
  </si>
  <si>
    <t>新区</t>
  </si>
  <si>
    <t>汽开区</t>
  </si>
  <si>
    <t>中韩示范区</t>
  </si>
  <si>
    <t>莲花山</t>
  </si>
  <si>
    <t>六县域</t>
  </si>
  <si>
    <t>-</t>
  </si>
  <si>
    <t>合计</t>
  </si>
  <si>
    <t>附件1</t>
  </si>
  <si>
    <t>各区复商复市情况统计表</t>
  </si>
  <si>
    <t>到岗人数</t>
  </si>
  <si>
    <t>上岗率</t>
  </si>
  <si>
    <t>核酸检测
人数</t>
  </si>
  <si>
    <t>持电子在岗证人数</t>
  </si>
  <si>
    <t>各区全口径商贸主体复商复市情况统计表</t>
  </si>
  <si>
    <r>
      <rPr>
        <b/>
        <sz val="12"/>
        <color indexed="8"/>
        <rFont val="宋体"/>
        <charset val="134"/>
      </rPr>
      <t>商贸主体总数</t>
    </r>
    <r>
      <rPr>
        <b/>
        <sz val="10"/>
        <color indexed="8"/>
        <rFont val="宋体"/>
        <charset val="134"/>
      </rPr>
      <t>（按市场局反馈数据，仅参考）</t>
    </r>
  </si>
  <si>
    <r>
      <rPr>
        <b/>
        <sz val="12"/>
        <color indexed="8"/>
        <rFont val="宋体"/>
        <charset val="134"/>
      </rPr>
      <t>复市率</t>
    </r>
    <r>
      <rPr>
        <b/>
        <sz val="12"/>
        <color indexed="8"/>
        <rFont val="宋体"/>
        <charset val="134"/>
      </rPr>
      <t xml:space="preserve">
</t>
    </r>
    <r>
      <rPr>
        <b/>
        <sz val="10"/>
        <color indexed="8"/>
        <rFont val="宋体"/>
        <charset val="134"/>
      </rPr>
      <t>（按市场局反馈数据计算，仅参考）</t>
    </r>
  </si>
  <si>
    <t>商贸主体
复市数</t>
  </si>
  <si>
    <t>商贸主体
到岗人数</t>
  </si>
  <si>
    <t>商贸主体当日核酸
检测人数</t>
  </si>
  <si>
    <t>商贸主体当日抗原
检测人数</t>
  </si>
  <si>
    <t>无电子在岗证人数</t>
  </si>
  <si>
    <t>无电子在岗证原因</t>
  </si>
  <si>
    <t>962人未查到核酸结果，1680企业未审核</t>
  </si>
  <si>
    <t>系统崩溃，数据查询链接不准确，录入较慢。</t>
  </si>
  <si>
    <t>正在申请中，暂未审核通过</t>
  </si>
  <si>
    <t>企业申办中，等待灵动长春系统审核</t>
  </si>
  <si>
    <t>核酸待审核</t>
  </si>
  <si>
    <t>我区7.24火灾后对全区企业进行了地毯式排查，全区正常经营的商贸企业共计4764户。</t>
  </si>
  <si>
    <t>1、企业正在申请中/系统正在反馈中；2、企业行政区域填写有误，以至于无法审批。</t>
  </si>
  <si>
    <t>申办中</t>
  </si>
  <si>
    <t xml:space="preserve">  一、示范区内实际第一阶段应开尽开的商贸主体单位202家，实际开业190家，开业率94.06%，
  二、京东亚一封闭管理非流动人员及相对封闭的村屯商超人员，未办理电子在岗证，次类人员相对不流动。
  三、示范区商务局实际审批商贸主体持电子证人员251人，另外346人为长春市首批保供单位吉林北药集团和京东员工，该企业电子在岗证审批权限不在示范区。</t>
  </si>
  <si>
    <t>正在申领途中</t>
  </si>
  <si>
    <t>附件2</t>
  </si>
  <si>
    <t>各区限上企业复商复市情况统计表</t>
  </si>
  <si>
    <t>限上批发企业</t>
  </si>
  <si>
    <t>限上零售企业</t>
  </si>
  <si>
    <t>限上住宿企业</t>
  </si>
  <si>
    <t>限上餐饮企业</t>
  </si>
  <si>
    <t>限上
企业
核酸
检测
人数</t>
  </si>
  <si>
    <t>限上
企业
抗原
检测
人数</t>
  </si>
  <si>
    <t>限上企业</t>
  </si>
  <si>
    <t>未做
核酸
原因</t>
  </si>
  <si>
    <t>总户数</t>
  </si>
  <si>
    <t>复市
户数</t>
  </si>
  <si>
    <t>总人数</t>
  </si>
  <si>
    <t>复岗
人数</t>
  </si>
  <si>
    <t>复岗人数</t>
  </si>
  <si>
    <t>总复
市数</t>
  </si>
  <si>
    <t>总返岗人数</t>
  </si>
  <si>
    <t>总复市率</t>
  </si>
  <si>
    <t>总返岗率</t>
  </si>
  <si>
    <t>中韩</t>
  </si>
  <si>
    <t>公主岭</t>
  </si>
  <si>
    <t>榆树</t>
  </si>
  <si>
    <t>——</t>
  </si>
  <si>
    <t>双阳</t>
  </si>
  <si>
    <t>德惠</t>
  </si>
  <si>
    <t>农安</t>
  </si>
  <si>
    <t>九台</t>
  </si>
  <si>
    <t>六县域合计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</si>
</sst>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8"/>
      <color indexed="8"/>
      <name val="宋体"/>
      <charset val="134"/>
    </font>
    <font>
      <sz val="10"/>
      <color indexed="8"/>
      <name val="方正小标宋简体"/>
      <family val="3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8"/>
      <color indexed="8"/>
      <name val="方正小标宋简体"/>
      <family val="3"/>
      <charset val="134"/>
    </font>
    <font>
      <b/>
      <sz val="11"/>
      <color indexed="8"/>
      <name val="宋体"/>
      <charset val="134"/>
    </font>
    <font>
      <sz val="12"/>
      <color indexed="8"/>
      <name val="宋体"/>
      <charset val="134"/>
    </font>
    <font>
      <b/>
      <sz val="16"/>
      <color indexed="8"/>
      <name val="宋体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Protection="0">
      <alignment vertical="center"/>
    </xf>
  </cellStyleXfs>
  <cellXfs count="55">
    <xf numFmtId="0" fontId="0" fillId="0" borderId="0" xfId="0" applyProtection="1">
      <alignment vertical="center"/>
    </xf>
    <xf numFmtId="0" fontId="0" fillId="0" borderId="0" xfId="0" applyFont="1" applyAlignment="1" applyProtection="1">
      <alignment vertical="center" wrapText="1"/>
    </xf>
    <xf numFmtId="0" fontId="0" fillId="0" borderId="0" xfId="0" applyFont="1" applyProtection="1">
      <alignment vertical="center"/>
    </xf>
    <xf numFmtId="49" fontId="3" fillId="0" borderId="2" xfId="0" applyNumberFormat="1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 vertical="center"/>
    </xf>
    <xf numFmtId="0" fontId="0" fillId="0" borderId="3" xfId="0" applyFont="1" applyBorder="1" applyAlignment="1" applyProtection="1">
      <alignment horizontal="center" vertical="center"/>
    </xf>
    <xf numFmtId="0" fontId="0" fillId="0" borderId="4" xfId="0" applyFont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0" fillId="4" borderId="2" xfId="0" applyFont="1" applyFill="1" applyBorder="1" applyAlignment="1" applyProtection="1">
      <alignment horizontal="center" vertical="center" wrapText="1"/>
    </xf>
    <xf numFmtId="10" fontId="4" fillId="0" borderId="2" xfId="0" applyNumberFormat="1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10" fontId="4" fillId="0" borderId="3" xfId="0" applyNumberFormat="1" applyFont="1" applyBorder="1" applyAlignment="1" applyProtection="1">
      <alignment horizontal="center" vertical="center" wrapText="1"/>
    </xf>
    <xf numFmtId="0" fontId="4" fillId="0" borderId="7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10" fontId="4" fillId="0" borderId="4" xfId="0" applyNumberFormat="1" applyFont="1" applyBorder="1" applyAlignment="1" applyProtection="1">
      <alignment horizontal="center" vertical="center" wrapText="1"/>
    </xf>
    <xf numFmtId="10" fontId="4" fillId="2" borderId="2" xfId="0" applyNumberFormat="1" applyFont="1" applyFill="1" applyBorder="1" applyAlignment="1" applyProtection="1">
      <alignment horizontal="center" vertical="center" wrapText="1"/>
    </xf>
    <xf numFmtId="10" fontId="5" fillId="4" borderId="2" xfId="0" applyNumberFormat="1" applyFont="1" applyFill="1" applyBorder="1" applyAlignment="1" applyProtection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 wrapText="1"/>
    </xf>
    <xf numFmtId="10" fontId="4" fillId="4" borderId="2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Protection="1">
      <alignment vertical="center"/>
    </xf>
    <xf numFmtId="10" fontId="0" fillId="0" borderId="2" xfId="0" applyNumberFormat="1" applyFont="1" applyBorder="1" applyAlignment="1" applyProtection="1">
      <alignment horizontal="center" vertical="center"/>
    </xf>
    <xf numFmtId="10" fontId="0" fillId="0" borderId="4" xfId="0" applyNumberFormat="1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10" fontId="0" fillId="0" borderId="2" xfId="0" applyNumberFormat="1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/>
    </xf>
    <xf numFmtId="10" fontId="7" fillId="0" borderId="2" xfId="0" applyNumberFormat="1" applyFont="1" applyBorder="1" applyAlignment="1" applyProtection="1">
      <alignment horizontal="center" vertical="center"/>
    </xf>
    <xf numFmtId="0" fontId="8" fillId="0" borderId="0" xfId="0" applyFont="1" applyProtection="1">
      <alignment vertical="center"/>
    </xf>
    <xf numFmtId="0" fontId="7" fillId="3" borderId="2" xfId="0" applyFont="1" applyFill="1" applyBorder="1" applyAlignment="1" applyProtection="1">
      <alignment horizontal="center" vertical="center" wrapText="1"/>
    </xf>
    <xf numFmtId="0" fontId="0" fillId="3" borderId="2" xfId="0" applyFont="1" applyFill="1" applyBorder="1" applyAlignment="1" applyProtection="1">
      <alignment horizontal="center" vertical="center"/>
    </xf>
    <xf numFmtId="10" fontId="0" fillId="3" borderId="2" xfId="0" applyNumberFormat="1" applyFont="1" applyFill="1" applyBorder="1" applyAlignment="1" applyProtection="1">
      <alignment horizontal="center" vertical="center"/>
    </xf>
    <xf numFmtId="0" fontId="7" fillId="3" borderId="4" xfId="0" applyFont="1" applyFill="1" applyBorder="1" applyAlignment="1" applyProtection="1">
      <alignment horizontal="center" vertical="center" wrapText="1"/>
    </xf>
    <xf numFmtId="10" fontId="5" fillId="0" borderId="2" xfId="0" applyNumberFormat="1" applyFont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176" fontId="0" fillId="0" borderId="2" xfId="0" applyNumberFormat="1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6" xfId="0" applyFont="1" applyFill="1" applyBorder="1" applyAlignment="1" applyProtection="1">
      <alignment horizontal="center" vertical="center"/>
    </xf>
    <xf numFmtId="0" fontId="7" fillId="3" borderId="7" xfId="0" applyFont="1" applyFill="1" applyBorder="1" applyAlignment="1" applyProtection="1">
      <alignment horizontal="center" vertical="center"/>
    </xf>
    <xf numFmtId="0" fontId="7" fillId="3" borderId="2" xfId="0" applyFont="1" applyFill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center" vertical="center" wrapText="1"/>
    </xf>
    <xf numFmtId="0" fontId="3" fillId="0" borderId="7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E2EFD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SheetLayoutView="100" workbookViewId="0">
      <selection activeCell="A2" sqref="A2:H17"/>
    </sheetView>
  </sheetViews>
  <sheetFormatPr defaultColWidth="9" defaultRowHeight="14.15"/>
  <cols>
    <col min="1" max="1" width="5.23046875" bestFit="1" customWidth="1"/>
    <col min="2" max="2" width="10.61328125" bestFit="1" customWidth="1"/>
    <col min="3" max="4" width="9.4609375" bestFit="1" customWidth="1"/>
    <col min="5" max="5" width="8.3828125" bestFit="1" customWidth="1"/>
    <col min="6" max="6" width="10.15234375" bestFit="1" customWidth="1"/>
    <col min="7" max="7" width="9.61328125" bestFit="1" customWidth="1"/>
    <col min="8" max="8" width="8.84375" bestFit="1" customWidth="1"/>
    <col min="9" max="16384" width="9" style="2"/>
  </cols>
  <sheetData>
    <row r="1" spans="1:8" ht="15.75" customHeight="1">
      <c r="A1" s="22"/>
      <c r="B1" s="2"/>
      <c r="C1" s="2"/>
      <c r="D1" s="2"/>
      <c r="E1" s="2"/>
      <c r="F1" s="2"/>
      <c r="G1" s="2"/>
      <c r="H1" s="2"/>
    </row>
    <row r="2" spans="1:8" ht="27" customHeight="1">
      <c r="A2" s="37" t="s">
        <v>0</v>
      </c>
      <c r="B2" s="37"/>
      <c r="C2" s="37"/>
      <c r="D2" s="37"/>
      <c r="E2" s="37"/>
      <c r="F2" s="37"/>
      <c r="G2" s="37"/>
      <c r="H2" s="37"/>
    </row>
    <row r="3" spans="1:8" customFormat="1" ht="27" customHeight="1">
      <c r="A3" s="38" t="s">
        <v>1</v>
      </c>
      <c r="B3" s="38" t="s">
        <v>2</v>
      </c>
      <c r="C3" s="38" t="s">
        <v>3</v>
      </c>
      <c r="D3" s="38"/>
      <c r="E3" s="38"/>
      <c r="F3" s="38" t="s">
        <v>4</v>
      </c>
      <c r="G3" s="38"/>
      <c r="H3" s="38"/>
    </row>
    <row r="4" spans="1:8" ht="27" customHeight="1">
      <c r="A4" s="38"/>
      <c r="B4" s="38"/>
      <c r="C4" s="35" t="s">
        <v>5</v>
      </c>
      <c r="D4" s="35" t="s">
        <v>6</v>
      </c>
      <c r="E4" s="35" t="s">
        <v>7</v>
      </c>
      <c r="F4" s="35" t="s">
        <v>5</v>
      </c>
      <c r="G4" s="35" t="s">
        <v>6</v>
      </c>
      <c r="H4" s="35" t="s">
        <v>7</v>
      </c>
    </row>
    <row r="5" spans="1:8" ht="27" customHeight="1">
      <c r="A5" s="5">
        <v>1</v>
      </c>
      <c r="B5" s="5" t="s">
        <v>8</v>
      </c>
      <c r="C5" s="5">
        <f>附件1!C5</f>
        <v>53</v>
      </c>
      <c r="D5" s="23">
        <f>附件1!D5</f>
        <v>0.31176470588235294</v>
      </c>
      <c r="E5" s="36">
        <v>6</v>
      </c>
      <c r="F5" s="5">
        <f>附件1!H5</f>
        <v>1798</v>
      </c>
      <c r="G5" s="23">
        <f>附件1!I5</f>
        <v>5.0599999999999999E-2</v>
      </c>
      <c r="H5" s="36">
        <v>7</v>
      </c>
    </row>
    <row r="6" spans="1:8" ht="27" customHeight="1">
      <c r="A6" s="5">
        <v>2</v>
      </c>
      <c r="B6" s="5" t="s">
        <v>9</v>
      </c>
      <c r="C6" s="5">
        <f>附件1!C6</f>
        <v>29</v>
      </c>
      <c r="D6" s="23">
        <f>附件1!D6</f>
        <v>0.27358490566037735</v>
      </c>
      <c r="E6" s="36">
        <v>7</v>
      </c>
      <c r="F6" s="5">
        <f>附件1!H6</f>
        <v>2290</v>
      </c>
      <c r="G6" s="23">
        <f>附件1!I6</f>
        <v>5.212364000546274E-2</v>
      </c>
      <c r="H6" s="36">
        <v>5</v>
      </c>
    </row>
    <row r="7" spans="1:8" ht="27" customHeight="1">
      <c r="A7" s="5">
        <v>3</v>
      </c>
      <c r="B7" s="5" t="s">
        <v>10</v>
      </c>
      <c r="C7" s="5">
        <f>附件1!C7</f>
        <v>61</v>
      </c>
      <c r="D7" s="23">
        <f>附件1!D7</f>
        <v>0.31443298969072164</v>
      </c>
      <c r="E7" s="36">
        <v>5</v>
      </c>
      <c r="F7" s="5">
        <f>附件1!H7</f>
        <v>2521</v>
      </c>
      <c r="G7" s="23">
        <f>附件1!I7</f>
        <v>5.259863548164994E-2</v>
      </c>
      <c r="H7" s="36">
        <v>9</v>
      </c>
    </row>
    <row r="8" spans="1:8" ht="27" customHeight="1">
      <c r="A8" s="5">
        <v>4</v>
      </c>
      <c r="B8" s="5" t="s">
        <v>11</v>
      </c>
      <c r="C8" s="5">
        <f>附件1!C8</f>
        <v>53</v>
      </c>
      <c r="D8" s="23">
        <f>附件1!D8</f>
        <v>0.40458015267175573</v>
      </c>
      <c r="E8" s="36">
        <v>3</v>
      </c>
      <c r="F8" s="5">
        <f>附件1!H8</f>
        <v>2698</v>
      </c>
      <c r="G8" s="23">
        <f>附件1!I8</f>
        <v>0.30711439954467845</v>
      </c>
      <c r="H8" s="36">
        <v>2</v>
      </c>
    </row>
    <row r="9" spans="1:8" ht="27" customHeight="1">
      <c r="A9" s="5">
        <v>5</v>
      </c>
      <c r="B9" s="5" t="s">
        <v>12</v>
      </c>
      <c r="C9" s="5">
        <f>附件1!C9</f>
        <v>23</v>
      </c>
      <c r="D9" s="23">
        <f>附件1!D9</f>
        <v>0.16428571428571428</v>
      </c>
      <c r="E9" s="36">
        <v>10</v>
      </c>
      <c r="F9" s="5">
        <f>附件1!H9</f>
        <v>1464</v>
      </c>
      <c r="G9" s="23">
        <f>附件1!I9</f>
        <v>3.9381304640215199E-2</v>
      </c>
      <c r="H9" s="36">
        <v>10</v>
      </c>
    </row>
    <row r="10" spans="1:8" ht="27" customHeight="1">
      <c r="A10" s="5">
        <v>6</v>
      </c>
      <c r="B10" s="5" t="s">
        <v>13</v>
      </c>
      <c r="C10" s="5">
        <f>附件1!C10</f>
        <v>47</v>
      </c>
      <c r="D10" s="23">
        <f>附件1!D10</f>
        <v>0.33571428571428569</v>
      </c>
      <c r="E10" s="36">
        <v>4</v>
      </c>
      <c r="F10" s="5">
        <f>附件1!H10</f>
        <v>1995</v>
      </c>
      <c r="G10" s="23">
        <f>附件1!I10</f>
        <v>8.0381965429711114E-2</v>
      </c>
      <c r="H10" s="36">
        <v>3</v>
      </c>
    </row>
    <row r="11" spans="1:8" ht="27" customHeight="1">
      <c r="A11" s="5">
        <v>7</v>
      </c>
      <c r="B11" s="5" t="s">
        <v>14</v>
      </c>
      <c r="C11" s="5">
        <f>附件1!C11</f>
        <v>35</v>
      </c>
      <c r="D11" s="23">
        <f>附件1!D11</f>
        <v>0.22292993630573249</v>
      </c>
      <c r="E11" s="36">
        <v>9</v>
      </c>
      <c r="F11" s="5">
        <f>附件1!H11</f>
        <v>662</v>
      </c>
      <c r="G11" s="23">
        <f>附件1!I11</f>
        <v>4.4615177247607496E-2</v>
      </c>
      <c r="H11" s="36">
        <v>8</v>
      </c>
    </row>
    <row r="12" spans="1:8" ht="27" customHeight="1">
      <c r="A12" s="5">
        <v>8</v>
      </c>
      <c r="B12" s="5" t="s">
        <v>15</v>
      </c>
      <c r="C12" s="5">
        <f>附件1!C12</f>
        <v>30</v>
      </c>
      <c r="D12" s="23">
        <f>附件1!D12</f>
        <v>0.22900763358778625</v>
      </c>
      <c r="E12" s="36">
        <v>8</v>
      </c>
      <c r="F12" s="5">
        <f>附件1!H12</f>
        <v>1230</v>
      </c>
      <c r="G12" s="23">
        <f>附件1!I12</f>
        <v>5.1475204017576902E-2</v>
      </c>
      <c r="H12" s="36">
        <v>6</v>
      </c>
    </row>
    <row r="13" spans="1:8" ht="27" customHeight="1">
      <c r="A13" s="5">
        <v>9</v>
      </c>
      <c r="B13" s="5" t="s">
        <v>16</v>
      </c>
      <c r="C13" s="5">
        <f>附件1!C13</f>
        <v>66</v>
      </c>
      <c r="D13" s="23">
        <f>附件1!D13</f>
        <v>0.48888888888888887</v>
      </c>
      <c r="E13" s="36">
        <v>2</v>
      </c>
      <c r="F13" s="5">
        <f>附件1!H13</f>
        <v>810</v>
      </c>
      <c r="G13" s="23">
        <f>附件1!I13</f>
        <v>5.9734513274336286E-2</v>
      </c>
      <c r="H13" s="36">
        <v>4</v>
      </c>
    </row>
    <row r="14" spans="1:8" ht="27" customHeight="1">
      <c r="A14" s="5">
        <v>10</v>
      </c>
      <c r="B14" s="5" t="s">
        <v>17</v>
      </c>
      <c r="C14" s="5">
        <f>附件1!C14</f>
        <v>5</v>
      </c>
      <c r="D14" s="23">
        <f>附件1!D14</f>
        <v>0.83333333333333337</v>
      </c>
      <c r="E14" s="36">
        <v>1</v>
      </c>
      <c r="F14" s="5">
        <f>附件1!H14</f>
        <v>190</v>
      </c>
      <c r="G14" s="23">
        <f>附件1!I14</f>
        <v>0.85972850678733037</v>
      </c>
      <c r="H14" s="36">
        <v>1</v>
      </c>
    </row>
    <row r="15" spans="1:8" ht="27" customHeight="1">
      <c r="A15" s="5">
        <v>11</v>
      </c>
      <c r="B15" s="5" t="s">
        <v>18</v>
      </c>
      <c r="C15" s="5">
        <f>附件1!C15</f>
        <v>0</v>
      </c>
      <c r="D15" s="23">
        <f>附件1!D15</f>
        <v>0</v>
      </c>
      <c r="E15" s="36">
        <v>11</v>
      </c>
      <c r="F15" s="5">
        <f>附件1!H15</f>
        <v>65</v>
      </c>
      <c r="G15" s="23">
        <f>附件1!I15</f>
        <v>3.5364526659412407E-2</v>
      </c>
      <c r="H15" s="36">
        <v>11</v>
      </c>
    </row>
    <row r="16" spans="1:8" ht="27" customHeight="1">
      <c r="A16" s="5">
        <v>12</v>
      </c>
      <c r="B16" s="5" t="s">
        <v>19</v>
      </c>
      <c r="C16" s="5">
        <f>附件1!C16</f>
        <v>129</v>
      </c>
      <c r="D16" s="23">
        <f>附件1!D16</f>
        <v>0.68617021276595747</v>
      </c>
      <c r="E16" s="5" t="s">
        <v>20</v>
      </c>
      <c r="F16" s="5" t="s">
        <v>20</v>
      </c>
      <c r="G16" s="23" t="s">
        <v>20</v>
      </c>
      <c r="H16" s="5" t="s">
        <v>20</v>
      </c>
    </row>
    <row r="17" spans="1:8" ht="27" customHeight="1">
      <c r="A17" s="27"/>
      <c r="B17" s="27" t="s">
        <v>21</v>
      </c>
      <c r="C17" s="27">
        <f>SUM(C5:C16)</f>
        <v>531</v>
      </c>
      <c r="D17" s="28">
        <f>附件1!D17</f>
        <v>0.35305851063829785</v>
      </c>
      <c r="E17" s="5" t="s">
        <v>20</v>
      </c>
      <c r="F17" s="27">
        <f>SUM(F5:F16)</f>
        <v>15723</v>
      </c>
      <c r="G17" s="28">
        <f>附件1!I17</f>
        <v>6.2258211407867907E-2</v>
      </c>
      <c r="H17" s="5" t="s">
        <v>20</v>
      </c>
    </row>
  </sheetData>
  <mergeCells count="5">
    <mergeCell ref="A2:H2"/>
    <mergeCell ref="C3:E3"/>
    <mergeCell ref="F3:H3"/>
    <mergeCell ref="A3:A4"/>
    <mergeCell ref="B3:B4"/>
  </mergeCells>
  <phoneticPr fontId="10" type="noConversion"/>
  <pageMargins left="0.74990626395218019" right="0.74990626395218019" top="0.99987495602585197" bottom="0.99987495602585197" header="0.49993747801292598" footer="0.49993747801292598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view="pageBreakPreview" zoomScale="120" zoomScaleNormal="100" workbookViewId="0">
      <selection activeCell="H1" sqref="H1:H65536"/>
    </sheetView>
  </sheetViews>
  <sheetFormatPr defaultColWidth="9" defaultRowHeight="14.15"/>
  <cols>
    <col min="1" max="1" width="5.765625" bestFit="1" customWidth="1"/>
    <col min="2" max="12" width="11.765625" bestFit="1" customWidth="1"/>
    <col min="13" max="16384" width="9" style="2"/>
  </cols>
  <sheetData>
    <row r="1" spans="1:12" ht="15.75" customHeight="1">
      <c r="A1" s="2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8" customHeight="1">
      <c r="A2" s="37" t="s">
        <v>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s="29" customFormat="1" ht="26.05" customHeight="1">
      <c r="A3" s="38" t="s">
        <v>1</v>
      </c>
      <c r="B3" s="42" t="s">
        <v>2</v>
      </c>
      <c r="C3" s="39" t="s">
        <v>3</v>
      </c>
      <c r="D3" s="40"/>
      <c r="E3" s="40"/>
      <c r="F3" s="40"/>
      <c r="G3" s="40"/>
      <c r="H3" s="39" t="s">
        <v>4</v>
      </c>
      <c r="I3" s="40"/>
      <c r="J3" s="40"/>
      <c r="K3" s="40"/>
      <c r="L3" s="41"/>
    </row>
    <row r="4" spans="1:12" s="29" customFormat="1" ht="36" customHeight="1">
      <c r="A4" s="38"/>
      <c r="B4" s="42"/>
      <c r="C4" s="30" t="s">
        <v>5</v>
      </c>
      <c r="D4" s="30" t="s">
        <v>6</v>
      </c>
      <c r="E4" s="30" t="s">
        <v>24</v>
      </c>
      <c r="F4" s="30" t="s">
        <v>25</v>
      </c>
      <c r="G4" s="30" t="s">
        <v>26</v>
      </c>
      <c r="H4" s="33" t="s">
        <v>5</v>
      </c>
      <c r="I4" s="33" t="s">
        <v>6</v>
      </c>
      <c r="J4" s="33" t="s">
        <v>24</v>
      </c>
      <c r="K4" s="33" t="s">
        <v>26</v>
      </c>
      <c r="L4" s="30" t="s">
        <v>27</v>
      </c>
    </row>
    <row r="5" spans="1:12" ht="26.05" customHeight="1">
      <c r="A5" s="5">
        <v>1</v>
      </c>
      <c r="B5" s="31" t="s">
        <v>8</v>
      </c>
      <c r="C5" s="31">
        <f>汇总表2!U5</f>
        <v>53</v>
      </c>
      <c r="D5" s="32">
        <f>汇总表2!W5</f>
        <v>0.31176470588235294</v>
      </c>
      <c r="E5" s="31">
        <f>汇总表2!V5</f>
        <v>4795</v>
      </c>
      <c r="F5" s="32">
        <f>汇总表2!X5</f>
        <v>0.2565680346728022</v>
      </c>
      <c r="G5" s="31">
        <f>汇总表2!S5</f>
        <v>4795</v>
      </c>
      <c r="H5" s="31">
        <f>汇总表1!E5</f>
        <v>1798</v>
      </c>
      <c r="I5" s="32">
        <f>汇总表1!D5</f>
        <v>5.0599999999999999E-2</v>
      </c>
      <c r="J5" s="31">
        <f>汇总表1!F5</f>
        <v>11186</v>
      </c>
      <c r="K5" s="31">
        <f>汇总表1!G5</f>
        <v>11186</v>
      </c>
      <c r="L5" s="31">
        <f>汇总表1!I5</f>
        <v>8544</v>
      </c>
    </row>
    <row r="6" spans="1:12" ht="26.05" customHeight="1">
      <c r="A6" s="5">
        <v>2</v>
      </c>
      <c r="B6" s="31" t="s">
        <v>9</v>
      </c>
      <c r="C6" s="31">
        <f>汇总表2!U6</f>
        <v>29</v>
      </c>
      <c r="D6" s="32">
        <f>汇总表2!W6</f>
        <v>0.27358490566037735</v>
      </c>
      <c r="E6" s="31">
        <f>汇总表2!V6</f>
        <v>1541</v>
      </c>
      <c r="F6" s="32">
        <f>汇总表2!X6</f>
        <v>0.15779234077411428</v>
      </c>
      <c r="G6" s="31">
        <f>汇总表2!S6</f>
        <v>1541</v>
      </c>
      <c r="H6" s="31">
        <f>汇总表1!E6</f>
        <v>2290</v>
      </c>
      <c r="I6" s="32">
        <f>汇总表1!D6</f>
        <v>5.212364000546274E-2</v>
      </c>
      <c r="J6" s="31">
        <f>汇总表1!F6</f>
        <v>7613</v>
      </c>
      <c r="K6" s="31">
        <f>汇总表1!G6</f>
        <v>7613</v>
      </c>
      <c r="L6" s="31">
        <f>汇总表1!I6</f>
        <v>7613</v>
      </c>
    </row>
    <row r="7" spans="1:12" ht="26.05" customHeight="1">
      <c r="A7" s="5">
        <v>3</v>
      </c>
      <c r="B7" s="31" t="s">
        <v>10</v>
      </c>
      <c r="C7" s="31">
        <f>汇总表2!U7</f>
        <v>61</v>
      </c>
      <c r="D7" s="32">
        <f>汇总表2!W7</f>
        <v>0.31443298969072164</v>
      </c>
      <c r="E7" s="31">
        <f>汇总表2!V7</f>
        <v>2186</v>
      </c>
      <c r="F7" s="32">
        <f>汇总表2!X7</f>
        <v>0.16968097492819995</v>
      </c>
      <c r="G7" s="31">
        <f>汇总表2!S7</f>
        <v>2780</v>
      </c>
      <c r="H7" s="31">
        <f>汇总表1!E7</f>
        <v>2521</v>
      </c>
      <c r="I7" s="32">
        <f>汇总表1!D7</f>
        <v>5.259863548164994E-2</v>
      </c>
      <c r="J7" s="31">
        <f>汇总表1!F7</f>
        <v>6918</v>
      </c>
      <c r="K7" s="31">
        <f>汇总表1!G7</f>
        <v>6918</v>
      </c>
      <c r="L7" s="31">
        <f>汇总表1!I7</f>
        <v>5012</v>
      </c>
    </row>
    <row r="8" spans="1:12" ht="26.05" customHeight="1">
      <c r="A8" s="5">
        <v>4</v>
      </c>
      <c r="B8" s="31" t="s">
        <v>11</v>
      </c>
      <c r="C8" s="31">
        <f>汇总表2!U8</f>
        <v>53</v>
      </c>
      <c r="D8" s="32">
        <f>汇总表2!W8</f>
        <v>0.40458015267175573</v>
      </c>
      <c r="E8" s="31">
        <f>汇总表2!V8</f>
        <v>2598</v>
      </c>
      <c r="F8" s="32">
        <f>汇总表2!X8</f>
        <v>0.26922279792746112</v>
      </c>
      <c r="G8" s="31">
        <f>汇总表2!S8</f>
        <v>2598</v>
      </c>
      <c r="H8" s="31">
        <f>汇总表1!E8</f>
        <v>2698</v>
      </c>
      <c r="I8" s="32">
        <f>汇总表1!D8</f>
        <v>0.30711439954467845</v>
      </c>
      <c r="J8" s="31">
        <f>汇总表1!F8</f>
        <v>8072</v>
      </c>
      <c r="K8" s="31">
        <f>汇总表1!G8</f>
        <v>8072</v>
      </c>
      <c r="L8" s="31">
        <f>汇总表1!I8</f>
        <v>4652</v>
      </c>
    </row>
    <row r="9" spans="1:12" ht="26.05" customHeight="1">
      <c r="A9" s="5">
        <v>5</v>
      </c>
      <c r="B9" s="31" t="s">
        <v>12</v>
      </c>
      <c r="C9" s="31">
        <f>汇总表2!U9</f>
        <v>23</v>
      </c>
      <c r="D9" s="32">
        <f>汇总表2!W9</f>
        <v>0.16428571428571428</v>
      </c>
      <c r="E9" s="31">
        <f>汇总表2!V9</f>
        <v>856</v>
      </c>
      <c r="F9" s="32">
        <f>汇总表2!X9</f>
        <v>0.16047994000749907</v>
      </c>
      <c r="G9" s="31">
        <f>汇总表2!S9</f>
        <v>856</v>
      </c>
      <c r="H9" s="31">
        <f>汇总表1!E9</f>
        <v>1464</v>
      </c>
      <c r="I9" s="32">
        <f>汇总表1!D9</f>
        <v>3.9381304640215199E-2</v>
      </c>
      <c r="J9" s="31">
        <f>汇总表1!F9</f>
        <v>5067</v>
      </c>
      <c r="K9" s="31">
        <f>汇总表1!G9</f>
        <v>5067</v>
      </c>
      <c r="L9" s="31">
        <f>汇总表1!I9</f>
        <v>4813</v>
      </c>
    </row>
    <row r="10" spans="1:12" ht="26.05" customHeight="1">
      <c r="A10" s="5">
        <v>6</v>
      </c>
      <c r="B10" s="31" t="s">
        <v>13</v>
      </c>
      <c r="C10" s="31">
        <f>汇总表2!U10</f>
        <v>47</v>
      </c>
      <c r="D10" s="32">
        <f>汇总表2!W10</f>
        <v>0.33571428571428569</v>
      </c>
      <c r="E10" s="31">
        <f>汇总表2!V10</f>
        <v>1826</v>
      </c>
      <c r="F10" s="32">
        <f>汇总表2!X10</f>
        <v>0.32607142857142857</v>
      </c>
      <c r="G10" s="31">
        <f>汇总表2!S10</f>
        <v>1826</v>
      </c>
      <c r="H10" s="31">
        <f>汇总表1!E10</f>
        <v>1995</v>
      </c>
      <c r="I10" s="32">
        <f>汇总表1!D10</f>
        <v>8.0381965429711114E-2</v>
      </c>
      <c r="J10" s="31">
        <f>汇总表1!F10</f>
        <v>6540</v>
      </c>
      <c r="K10" s="31">
        <f>汇总表1!G10</f>
        <v>6540</v>
      </c>
      <c r="L10" s="31">
        <f>汇总表1!I10</f>
        <v>4349</v>
      </c>
    </row>
    <row r="11" spans="1:12" ht="26.05" customHeight="1">
      <c r="A11" s="5">
        <v>7</v>
      </c>
      <c r="B11" s="31" t="s">
        <v>14</v>
      </c>
      <c r="C11" s="31">
        <f>汇总表2!U11</f>
        <v>35</v>
      </c>
      <c r="D11" s="32">
        <f>汇总表2!W11</f>
        <v>0.22292993630573249</v>
      </c>
      <c r="E11" s="31">
        <f>汇总表2!V11</f>
        <v>597</v>
      </c>
      <c r="F11" s="32">
        <f>汇总表2!X11</f>
        <v>0.10282466414054427</v>
      </c>
      <c r="G11" s="31">
        <f>汇总表2!S11</f>
        <v>417</v>
      </c>
      <c r="H11" s="31">
        <f>汇总表1!E11</f>
        <v>662</v>
      </c>
      <c r="I11" s="32">
        <f>汇总表1!D11</f>
        <v>4.4615177247607496E-2</v>
      </c>
      <c r="J11" s="31">
        <f>汇总表1!F11</f>
        <v>3092</v>
      </c>
      <c r="K11" s="31">
        <f>汇总表1!G11</f>
        <v>3092</v>
      </c>
      <c r="L11" s="31">
        <f>汇总表1!I11</f>
        <v>2587</v>
      </c>
    </row>
    <row r="12" spans="1:12" ht="26.05" customHeight="1">
      <c r="A12" s="5">
        <v>8</v>
      </c>
      <c r="B12" s="31" t="s">
        <v>15</v>
      </c>
      <c r="C12" s="31">
        <f>汇总表2!U12</f>
        <v>30</v>
      </c>
      <c r="D12" s="32">
        <f>汇总表2!W12</f>
        <v>0.22900763358778625</v>
      </c>
      <c r="E12" s="31">
        <f>汇总表2!V12</f>
        <v>946</v>
      </c>
      <c r="F12" s="32">
        <f>汇总表2!X12</f>
        <v>0.21918443002780352</v>
      </c>
      <c r="G12" s="31">
        <f>汇总表2!S12</f>
        <v>946</v>
      </c>
      <c r="H12" s="31">
        <f>汇总表1!E12</f>
        <v>1230</v>
      </c>
      <c r="I12" s="32">
        <f>汇总表1!D12</f>
        <v>5.1475204017576902E-2</v>
      </c>
      <c r="J12" s="31">
        <f>汇总表1!F12</f>
        <v>4640</v>
      </c>
      <c r="K12" s="31">
        <f>汇总表1!G12</f>
        <v>4640</v>
      </c>
      <c r="L12" s="31">
        <f>汇总表1!I12</f>
        <v>4147</v>
      </c>
    </row>
    <row r="13" spans="1:12" ht="26.05" customHeight="1">
      <c r="A13" s="5">
        <v>9</v>
      </c>
      <c r="B13" s="31" t="s">
        <v>16</v>
      </c>
      <c r="C13" s="31">
        <f>汇总表2!U13</f>
        <v>66</v>
      </c>
      <c r="D13" s="32">
        <f>汇总表2!W13</f>
        <v>0.48888888888888887</v>
      </c>
      <c r="E13" s="31">
        <f>汇总表2!V13</f>
        <v>1056</v>
      </c>
      <c r="F13" s="32">
        <f>汇总表2!X13</f>
        <v>0.12353766963032288</v>
      </c>
      <c r="G13" s="31">
        <f>汇总表2!S13</f>
        <v>1056</v>
      </c>
      <c r="H13" s="31">
        <f>汇总表1!E13</f>
        <v>810</v>
      </c>
      <c r="I13" s="32">
        <f>汇总表1!D13</f>
        <v>5.9734513274336286E-2</v>
      </c>
      <c r="J13" s="31">
        <f>汇总表1!F13</f>
        <v>2935</v>
      </c>
      <c r="K13" s="31">
        <f>汇总表1!G13</f>
        <v>2935</v>
      </c>
      <c r="L13" s="31">
        <f>汇总表1!I13</f>
        <v>2860</v>
      </c>
    </row>
    <row r="14" spans="1:12" ht="26.05" customHeight="1">
      <c r="A14" s="5">
        <v>10</v>
      </c>
      <c r="B14" s="31" t="s">
        <v>17</v>
      </c>
      <c r="C14" s="31">
        <f>汇总表2!U14</f>
        <v>5</v>
      </c>
      <c r="D14" s="32">
        <f>汇总表2!W14</f>
        <v>0.83333333333333337</v>
      </c>
      <c r="E14" s="31">
        <f>汇总表2!V14</f>
        <v>1185</v>
      </c>
      <c r="F14" s="32">
        <f>汇总表2!X14</f>
        <v>0.78114700065919573</v>
      </c>
      <c r="G14" s="31" t="str">
        <f>汇总表2!S14</f>
        <v>-</v>
      </c>
      <c r="H14" s="31">
        <f>汇总表1!E14</f>
        <v>190</v>
      </c>
      <c r="I14" s="32">
        <f>汇总表1!D14</f>
        <v>0.85972850678733037</v>
      </c>
      <c r="J14" s="31">
        <f>汇总表1!F14</f>
        <v>1672</v>
      </c>
      <c r="K14" s="31">
        <f>汇总表1!G14</f>
        <v>1672</v>
      </c>
      <c r="L14" s="31">
        <f>汇总表1!I14</f>
        <v>597</v>
      </c>
    </row>
    <row r="15" spans="1:12" ht="26.05" customHeight="1">
      <c r="A15" s="5">
        <v>11</v>
      </c>
      <c r="B15" s="31" t="s">
        <v>18</v>
      </c>
      <c r="C15" s="31">
        <f>汇总表2!U15</f>
        <v>0</v>
      </c>
      <c r="D15" s="32">
        <f>汇总表2!W15</f>
        <v>0</v>
      </c>
      <c r="E15" s="31">
        <f>汇总表2!V15</f>
        <v>0</v>
      </c>
      <c r="F15" s="32">
        <f>汇总表2!X15</f>
        <v>0</v>
      </c>
      <c r="G15" s="31">
        <f>汇总表2!S15</f>
        <v>0</v>
      </c>
      <c r="H15" s="31">
        <f>汇总表1!E15</f>
        <v>65</v>
      </c>
      <c r="I15" s="32">
        <f>汇总表1!D15</f>
        <v>3.5364526659412407E-2</v>
      </c>
      <c r="J15" s="31">
        <f>汇总表1!F15</f>
        <v>292</v>
      </c>
      <c r="K15" s="31">
        <f>汇总表1!G15</f>
        <v>292</v>
      </c>
      <c r="L15" s="31">
        <f>汇总表1!I15</f>
        <v>261</v>
      </c>
    </row>
    <row r="16" spans="1:12" ht="26.05" customHeight="1">
      <c r="A16" s="5">
        <v>12</v>
      </c>
      <c r="B16" s="31" t="s">
        <v>19</v>
      </c>
      <c r="C16" s="31">
        <f>汇总表2!U23</f>
        <v>129</v>
      </c>
      <c r="D16" s="32">
        <f>汇总表2!W23</f>
        <v>0.68617021276595747</v>
      </c>
      <c r="E16" s="31">
        <f>汇总表2!V23</f>
        <v>5104</v>
      </c>
      <c r="F16" s="32">
        <f>汇总表2!X23</f>
        <v>0.55842450765864338</v>
      </c>
      <c r="G16" s="31">
        <f>汇总表2!S23</f>
        <v>3904</v>
      </c>
      <c r="H16" s="31" t="s">
        <v>20</v>
      </c>
      <c r="I16" s="32" t="s">
        <v>20</v>
      </c>
      <c r="J16" s="31" t="s">
        <v>20</v>
      </c>
      <c r="K16" s="31" t="s">
        <v>20</v>
      </c>
      <c r="L16" s="31" t="s">
        <v>20</v>
      </c>
    </row>
    <row r="17" spans="1:12" ht="26.05" customHeight="1">
      <c r="A17" s="27"/>
      <c r="B17" s="27" t="s">
        <v>21</v>
      </c>
      <c r="C17" s="27">
        <f>SUM(C5:C16)</f>
        <v>531</v>
      </c>
      <c r="D17" s="28">
        <f>汇总表2!W22</f>
        <v>0.35305851063829785</v>
      </c>
      <c r="E17" s="27">
        <f>SUM(E5:E16)</f>
        <v>22690</v>
      </c>
      <c r="F17" s="34">
        <f>汇总表2!X22</f>
        <v>0.24845060552307119</v>
      </c>
      <c r="G17" s="27">
        <f>SUM(G5:G16)</f>
        <v>20719</v>
      </c>
      <c r="H17" s="27">
        <f>SUM(H5:H16)</f>
        <v>15723</v>
      </c>
      <c r="I17" s="28">
        <f>汇总表1!D16</f>
        <v>6.2258211407867907E-2</v>
      </c>
      <c r="J17" s="27">
        <f>SUM(J5:J16)</f>
        <v>58027</v>
      </c>
      <c r="K17" s="27">
        <f>SUM(K5:K16)</f>
        <v>58027</v>
      </c>
      <c r="L17" s="27">
        <f>SUM(L5:L16)</f>
        <v>45435</v>
      </c>
    </row>
  </sheetData>
  <mergeCells count="5">
    <mergeCell ref="A2:L2"/>
    <mergeCell ref="C3:G3"/>
    <mergeCell ref="H3:L3"/>
    <mergeCell ref="A3:A4"/>
    <mergeCell ref="B3:B4"/>
  </mergeCells>
  <phoneticPr fontId="10" type="noConversion"/>
  <pageMargins left="0.74990626395218019" right="0.47216321539691114" top="0.55062564339224751" bottom="0.51174154431801144" header="0.49993747801292598" footer="0.49993747801292598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C5" sqref="C5:K16"/>
    </sheetView>
  </sheetViews>
  <sheetFormatPr defaultColWidth="8" defaultRowHeight="14.15"/>
  <cols>
    <col min="1" max="1" width="6.15234375" style="2" bestFit="1" customWidth="1"/>
    <col min="2" max="2" width="10.765625" style="2" bestFit="1" customWidth="1"/>
    <col min="3" max="3" width="13.23046875" style="2" bestFit="1" customWidth="1"/>
    <col min="4" max="10" width="10.61328125" style="2" bestFit="1" customWidth="1"/>
    <col min="11" max="11" width="32.84375" style="2" bestFit="1" customWidth="1"/>
    <col min="12" max="12" width="8" style="2" bestFit="1"/>
    <col min="13" max="16384" width="8" style="2"/>
  </cols>
  <sheetData>
    <row r="1" spans="1:11" ht="15.75" customHeight="1">
      <c r="A1" s="22" t="s">
        <v>22</v>
      </c>
    </row>
    <row r="2" spans="1:11" ht="29.25" customHeight="1">
      <c r="A2" s="43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8" customHeight="1">
      <c r="A3" s="44" t="s">
        <v>1</v>
      </c>
      <c r="B3" s="44" t="s">
        <v>2</v>
      </c>
      <c r="C3" s="45" t="s">
        <v>29</v>
      </c>
      <c r="D3" s="45" t="s">
        <v>30</v>
      </c>
      <c r="E3" s="45" t="s">
        <v>31</v>
      </c>
      <c r="F3" s="47" t="s">
        <v>32</v>
      </c>
      <c r="G3" s="45" t="s">
        <v>33</v>
      </c>
      <c r="H3" s="45" t="s">
        <v>34</v>
      </c>
      <c r="I3" s="45" t="s">
        <v>27</v>
      </c>
      <c r="J3" s="45" t="s">
        <v>35</v>
      </c>
      <c r="K3" s="45" t="s">
        <v>36</v>
      </c>
    </row>
    <row r="4" spans="1:11" ht="51" customHeight="1">
      <c r="A4" s="44"/>
      <c r="B4" s="44"/>
      <c r="C4" s="46"/>
      <c r="D4" s="46"/>
      <c r="E4" s="47"/>
      <c r="F4" s="47"/>
      <c r="G4" s="46"/>
      <c r="H4" s="47"/>
      <c r="I4" s="46"/>
      <c r="J4" s="46"/>
      <c r="K4" s="46"/>
    </row>
    <row r="5" spans="1:11" ht="26.05" customHeight="1">
      <c r="A5" s="5">
        <v>1</v>
      </c>
      <c r="B5" s="5" t="s">
        <v>8</v>
      </c>
      <c r="C5" s="5">
        <v>35551</v>
      </c>
      <c r="D5" s="23">
        <v>5.0599999999999999E-2</v>
      </c>
      <c r="E5" s="5">
        <v>1798</v>
      </c>
      <c r="F5" s="5">
        <v>11186</v>
      </c>
      <c r="G5" s="5">
        <v>11186</v>
      </c>
      <c r="H5" s="5">
        <v>11186</v>
      </c>
      <c r="I5" s="5">
        <v>8544</v>
      </c>
      <c r="J5" s="5">
        <v>2642</v>
      </c>
      <c r="K5" s="16" t="s">
        <v>37</v>
      </c>
    </row>
    <row r="6" spans="1:11" ht="26.05" customHeight="1">
      <c r="A6" s="5">
        <v>2</v>
      </c>
      <c r="B6" s="5" t="s">
        <v>9</v>
      </c>
      <c r="C6" s="5">
        <v>43934</v>
      </c>
      <c r="D6" s="23">
        <f t="shared" ref="D6:D16" si="0">E6/C6</f>
        <v>5.212364000546274E-2</v>
      </c>
      <c r="E6" s="5">
        <v>2290</v>
      </c>
      <c r="F6" s="5">
        <v>7613</v>
      </c>
      <c r="G6" s="5">
        <v>7613</v>
      </c>
      <c r="H6" s="5">
        <v>7613</v>
      </c>
      <c r="I6" s="5">
        <v>7613</v>
      </c>
      <c r="J6" s="5">
        <v>0</v>
      </c>
      <c r="K6" s="4"/>
    </row>
    <row r="7" spans="1:11" ht="26.05" customHeight="1">
      <c r="A7" s="5">
        <v>3</v>
      </c>
      <c r="B7" s="5" t="s">
        <v>10</v>
      </c>
      <c r="C7" s="7">
        <v>47929</v>
      </c>
      <c r="D7" s="24">
        <f t="shared" si="0"/>
        <v>5.259863548164994E-2</v>
      </c>
      <c r="E7" s="7">
        <v>2521</v>
      </c>
      <c r="F7" s="7">
        <v>6918</v>
      </c>
      <c r="G7" s="7">
        <v>6918</v>
      </c>
      <c r="H7" s="7">
        <v>6918</v>
      </c>
      <c r="I7" s="7">
        <v>5012</v>
      </c>
      <c r="J7" s="7">
        <v>1906</v>
      </c>
      <c r="K7" s="16" t="s">
        <v>38</v>
      </c>
    </row>
    <row r="8" spans="1:11" ht="26.05" customHeight="1">
      <c r="A8" s="5">
        <v>4</v>
      </c>
      <c r="B8" s="5" t="s">
        <v>11</v>
      </c>
      <c r="C8" s="5">
        <v>8785</v>
      </c>
      <c r="D8" s="23">
        <f t="shared" si="0"/>
        <v>0.30711439954467845</v>
      </c>
      <c r="E8" s="5">
        <v>2698</v>
      </c>
      <c r="F8" s="5">
        <v>8072</v>
      </c>
      <c r="G8" s="5">
        <v>8072</v>
      </c>
      <c r="H8" s="5">
        <v>8072</v>
      </c>
      <c r="I8" s="5">
        <v>4652</v>
      </c>
      <c r="J8" s="5">
        <v>3420</v>
      </c>
      <c r="K8" s="4" t="s">
        <v>39</v>
      </c>
    </row>
    <row r="9" spans="1:11" ht="26.05" customHeight="1">
      <c r="A9" s="5">
        <v>5</v>
      </c>
      <c r="B9" s="5" t="s">
        <v>12</v>
      </c>
      <c r="C9" s="5">
        <v>37175</v>
      </c>
      <c r="D9" s="23">
        <f t="shared" si="0"/>
        <v>3.9381304640215199E-2</v>
      </c>
      <c r="E9" s="5">
        <v>1464</v>
      </c>
      <c r="F9" s="5">
        <v>5067</v>
      </c>
      <c r="G9" s="5">
        <v>5067</v>
      </c>
      <c r="H9" s="5">
        <v>5067</v>
      </c>
      <c r="I9" s="5">
        <v>4813</v>
      </c>
      <c r="J9" s="5">
        <v>254</v>
      </c>
      <c r="K9" s="4" t="s">
        <v>40</v>
      </c>
    </row>
    <row r="10" spans="1:11" ht="26.05" customHeight="1">
      <c r="A10" s="5">
        <v>6</v>
      </c>
      <c r="B10" s="5" t="s">
        <v>13</v>
      </c>
      <c r="C10" s="5">
        <v>24819</v>
      </c>
      <c r="D10" s="23">
        <f t="shared" si="0"/>
        <v>8.0381965429711114E-2</v>
      </c>
      <c r="E10" s="5">
        <v>1995</v>
      </c>
      <c r="F10" s="5">
        <v>6540</v>
      </c>
      <c r="G10" s="5">
        <v>6540</v>
      </c>
      <c r="H10" s="5">
        <v>6540</v>
      </c>
      <c r="I10" s="5">
        <v>4349</v>
      </c>
      <c r="J10" s="5">
        <v>2191</v>
      </c>
      <c r="K10" s="4" t="s">
        <v>41</v>
      </c>
    </row>
    <row r="11" spans="1:11" ht="26.05" customHeight="1">
      <c r="A11" s="5">
        <v>7</v>
      </c>
      <c r="B11" s="5" t="s">
        <v>14</v>
      </c>
      <c r="C11" s="5">
        <v>14838</v>
      </c>
      <c r="D11" s="23">
        <f t="shared" si="0"/>
        <v>4.4615177247607496E-2</v>
      </c>
      <c r="E11" s="5">
        <v>662</v>
      </c>
      <c r="F11" s="5">
        <v>3092</v>
      </c>
      <c r="G11" s="5">
        <v>3092</v>
      </c>
      <c r="H11" s="5">
        <v>3092</v>
      </c>
      <c r="I11" s="5">
        <v>2587</v>
      </c>
      <c r="J11" s="5">
        <f>F11-I11</f>
        <v>505</v>
      </c>
      <c r="K11" s="4" t="s">
        <v>42</v>
      </c>
    </row>
    <row r="12" spans="1:11" ht="26.05" customHeight="1">
      <c r="A12" s="5">
        <v>8</v>
      </c>
      <c r="B12" s="5" t="s">
        <v>15</v>
      </c>
      <c r="C12" s="25">
        <v>23895</v>
      </c>
      <c r="D12" s="26">
        <f t="shared" si="0"/>
        <v>5.1475204017576902E-2</v>
      </c>
      <c r="E12" s="25">
        <v>1230</v>
      </c>
      <c r="F12" s="25">
        <v>4640</v>
      </c>
      <c r="G12" s="25">
        <v>4640</v>
      </c>
      <c r="H12" s="25">
        <v>4640</v>
      </c>
      <c r="I12" s="25">
        <v>4147</v>
      </c>
      <c r="J12" s="25">
        <v>493</v>
      </c>
      <c r="K12" s="4" t="s">
        <v>43</v>
      </c>
    </row>
    <row r="13" spans="1:11" ht="26.05" customHeight="1">
      <c r="A13" s="5">
        <v>9</v>
      </c>
      <c r="B13" s="5" t="s">
        <v>16</v>
      </c>
      <c r="C13" s="5">
        <v>13560</v>
      </c>
      <c r="D13" s="23">
        <f t="shared" si="0"/>
        <v>5.9734513274336286E-2</v>
      </c>
      <c r="E13" s="5">
        <v>810</v>
      </c>
      <c r="F13" s="5">
        <v>2935</v>
      </c>
      <c r="G13" s="5">
        <v>2935</v>
      </c>
      <c r="H13" s="5">
        <v>2935</v>
      </c>
      <c r="I13" s="5">
        <v>2860</v>
      </c>
      <c r="J13" s="5">
        <v>75</v>
      </c>
      <c r="K13" s="4" t="s">
        <v>44</v>
      </c>
    </row>
    <row r="14" spans="1:11" ht="26.05" customHeight="1">
      <c r="A14" s="5">
        <v>10</v>
      </c>
      <c r="B14" s="5" t="s">
        <v>17</v>
      </c>
      <c r="C14" s="5">
        <v>221</v>
      </c>
      <c r="D14" s="23">
        <f t="shared" si="0"/>
        <v>0.85972850678733037</v>
      </c>
      <c r="E14" s="5">
        <v>190</v>
      </c>
      <c r="F14" s="5">
        <v>1672</v>
      </c>
      <c r="G14" s="5">
        <v>1672</v>
      </c>
      <c r="H14" s="5">
        <v>1672</v>
      </c>
      <c r="I14" s="5">
        <v>597</v>
      </c>
      <c r="J14" s="5">
        <v>1075</v>
      </c>
      <c r="K14" s="4" t="s">
        <v>45</v>
      </c>
    </row>
    <row r="15" spans="1:11" ht="26.05" customHeight="1">
      <c r="A15" s="5">
        <v>11</v>
      </c>
      <c r="B15" s="5" t="s">
        <v>18</v>
      </c>
      <c r="C15" s="5">
        <v>1838</v>
      </c>
      <c r="D15" s="23">
        <f t="shared" si="0"/>
        <v>3.5364526659412407E-2</v>
      </c>
      <c r="E15" s="5">
        <v>65</v>
      </c>
      <c r="F15" s="5">
        <v>292</v>
      </c>
      <c r="G15" s="5">
        <v>292</v>
      </c>
      <c r="H15" s="5">
        <v>292</v>
      </c>
      <c r="I15" s="5">
        <v>261</v>
      </c>
      <c r="J15" s="5">
        <v>31</v>
      </c>
      <c r="K15" s="4" t="s">
        <v>46</v>
      </c>
    </row>
    <row r="16" spans="1:11" ht="29.25" customHeight="1">
      <c r="A16" s="27"/>
      <c r="B16" s="27" t="s">
        <v>21</v>
      </c>
      <c r="C16" s="27">
        <f>SUM(C5:C15)</f>
        <v>252545</v>
      </c>
      <c r="D16" s="28">
        <f t="shared" si="0"/>
        <v>6.2258211407867907E-2</v>
      </c>
      <c r="E16" s="27">
        <f t="shared" ref="E16:J16" si="1">SUM(E5:E15)</f>
        <v>15723</v>
      </c>
      <c r="F16" s="27">
        <f t="shared" si="1"/>
        <v>58027</v>
      </c>
      <c r="G16" s="27">
        <f t="shared" si="1"/>
        <v>58027</v>
      </c>
      <c r="H16" s="27">
        <f t="shared" si="1"/>
        <v>58027</v>
      </c>
      <c r="I16" s="27">
        <f t="shared" si="1"/>
        <v>45435</v>
      </c>
      <c r="J16" s="27">
        <f t="shared" si="1"/>
        <v>12592</v>
      </c>
      <c r="K16" s="4"/>
    </row>
  </sheetData>
  <mergeCells count="12">
    <mergeCell ref="J3:J4"/>
    <mergeCell ref="K3:K4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honeticPr fontId="10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workbookViewId="0">
      <selection activeCell="W22" sqref="W22"/>
    </sheetView>
  </sheetViews>
  <sheetFormatPr defaultColWidth="8" defaultRowHeight="14.15"/>
  <cols>
    <col min="1" max="1" width="4.3828125" style="1" bestFit="1" customWidth="1"/>
    <col min="2" max="2" width="6.61328125" style="1" bestFit="1" customWidth="1"/>
    <col min="3" max="18" width="6" style="1" bestFit="1" customWidth="1"/>
    <col min="19" max="20" width="6.4609375" bestFit="1" customWidth="1"/>
    <col min="21" max="21" width="6" style="1" bestFit="1" customWidth="1"/>
    <col min="22" max="22" width="6.4609375" style="1" bestFit="1" customWidth="1"/>
    <col min="23" max="24" width="7.15234375" style="1" bestFit="1" customWidth="1"/>
    <col min="25" max="25" width="6.4609375" style="1" bestFit="1" customWidth="1"/>
    <col min="26" max="26" width="8" style="2" bestFit="1"/>
    <col min="27" max="16384" width="8" style="2"/>
  </cols>
  <sheetData>
    <row r="1" spans="1:25" ht="15.75" customHeight="1">
      <c r="A1" s="48" t="s">
        <v>47</v>
      </c>
      <c r="B1" s="48"/>
    </row>
    <row r="2" spans="1:25" ht="23.25" customHeight="1">
      <c r="A2" s="49" t="s">
        <v>48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</row>
    <row r="3" spans="1:25">
      <c r="A3" s="50" t="s">
        <v>1</v>
      </c>
      <c r="B3" s="50" t="s">
        <v>2</v>
      </c>
      <c r="C3" s="50" t="s">
        <v>49</v>
      </c>
      <c r="D3" s="50"/>
      <c r="E3" s="50"/>
      <c r="F3" s="50"/>
      <c r="G3" s="51" t="s">
        <v>50</v>
      </c>
      <c r="H3" s="52"/>
      <c r="I3" s="52"/>
      <c r="J3" s="53"/>
      <c r="K3" s="51" t="s">
        <v>51</v>
      </c>
      <c r="L3" s="52"/>
      <c r="M3" s="52"/>
      <c r="N3" s="53"/>
      <c r="O3" s="50" t="s">
        <v>52</v>
      </c>
      <c r="P3" s="50"/>
      <c r="Q3" s="50"/>
      <c r="R3" s="50"/>
      <c r="S3" s="54" t="s">
        <v>53</v>
      </c>
      <c r="T3" s="54" t="s">
        <v>54</v>
      </c>
      <c r="U3" s="51" t="s">
        <v>55</v>
      </c>
      <c r="V3" s="50"/>
      <c r="W3" s="51" t="s">
        <v>55</v>
      </c>
      <c r="X3" s="53"/>
      <c r="Y3" s="50" t="s">
        <v>56</v>
      </c>
    </row>
    <row r="4" spans="1:25" ht="26.05" customHeight="1">
      <c r="A4" s="50"/>
      <c r="B4" s="50"/>
      <c r="C4" s="3" t="s">
        <v>57</v>
      </c>
      <c r="D4" s="3" t="s">
        <v>58</v>
      </c>
      <c r="E4" s="3" t="s">
        <v>59</v>
      </c>
      <c r="F4" s="3" t="s">
        <v>60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57</v>
      </c>
      <c r="L4" s="3" t="s">
        <v>58</v>
      </c>
      <c r="M4" s="3" t="s">
        <v>59</v>
      </c>
      <c r="N4" s="3" t="s">
        <v>61</v>
      </c>
      <c r="O4" s="3" t="s">
        <v>57</v>
      </c>
      <c r="P4" s="3" t="s">
        <v>58</v>
      </c>
      <c r="Q4" s="3" t="s">
        <v>59</v>
      </c>
      <c r="R4" s="3" t="s">
        <v>61</v>
      </c>
      <c r="S4" s="54"/>
      <c r="T4" s="54"/>
      <c r="U4" s="3" t="s">
        <v>62</v>
      </c>
      <c r="V4" s="3" t="s">
        <v>63</v>
      </c>
      <c r="W4" s="3" t="s">
        <v>64</v>
      </c>
      <c r="X4" s="3" t="s">
        <v>65</v>
      </c>
      <c r="Y4" s="50"/>
    </row>
    <row r="5" spans="1:25" ht="26.05" customHeight="1">
      <c r="A5" s="4">
        <v>1</v>
      </c>
      <c r="B5" s="4" t="s">
        <v>8</v>
      </c>
      <c r="C5" s="5">
        <v>80</v>
      </c>
      <c r="D5" s="5">
        <v>21</v>
      </c>
      <c r="E5" s="5">
        <v>4471</v>
      </c>
      <c r="F5" s="5">
        <v>635</v>
      </c>
      <c r="G5" s="5">
        <v>50</v>
      </c>
      <c r="H5" s="5">
        <v>12</v>
      </c>
      <c r="I5" s="5">
        <v>11184</v>
      </c>
      <c r="J5" s="5">
        <v>3661</v>
      </c>
      <c r="K5" s="5">
        <v>19</v>
      </c>
      <c r="L5" s="5">
        <v>18</v>
      </c>
      <c r="M5" s="5">
        <v>1694</v>
      </c>
      <c r="N5" s="5">
        <v>439</v>
      </c>
      <c r="O5" s="5">
        <v>21</v>
      </c>
      <c r="P5" s="5">
        <v>2</v>
      </c>
      <c r="Q5" s="5">
        <v>1340</v>
      </c>
      <c r="R5" s="5">
        <v>60</v>
      </c>
      <c r="S5" s="5">
        <v>4795</v>
      </c>
      <c r="T5" s="5">
        <v>4795</v>
      </c>
      <c r="U5" s="4">
        <f t="shared" ref="U5:U21" si="0">D5+H5+L5+P5</f>
        <v>53</v>
      </c>
      <c r="V5" s="4">
        <f t="shared" ref="V5:V21" si="1">F5+J5+N5+R5</f>
        <v>4795</v>
      </c>
      <c r="W5" s="12">
        <f t="shared" ref="W5:W23" si="2">(D5+H5+L5+P5)/(C5+G5+K5+O5)</f>
        <v>0.31176470588235294</v>
      </c>
      <c r="X5" s="12">
        <f t="shared" ref="X5:X23" si="3">(F5+J5+N5+R5)/(E5+I5+M5+Q5)</f>
        <v>0.2565680346728022</v>
      </c>
      <c r="Y5" s="4"/>
    </row>
    <row r="6" spans="1:25" ht="26.05" customHeight="1">
      <c r="A6" s="4">
        <v>2</v>
      </c>
      <c r="B6" s="4" t="s">
        <v>9</v>
      </c>
      <c r="C6" s="6">
        <v>64</v>
      </c>
      <c r="D6" s="6">
        <v>18</v>
      </c>
      <c r="E6" s="6">
        <v>3473</v>
      </c>
      <c r="F6" s="6">
        <v>437</v>
      </c>
      <c r="G6" s="6">
        <v>32</v>
      </c>
      <c r="H6" s="6">
        <v>9</v>
      </c>
      <c r="I6" s="6">
        <v>3895</v>
      </c>
      <c r="J6" s="6">
        <v>1025</v>
      </c>
      <c r="K6" s="6">
        <v>5</v>
      </c>
      <c r="L6" s="6">
        <v>0</v>
      </c>
      <c r="M6" s="6">
        <v>726</v>
      </c>
      <c r="N6" s="6">
        <v>0</v>
      </c>
      <c r="O6" s="6">
        <v>5</v>
      </c>
      <c r="P6" s="6">
        <v>2</v>
      </c>
      <c r="Q6" s="6">
        <v>1672</v>
      </c>
      <c r="R6" s="6">
        <v>79</v>
      </c>
      <c r="S6" s="6">
        <f>R6+J6+F6</f>
        <v>1541</v>
      </c>
      <c r="T6" s="6">
        <v>1541</v>
      </c>
      <c r="U6" s="13">
        <f t="shared" si="0"/>
        <v>29</v>
      </c>
      <c r="V6" s="13">
        <f t="shared" si="1"/>
        <v>1541</v>
      </c>
      <c r="W6" s="14">
        <f t="shared" si="2"/>
        <v>0.27358490566037735</v>
      </c>
      <c r="X6" s="14">
        <f t="shared" si="3"/>
        <v>0.15779234077411428</v>
      </c>
      <c r="Y6" s="4"/>
    </row>
    <row r="7" spans="1:25" ht="26.05" customHeight="1">
      <c r="A7" s="4">
        <v>3</v>
      </c>
      <c r="B7" s="4" t="s">
        <v>10</v>
      </c>
      <c r="C7" s="5">
        <v>72</v>
      </c>
      <c r="D7" s="5">
        <v>11</v>
      </c>
      <c r="E7" s="5">
        <v>2219</v>
      </c>
      <c r="F7" s="5">
        <v>137</v>
      </c>
      <c r="G7" s="5">
        <v>90</v>
      </c>
      <c r="H7" s="5">
        <v>24</v>
      </c>
      <c r="I7" s="5">
        <v>7261</v>
      </c>
      <c r="J7" s="5">
        <v>1366</v>
      </c>
      <c r="K7" s="5">
        <v>22</v>
      </c>
      <c r="L7" s="5">
        <v>21</v>
      </c>
      <c r="M7" s="5">
        <v>2616</v>
      </c>
      <c r="N7" s="5">
        <v>475</v>
      </c>
      <c r="O7" s="5">
        <v>10</v>
      </c>
      <c r="P7" s="5">
        <v>5</v>
      </c>
      <c r="Q7" s="5">
        <v>787</v>
      </c>
      <c r="R7" s="5">
        <v>208</v>
      </c>
      <c r="S7" s="5">
        <v>2780</v>
      </c>
      <c r="T7" s="5">
        <v>2780</v>
      </c>
      <c r="U7" s="15">
        <f t="shared" si="0"/>
        <v>61</v>
      </c>
      <c r="V7" s="4">
        <f t="shared" si="1"/>
        <v>2186</v>
      </c>
      <c r="W7" s="12">
        <f t="shared" si="2"/>
        <v>0.31443298969072164</v>
      </c>
      <c r="X7" s="12">
        <f t="shared" si="3"/>
        <v>0.16968097492819995</v>
      </c>
      <c r="Y7" s="4"/>
    </row>
    <row r="8" spans="1:25" ht="26.05" customHeight="1">
      <c r="A8" s="4">
        <v>4</v>
      </c>
      <c r="B8" s="4" t="s">
        <v>11</v>
      </c>
      <c r="C8" s="7">
        <v>95</v>
      </c>
      <c r="D8" s="7">
        <v>40</v>
      </c>
      <c r="E8" s="7">
        <v>6659</v>
      </c>
      <c r="F8" s="7">
        <v>1145</v>
      </c>
      <c r="G8" s="7">
        <v>29</v>
      </c>
      <c r="H8" s="7">
        <v>11</v>
      </c>
      <c r="I8" s="7">
        <v>2212</v>
      </c>
      <c r="J8" s="7">
        <v>1378</v>
      </c>
      <c r="K8" s="7">
        <v>6</v>
      </c>
      <c r="L8" s="7">
        <v>1</v>
      </c>
      <c r="M8" s="7">
        <v>479</v>
      </c>
      <c r="N8" s="7">
        <v>25</v>
      </c>
      <c r="O8" s="7">
        <v>1</v>
      </c>
      <c r="P8" s="7">
        <v>1</v>
      </c>
      <c r="Q8" s="7">
        <v>300</v>
      </c>
      <c r="R8" s="7">
        <v>50</v>
      </c>
      <c r="S8" s="7">
        <v>2598</v>
      </c>
      <c r="T8" s="7">
        <v>2598</v>
      </c>
      <c r="U8" s="16">
        <f t="shared" si="0"/>
        <v>53</v>
      </c>
      <c r="V8" s="16">
        <f t="shared" si="1"/>
        <v>2598</v>
      </c>
      <c r="W8" s="17">
        <f t="shared" si="2"/>
        <v>0.40458015267175573</v>
      </c>
      <c r="X8" s="17">
        <f t="shared" si="3"/>
        <v>0.26922279792746112</v>
      </c>
      <c r="Y8" s="4"/>
    </row>
    <row r="9" spans="1:25" ht="26.05" customHeight="1">
      <c r="A9" s="4">
        <v>5</v>
      </c>
      <c r="B9" s="4" t="s">
        <v>12</v>
      </c>
      <c r="C9" s="5">
        <v>97</v>
      </c>
      <c r="D9" s="5">
        <v>13</v>
      </c>
      <c r="E9" s="5">
        <v>2399</v>
      </c>
      <c r="F9" s="5">
        <v>334</v>
      </c>
      <c r="G9" s="5">
        <v>28</v>
      </c>
      <c r="H9" s="5">
        <v>6</v>
      </c>
      <c r="I9" s="5">
        <v>2132</v>
      </c>
      <c r="J9" s="5">
        <v>491</v>
      </c>
      <c r="K9" s="5">
        <v>3</v>
      </c>
      <c r="L9" s="5">
        <v>0</v>
      </c>
      <c r="M9" s="5">
        <v>463</v>
      </c>
      <c r="N9" s="5">
        <v>0</v>
      </c>
      <c r="O9" s="5">
        <v>12</v>
      </c>
      <c r="P9" s="5">
        <v>4</v>
      </c>
      <c r="Q9" s="5">
        <v>340</v>
      </c>
      <c r="R9" s="5">
        <v>31</v>
      </c>
      <c r="S9" s="5">
        <v>856</v>
      </c>
      <c r="T9" s="5">
        <v>856</v>
      </c>
      <c r="U9" s="4">
        <f t="shared" si="0"/>
        <v>23</v>
      </c>
      <c r="V9" s="4">
        <f t="shared" si="1"/>
        <v>856</v>
      </c>
      <c r="W9" s="12">
        <f t="shared" si="2"/>
        <v>0.16428571428571428</v>
      </c>
      <c r="X9" s="12">
        <f t="shared" si="3"/>
        <v>0.16047994000749907</v>
      </c>
      <c r="Y9" s="4"/>
    </row>
    <row r="10" spans="1:25" ht="26.05" customHeight="1">
      <c r="A10" s="4">
        <v>6</v>
      </c>
      <c r="B10" s="4" t="s">
        <v>13</v>
      </c>
      <c r="C10" s="5">
        <v>55</v>
      </c>
      <c r="D10" s="5">
        <v>12</v>
      </c>
      <c r="E10" s="5">
        <v>1955</v>
      </c>
      <c r="F10" s="5">
        <v>934</v>
      </c>
      <c r="G10" s="5">
        <v>72</v>
      </c>
      <c r="H10" s="5">
        <v>28</v>
      </c>
      <c r="I10" s="5">
        <v>3180</v>
      </c>
      <c r="J10" s="5">
        <v>765</v>
      </c>
      <c r="K10" s="5">
        <v>4</v>
      </c>
      <c r="L10" s="5">
        <v>3</v>
      </c>
      <c r="M10" s="5">
        <v>101</v>
      </c>
      <c r="N10" s="5">
        <v>62</v>
      </c>
      <c r="O10" s="5">
        <v>9</v>
      </c>
      <c r="P10" s="5">
        <v>4</v>
      </c>
      <c r="Q10" s="5">
        <v>364</v>
      </c>
      <c r="R10" s="5">
        <v>65</v>
      </c>
      <c r="S10" s="5">
        <v>1826</v>
      </c>
      <c r="T10" s="5">
        <v>1826</v>
      </c>
      <c r="U10" s="4">
        <f t="shared" si="0"/>
        <v>47</v>
      </c>
      <c r="V10" s="4">
        <f t="shared" si="1"/>
        <v>1826</v>
      </c>
      <c r="W10" s="12">
        <f t="shared" si="2"/>
        <v>0.33571428571428569</v>
      </c>
      <c r="X10" s="12">
        <f t="shared" si="3"/>
        <v>0.32607142857142857</v>
      </c>
      <c r="Y10" s="4"/>
    </row>
    <row r="11" spans="1:25" ht="26.05" customHeight="1">
      <c r="A11" s="4">
        <v>7</v>
      </c>
      <c r="B11" s="4" t="s">
        <v>14</v>
      </c>
      <c r="C11" s="5">
        <v>75</v>
      </c>
      <c r="D11" s="5">
        <v>10</v>
      </c>
      <c r="E11" s="5">
        <v>2224</v>
      </c>
      <c r="F11" s="5">
        <v>130</v>
      </c>
      <c r="G11" s="5">
        <v>55</v>
      </c>
      <c r="H11" s="5">
        <v>23</v>
      </c>
      <c r="I11" s="5">
        <v>2303</v>
      </c>
      <c r="J11" s="5">
        <v>323</v>
      </c>
      <c r="K11" s="5">
        <v>13</v>
      </c>
      <c r="L11" s="5">
        <v>0</v>
      </c>
      <c r="M11" s="5">
        <v>749</v>
      </c>
      <c r="N11" s="5">
        <v>0</v>
      </c>
      <c r="O11" s="5">
        <v>14</v>
      </c>
      <c r="P11" s="5">
        <v>2</v>
      </c>
      <c r="Q11" s="5">
        <v>530</v>
      </c>
      <c r="R11" s="5">
        <v>144</v>
      </c>
      <c r="S11" s="5">
        <v>417</v>
      </c>
      <c r="T11" s="5">
        <v>417</v>
      </c>
      <c r="U11" s="4">
        <f t="shared" si="0"/>
        <v>35</v>
      </c>
      <c r="V11" s="4">
        <f t="shared" si="1"/>
        <v>597</v>
      </c>
      <c r="W11" s="12">
        <f t="shared" si="2"/>
        <v>0.22292993630573249</v>
      </c>
      <c r="X11" s="12">
        <f t="shared" si="3"/>
        <v>0.10282466414054427</v>
      </c>
      <c r="Y11" s="4"/>
    </row>
    <row r="12" spans="1:25" ht="26.05" customHeight="1">
      <c r="A12" s="4">
        <v>8</v>
      </c>
      <c r="B12" s="4" t="s">
        <v>15</v>
      </c>
      <c r="C12" s="5">
        <v>45</v>
      </c>
      <c r="D12" s="5">
        <v>15</v>
      </c>
      <c r="E12" s="5">
        <v>2107</v>
      </c>
      <c r="F12" s="5">
        <v>619</v>
      </c>
      <c r="G12" s="5">
        <v>62</v>
      </c>
      <c r="H12" s="5">
        <v>2</v>
      </c>
      <c r="I12" s="5">
        <v>1271</v>
      </c>
      <c r="J12" s="5">
        <v>40</v>
      </c>
      <c r="K12" s="5">
        <v>13</v>
      </c>
      <c r="L12" s="5">
        <v>11</v>
      </c>
      <c r="M12" s="5">
        <v>706</v>
      </c>
      <c r="N12" s="5">
        <v>154</v>
      </c>
      <c r="O12" s="5">
        <v>11</v>
      </c>
      <c r="P12" s="5">
        <v>2</v>
      </c>
      <c r="Q12" s="5">
        <v>232</v>
      </c>
      <c r="R12" s="5">
        <v>133</v>
      </c>
      <c r="S12" s="4">
        <v>946</v>
      </c>
      <c r="T12" s="4">
        <v>946</v>
      </c>
      <c r="U12" s="4">
        <f t="shared" si="0"/>
        <v>30</v>
      </c>
      <c r="V12" s="4">
        <f t="shared" si="1"/>
        <v>946</v>
      </c>
      <c r="W12" s="12">
        <f t="shared" si="2"/>
        <v>0.22900763358778625</v>
      </c>
      <c r="X12" s="12">
        <f t="shared" si="3"/>
        <v>0.21918443002780352</v>
      </c>
      <c r="Y12" s="4"/>
    </row>
    <row r="13" spans="1:25" ht="26.05" customHeight="1">
      <c r="A13" s="4">
        <v>9</v>
      </c>
      <c r="B13" s="4" t="s">
        <v>16</v>
      </c>
      <c r="C13" s="4">
        <v>12</v>
      </c>
      <c r="D13" s="4">
        <v>7</v>
      </c>
      <c r="E13" s="4">
        <v>135</v>
      </c>
      <c r="F13" s="4">
        <v>31</v>
      </c>
      <c r="G13" s="4">
        <v>113</v>
      </c>
      <c r="H13" s="4">
        <v>52</v>
      </c>
      <c r="I13" s="4">
        <v>6195</v>
      </c>
      <c r="J13" s="4">
        <v>498</v>
      </c>
      <c r="K13" s="4">
        <v>3</v>
      </c>
      <c r="L13" s="4">
        <v>0</v>
      </c>
      <c r="M13" s="4">
        <v>650</v>
      </c>
      <c r="N13" s="4">
        <v>0</v>
      </c>
      <c r="O13" s="4">
        <v>7</v>
      </c>
      <c r="P13" s="4">
        <v>7</v>
      </c>
      <c r="Q13" s="4">
        <v>1568</v>
      </c>
      <c r="R13" s="4">
        <v>527</v>
      </c>
      <c r="S13" s="4">
        <v>1056</v>
      </c>
      <c r="T13" s="4">
        <v>1056</v>
      </c>
      <c r="U13" s="4">
        <f t="shared" si="0"/>
        <v>66</v>
      </c>
      <c r="V13" s="4">
        <f t="shared" si="1"/>
        <v>1056</v>
      </c>
      <c r="W13" s="12">
        <f t="shared" si="2"/>
        <v>0.48888888888888887</v>
      </c>
      <c r="X13" s="12">
        <f t="shared" si="3"/>
        <v>0.12353766963032288</v>
      </c>
      <c r="Y13" s="4"/>
    </row>
    <row r="14" spans="1:25" ht="26.05" customHeight="1">
      <c r="A14" s="4">
        <v>10</v>
      </c>
      <c r="B14" s="4" t="s">
        <v>66</v>
      </c>
      <c r="C14" s="4">
        <v>3</v>
      </c>
      <c r="D14" s="4">
        <v>3</v>
      </c>
      <c r="E14" s="4">
        <v>196</v>
      </c>
      <c r="F14" s="4">
        <v>154</v>
      </c>
      <c r="G14" s="4">
        <v>3</v>
      </c>
      <c r="H14" s="4">
        <v>2</v>
      </c>
      <c r="I14" s="4">
        <v>1321</v>
      </c>
      <c r="J14" s="4">
        <v>1031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 t="s">
        <v>20</v>
      </c>
      <c r="T14" s="4" t="s">
        <v>20</v>
      </c>
      <c r="U14" s="4">
        <f t="shared" si="0"/>
        <v>5</v>
      </c>
      <c r="V14" s="4">
        <f t="shared" si="1"/>
        <v>1185</v>
      </c>
      <c r="W14" s="12">
        <f t="shared" si="2"/>
        <v>0.83333333333333337</v>
      </c>
      <c r="X14" s="12">
        <f t="shared" si="3"/>
        <v>0.78114700065919573</v>
      </c>
      <c r="Y14" s="4"/>
    </row>
    <row r="15" spans="1:25" ht="26.05" customHeight="1">
      <c r="A15" s="4">
        <v>11</v>
      </c>
      <c r="B15" s="4" t="s">
        <v>18</v>
      </c>
      <c r="C15" s="5">
        <v>0</v>
      </c>
      <c r="D15" s="5">
        <v>0</v>
      </c>
      <c r="E15" s="5">
        <v>0</v>
      </c>
      <c r="F15" s="5">
        <v>0</v>
      </c>
      <c r="G15" s="5">
        <v>3</v>
      </c>
      <c r="H15" s="5">
        <v>0</v>
      </c>
      <c r="I15" s="5">
        <v>22</v>
      </c>
      <c r="J15" s="5">
        <v>0</v>
      </c>
      <c r="K15" s="5">
        <v>2</v>
      </c>
      <c r="L15" s="5">
        <v>0</v>
      </c>
      <c r="M15" s="5">
        <v>44</v>
      </c>
      <c r="N15" s="5">
        <v>0</v>
      </c>
      <c r="O15" s="5">
        <v>1</v>
      </c>
      <c r="P15" s="5">
        <v>0</v>
      </c>
      <c r="Q15" s="5">
        <v>11</v>
      </c>
      <c r="R15" s="5">
        <v>0</v>
      </c>
      <c r="S15" s="4">
        <v>0</v>
      </c>
      <c r="T15" s="4">
        <v>0</v>
      </c>
      <c r="U15" s="4">
        <f t="shared" si="0"/>
        <v>0</v>
      </c>
      <c r="V15" s="4">
        <f t="shared" si="1"/>
        <v>0</v>
      </c>
      <c r="W15" s="12">
        <f t="shared" si="2"/>
        <v>0</v>
      </c>
      <c r="X15" s="12">
        <f t="shared" si="3"/>
        <v>0</v>
      </c>
      <c r="Y15" s="4"/>
    </row>
    <row r="16" spans="1:25" ht="26.05" customHeight="1">
      <c r="A16" s="8">
        <v>12</v>
      </c>
      <c r="B16" s="8" t="s">
        <v>67</v>
      </c>
      <c r="C16" s="8">
        <v>7</v>
      </c>
      <c r="D16" s="8">
        <v>7</v>
      </c>
      <c r="E16" s="8">
        <v>607</v>
      </c>
      <c r="F16" s="8">
        <v>328</v>
      </c>
      <c r="G16" s="8">
        <v>16</v>
      </c>
      <c r="H16" s="8">
        <v>15</v>
      </c>
      <c r="I16" s="8">
        <v>1286</v>
      </c>
      <c r="J16" s="8">
        <v>705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566</v>
      </c>
      <c r="T16" s="8">
        <v>382</v>
      </c>
      <c r="U16" s="8">
        <f t="shared" si="0"/>
        <v>22</v>
      </c>
      <c r="V16" s="8">
        <f t="shared" si="1"/>
        <v>1033</v>
      </c>
      <c r="W16" s="18">
        <f t="shared" si="2"/>
        <v>0.95652173913043481</v>
      </c>
      <c r="X16" s="18">
        <f t="shared" si="3"/>
        <v>0.54569466455361859</v>
      </c>
      <c r="Y16" s="8"/>
    </row>
    <row r="17" spans="1:25" ht="26.05" customHeight="1">
      <c r="A17" s="8">
        <v>13</v>
      </c>
      <c r="B17" s="8" t="s">
        <v>68</v>
      </c>
      <c r="C17" s="8">
        <v>15</v>
      </c>
      <c r="D17" s="8">
        <v>15</v>
      </c>
      <c r="E17" s="8">
        <v>277</v>
      </c>
      <c r="F17" s="8">
        <v>142</v>
      </c>
      <c r="G17" s="8">
        <v>16</v>
      </c>
      <c r="H17" s="8">
        <v>15</v>
      </c>
      <c r="I17" s="8">
        <v>1563</v>
      </c>
      <c r="J17" s="8">
        <v>1176</v>
      </c>
      <c r="K17" s="8">
        <v>2</v>
      </c>
      <c r="L17" s="8">
        <v>0</v>
      </c>
      <c r="M17" s="8">
        <v>96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f>F17+J17+N17</f>
        <v>1318</v>
      </c>
      <c r="T17" s="8" t="s">
        <v>69</v>
      </c>
      <c r="U17" s="8">
        <f t="shared" si="0"/>
        <v>30</v>
      </c>
      <c r="V17" s="8">
        <f t="shared" si="1"/>
        <v>1318</v>
      </c>
      <c r="W17" s="18">
        <f t="shared" si="2"/>
        <v>0.90909090909090906</v>
      </c>
      <c r="X17" s="18">
        <f t="shared" si="3"/>
        <v>0.68078512396694213</v>
      </c>
      <c r="Y17" s="8"/>
    </row>
    <row r="18" spans="1:25" ht="26.05" customHeight="1">
      <c r="A18" s="8">
        <v>14</v>
      </c>
      <c r="B18" s="8" t="s">
        <v>70</v>
      </c>
      <c r="C18" s="8">
        <v>7</v>
      </c>
      <c r="D18" s="8">
        <v>7</v>
      </c>
      <c r="E18" s="8">
        <v>135</v>
      </c>
      <c r="F18" s="8">
        <v>125</v>
      </c>
      <c r="G18" s="8">
        <v>7</v>
      </c>
      <c r="H18" s="8">
        <v>7</v>
      </c>
      <c r="I18" s="8">
        <v>898</v>
      </c>
      <c r="J18" s="8">
        <v>898</v>
      </c>
      <c r="K18" s="8">
        <v>0</v>
      </c>
      <c r="L18" s="8">
        <v>0</v>
      </c>
      <c r="M18" s="8">
        <v>0</v>
      </c>
      <c r="N18" s="8">
        <v>0</v>
      </c>
      <c r="O18" s="8">
        <v>2</v>
      </c>
      <c r="P18" s="8">
        <v>0</v>
      </c>
      <c r="Q18" s="8">
        <v>475</v>
      </c>
      <c r="R18" s="8">
        <v>0</v>
      </c>
      <c r="S18" s="8">
        <v>1023</v>
      </c>
      <c r="T18" s="8">
        <v>1023</v>
      </c>
      <c r="U18" s="8">
        <f t="shared" si="0"/>
        <v>14</v>
      </c>
      <c r="V18" s="8">
        <f t="shared" si="1"/>
        <v>1023</v>
      </c>
      <c r="W18" s="18">
        <f t="shared" si="2"/>
        <v>0.875</v>
      </c>
      <c r="X18" s="18">
        <f t="shared" si="3"/>
        <v>0.67838196286472152</v>
      </c>
      <c r="Y18" s="8"/>
    </row>
    <row r="19" spans="1:25" ht="26.05" customHeight="1">
      <c r="A19" s="8">
        <v>15</v>
      </c>
      <c r="B19" s="8" t="s">
        <v>71</v>
      </c>
      <c r="C19" s="8">
        <v>5</v>
      </c>
      <c r="D19" s="8">
        <v>3</v>
      </c>
      <c r="E19" s="8">
        <v>161</v>
      </c>
      <c r="F19" s="8">
        <v>47</v>
      </c>
      <c r="G19" s="8">
        <v>7</v>
      </c>
      <c r="H19" s="8">
        <v>6</v>
      </c>
      <c r="I19" s="8">
        <v>461</v>
      </c>
      <c r="J19" s="8">
        <v>430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45</v>
      </c>
      <c r="R19" s="8">
        <v>0</v>
      </c>
      <c r="S19" s="8">
        <v>477</v>
      </c>
      <c r="T19" s="8">
        <v>477</v>
      </c>
      <c r="U19" s="8">
        <f t="shared" si="0"/>
        <v>9</v>
      </c>
      <c r="V19" s="8">
        <f t="shared" si="1"/>
        <v>477</v>
      </c>
      <c r="W19" s="18">
        <f t="shared" si="2"/>
        <v>0.69230769230769229</v>
      </c>
      <c r="X19" s="18">
        <f t="shared" si="3"/>
        <v>0.71514242878560719</v>
      </c>
      <c r="Y19" s="8"/>
    </row>
    <row r="20" spans="1:25" ht="26.05" customHeight="1">
      <c r="A20" s="8">
        <v>16</v>
      </c>
      <c r="B20" s="8" t="s">
        <v>72</v>
      </c>
      <c r="C20" s="8">
        <v>34</v>
      </c>
      <c r="D20" s="8">
        <v>18</v>
      </c>
      <c r="E20" s="8">
        <v>405</v>
      </c>
      <c r="F20" s="8">
        <v>183</v>
      </c>
      <c r="G20" s="8">
        <v>17</v>
      </c>
      <c r="H20" s="8">
        <v>14</v>
      </c>
      <c r="I20" s="8">
        <v>450</v>
      </c>
      <c r="J20" s="8">
        <v>337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126</v>
      </c>
      <c r="R20" s="8">
        <v>0</v>
      </c>
      <c r="S20" s="8">
        <v>520</v>
      </c>
      <c r="T20" s="8">
        <v>520</v>
      </c>
      <c r="U20" s="8">
        <f t="shared" si="0"/>
        <v>32</v>
      </c>
      <c r="V20" s="8">
        <f t="shared" si="1"/>
        <v>520</v>
      </c>
      <c r="W20" s="18">
        <f t="shared" si="2"/>
        <v>0.61538461538461542</v>
      </c>
      <c r="X20" s="18">
        <f t="shared" si="3"/>
        <v>0.53007135575942921</v>
      </c>
      <c r="Y20" s="8"/>
    </row>
    <row r="21" spans="1:25" ht="26.05" customHeight="1">
      <c r="A21" s="8">
        <v>17</v>
      </c>
      <c r="B21" s="8" t="s">
        <v>73</v>
      </c>
      <c r="C21" s="8">
        <v>24</v>
      </c>
      <c r="D21" s="8">
        <v>5</v>
      </c>
      <c r="E21" s="8">
        <v>1175</v>
      </c>
      <c r="F21" s="8">
        <v>137</v>
      </c>
      <c r="G21" s="8">
        <v>20</v>
      </c>
      <c r="H21" s="8">
        <v>15</v>
      </c>
      <c r="I21" s="8">
        <v>770</v>
      </c>
      <c r="J21" s="8">
        <v>561</v>
      </c>
      <c r="K21" s="8">
        <v>0</v>
      </c>
      <c r="L21" s="8">
        <v>0</v>
      </c>
      <c r="M21" s="8">
        <v>0</v>
      </c>
      <c r="N21" s="8">
        <v>0</v>
      </c>
      <c r="O21" s="8">
        <v>7</v>
      </c>
      <c r="P21" s="8">
        <v>2</v>
      </c>
      <c r="Q21" s="8">
        <v>210</v>
      </c>
      <c r="R21" s="8">
        <v>35</v>
      </c>
      <c r="S21" s="8" t="s">
        <v>69</v>
      </c>
      <c r="T21" s="8" t="s">
        <v>69</v>
      </c>
      <c r="U21" s="8">
        <f t="shared" si="0"/>
        <v>22</v>
      </c>
      <c r="V21" s="8">
        <f t="shared" si="1"/>
        <v>733</v>
      </c>
      <c r="W21" s="18">
        <f t="shared" si="2"/>
        <v>0.43137254901960786</v>
      </c>
      <c r="X21" s="18">
        <f t="shared" si="3"/>
        <v>0.34013921113689094</v>
      </c>
      <c r="Y21" s="8"/>
    </row>
    <row r="22" spans="1:25" ht="21.75" customHeight="1">
      <c r="A22" s="9"/>
      <c r="B22" s="10" t="s">
        <v>21</v>
      </c>
      <c r="C22" s="10">
        <f t="shared" ref="C22:V22" si="4">SUM(C5:C21)</f>
        <v>690</v>
      </c>
      <c r="D22" s="10">
        <f t="shared" si="4"/>
        <v>205</v>
      </c>
      <c r="E22" s="10">
        <f t="shared" si="4"/>
        <v>28598</v>
      </c>
      <c r="F22" s="10">
        <f t="shared" si="4"/>
        <v>5518</v>
      </c>
      <c r="G22" s="10">
        <f t="shared" si="4"/>
        <v>620</v>
      </c>
      <c r="H22" s="10">
        <f t="shared" si="4"/>
        <v>241</v>
      </c>
      <c r="I22" s="10">
        <f t="shared" si="4"/>
        <v>46404</v>
      </c>
      <c r="J22" s="10">
        <f t="shared" si="4"/>
        <v>14685</v>
      </c>
      <c r="K22" s="10">
        <f t="shared" si="4"/>
        <v>92</v>
      </c>
      <c r="L22" s="10">
        <f t="shared" si="4"/>
        <v>54</v>
      </c>
      <c r="M22" s="10">
        <f t="shared" si="4"/>
        <v>8324</v>
      </c>
      <c r="N22" s="10">
        <f t="shared" si="4"/>
        <v>1155</v>
      </c>
      <c r="O22" s="10">
        <f t="shared" si="4"/>
        <v>102</v>
      </c>
      <c r="P22" s="10">
        <f t="shared" si="4"/>
        <v>31</v>
      </c>
      <c r="Q22" s="10">
        <f t="shared" si="4"/>
        <v>8000</v>
      </c>
      <c r="R22" s="10">
        <f t="shared" si="4"/>
        <v>1332</v>
      </c>
      <c r="S22" s="10">
        <f t="shared" si="4"/>
        <v>20719</v>
      </c>
      <c r="T22" s="10">
        <f t="shared" si="4"/>
        <v>19217</v>
      </c>
      <c r="U22" s="10">
        <f t="shared" si="4"/>
        <v>531</v>
      </c>
      <c r="V22" s="10">
        <f t="shared" si="4"/>
        <v>22690</v>
      </c>
      <c r="W22" s="19">
        <f t="shared" si="2"/>
        <v>0.35305851063829785</v>
      </c>
      <c r="X22" s="19">
        <f t="shared" si="3"/>
        <v>0.24845060552307119</v>
      </c>
      <c r="Y22" s="9"/>
    </row>
    <row r="23" spans="1:25" ht="26.25" customHeight="1">
      <c r="B23" s="11" t="s">
        <v>74</v>
      </c>
      <c r="C23" s="11">
        <f t="shared" ref="C23:T23" si="5">SUM(C16:C21)</f>
        <v>92</v>
      </c>
      <c r="D23" s="11">
        <f t="shared" si="5"/>
        <v>55</v>
      </c>
      <c r="E23" s="11">
        <f t="shared" si="5"/>
        <v>2760</v>
      </c>
      <c r="F23" s="11">
        <f t="shared" si="5"/>
        <v>962</v>
      </c>
      <c r="G23" s="11">
        <f t="shared" si="5"/>
        <v>83</v>
      </c>
      <c r="H23" s="11">
        <f t="shared" si="5"/>
        <v>72</v>
      </c>
      <c r="I23" s="11">
        <f t="shared" si="5"/>
        <v>5428</v>
      </c>
      <c r="J23" s="11">
        <f t="shared" si="5"/>
        <v>4107</v>
      </c>
      <c r="K23" s="11">
        <f t="shared" si="5"/>
        <v>2</v>
      </c>
      <c r="L23" s="11">
        <f t="shared" si="5"/>
        <v>0</v>
      </c>
      <c r="M23" s="11">
        <f t="shared" si="5"/>
        <v>96</v>
      </c>
      <c r="N23" s="11">
        <f t="shared" si="5"/>
        <v>0</v>
      </c>
      <c r="O23" s="11">
        <f t="shared" si="5"/>
        <v>11</v>
      </c>
      <c r="P23" s="11">
        <f t="shared" si="5"/>
        <v>2</v>
      </c>
      <c r="Q23" s="11">
        <f t="shared" si="5"/>
        <v>856</v>
      </c>
      <c r="R23" s="11">
        <f t="shared" si="5"/>
        <v>35</v>
      </c>
      <c r="S23" s="11">
        <f t="shared" si="5"/>
        <v>3904</v>
      </c>
      <c r="T23" s="11">
        <f t="shared" si="5"/>
        <v>2402</v>
      </c>
      <c r="U23" s="20">
        <f>D23+H23+L23+P23</f>
        <v>129</v>
      </c>
      <c r="V23" s="20">
        <f>F23+J23+N23+R23</f>
        <v>5104</v>
      </c>
      <c r="W23" s="21">
        <f t="shared" si="2"/>
        <v>0.68617021276595747</v>
      </c>
      <c r="X23" s="21">
        <f t="shared" si="3"/>
        <v>0.55842450765864338</v>
      </c>
    </row>
  </sheetData>
  <mergeCells count="13">
    <mergeCell ref="S3:S4"/>
    <mergeCell ref="T3:T4"/>
    <mergeCell ref="Y3:Y4"/>
    <mergeCell ref="A1:B1"/>
    <mergeCell ref="A2:Y2"/>
    <mergeCell ref="C3:F3"/>
    <mergeCell ref="G3:J3"/>
    <mergeCell ref="K3:N3"/>
    <mergeCell ref="O3:R3"/>
    <mergeCell ref="U3:V3"/>
    <mergeCell ref="W3:X3"/>
    <mergeCell ref="A3:A4"/>
    <mergeCell ref="B3:B4"/>
  </mergeCells>
  <phoneticPr fontId="10" type="noConversion"/>
  <pageMargins left="0.70060688679612526" right="0.70060688679612526" top="0.75198932895510207" bottom="0.75198932895510207" header="0.29926813962891347" footer="0.2992681396289134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0.排名表</vt:lpstr>
      <vt:lpstr>附件1</vt:lpstr>
      <vt:lpstr>汇总表1</vt:lpstr>
      <vt:lpstr>汇总表2</vt:lpstr>
      <vt:lpstr>附件1!Print_Area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2022-05-02T06:59:16Z</dcterms:created>
  <dcterms:modified xsi:type="dcterms:W3CDTF">2025-03-30T13:27:51Z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