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日\"/>
    </mc:Choice>
  </mc:AlternateContent>
  <xr:revisionPtr revIDLastSave="0" documentId="8_{4261C8FB-1FB3-4BBA-841A-711F8DD2DADF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<sst xmlns="http://schemas.openxmlformats.org/spreadsheetml/2006/main" count="15" uniqueCount="15">
  <si>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</si>
  <si>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重点电商企业复商复市情况统计表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</si>
  <si>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</si>
  <si>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</si>
  <si>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</si>
  <si>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</si>
  <si>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</si>
  <si>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</si>
  <si>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</si>
  <si>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</si>
  <si>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</si>
  <si>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美团优选</t>
  </si>
  <si>
    <t>吉林省京天科技发展有限公司</t>
  </si>
  <si>
    <t>吉林省吉聚客商贸有限公司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</si>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</sst>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89" zoomScaleNormal="100" workbookViewId="0">
      <selection activeCell="A4" sqref="A4:A9"/>
    </sheetView>
  </sheetViews>
  <sheetFormatPr defaultColWidth="9" defaultRowHeight="14.15" x14ac:dyDescent="0.35"/>
  <cols>
    <col min="1" max="1" width="6.140625" customWidth="1"/>
    <col min="2" max="2" width="40.7109375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4" t="s">
        <v>1</v>
      </c>
      <c r="B2" s="14"/>
      <c r="C2" s="14"/>
      <c r="D2" s="14"/>
      <c r="E2" s="14"/>
      <c r="F2" s="14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807</v>
      </c>
      <c r="D4" s="6">
        <v>1089</v>
      </c>
      <c r="E4" s="10">
        <f t="shared" ref="E4:E10" si="0">D4/C4</f>
        <v>1.3494423791821561</v>
      </c>
      <c r="F4" s="11">
        <v>150000</v>
      </c>
    </row>
    <row r="5" spans="1:6" s="1" customFormat="1" ht="24" customHeight="1" x14ac:dyDescent="0.35">
      <c r="A5" s="6">
        <v>2</v>
      </c>
      <c r="B5" s="6" t="s">
        <v>9</v>
      </c>
      <c r="C5" s="5">
        <v>2244</v>
      </c>
      <c r="D5" s="6">
        <v>1800</v>
      </c>
      <c r="E5" s="10">
        <f t="shared" si="0"/>
        <v>0.80213903743315507</v>
      </c>
      <c r="F5" s="6">
        <v>187300</v>
      </c>
    </row>
    <row r="6" spans="1:6" s="1" customFormat="1" ht="24" customHeight="1" x14ac:dyDescent="0.35">
      <c r="A6" s="4">
        <v>3</v>
      </c>
      <c r="B6" s="6" t="s">
        <v>10</v>
      </c>
      <c r="C6" s="5">
        <v>600</v>
      </c>
      <c r="D6" s="6">
        <v>105</v>
      </c>
      <c r="E6" s="10">
        <f t="shared" si="0"/>
        <v>0.17499999999999999</v>
      </c>
      <c r="F6" s="6">
        <v>30000</v>
      </c>
    </row>
    <row r="7" spans="1:6" s="1" customFormat="1" ht="24" customHeight="1" x14ac:dyDescent="0.35">
      <c r="A7" s="6">
        <v>4</v>
      </c>
      <c r="B7" s="6" t="s">
        <v>11</v>
      </c>
      <c r="C7" s="5">
        <v>356</v>
      </c>
      <c r="D7" s="7">
        <v>162</v>
      </c>
      <c r="E7" s="10">
        <f t="shared" si="0"/>
        <v>0.4550561797752809</v>
      </c>
      <c r="F7" s="6">
        <v>20900</v>
      </c>
    </row>
    <row r="8" spans="1:6" s="1" customFormat="1" ht="24" customHeight="1" x14ac:dyDescent="0.35">
      <c r="A8" s="4">
        <v>5</v>
      </c>
      <c r="B8" s="6" t="s">
        <v>12</v>
      </c>
      <c r="C8" s="5">
        <v>60</v>
      </c>
      <c r="D8" s="6">
        <v>54</v>
      </c>
      <c r="E8" s="10">
        <f t="shared" si="0"/>
        <v>0.9</v>
      </c>
      <c r="F8" s="6">
        <v>19400</v>
      </c>
    </row>
    <row r="9" spans="1:6" s="1" customFormat="1" ht="24" customHeight="1" x14ac:dyDescent="0.35">
      <c r="A9" s="6">
        <v>6</v>
      </c>
      <c r="B9" s="6" t="s">
        <v>13</v>
      </c>
      <c r="C9" s="5">
        <v>50</v>
      </c>
      <c r="D9" s="6">
        <v>23</v>
      </c>
      <c r="E9" s="10">
        <f t="shared" si="0"/>
        <v>0.46</v>
      </c>
      <c r="F9" s="6">
        <v>16230</v>
      </c>
    </row>
    <row r="10" spans="1:6" s="1" customFormat="1" ht="24" customHeight="1" x14ac:dyDescent="0.35">
      <c r="A10" s="6"/>
      <c r="B10" s="8" t="s">
        <v>14</v>
      </c>
      <c r="C10" s="9">
        <f>SUM(C4:C7)</f>
        <v>4007</v>
      </c>
      <c r="D10" s="8">
        <f>SUM(D4:D7)</f>
        <v>3156</v>
      </c>
      <c r="E10" s="12">
        <f t="shared" si="0"/>
        <v>0.7876216620913401</v>
      </c>
      <c r="F10" s="13">
        <f>SUM(F4:F7)</f>
        <v>388200</v>
      </c>
    </row>
  </sheetData>
  <mergeCells count="1">
    <mergeCell ref="A2:F2"/>
  </mergeCells>
  <phoneticPr fontId="7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2022-05-02T06:20:38Z</dcterms:created>
  <dcterms:modified xsi:type="dcterms:W3CDTF">2025-03-30T13:27:46Z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