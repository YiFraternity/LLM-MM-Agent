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4日\"/>
    </mc:Choice>
  </mc:AlternateContent>
  <xr:revisionPtr revIDLastSave="0" documentId="8_{879B90CA-178D-44ED-8E97-5D0F107BED7E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3" r:id="rId1"/>
  </sheets>
  <calcPr calcId="191029"/>
</workbook>
</file>

<file path=xl/calcChain.xml><?xml version="1.0" encoding="utf-8"?>
<calcChain xmlns="http://schemas.openxmlformats.org/spreadsheetml/2006/main">
  <c r="C4" i="3" l="1"/>
  <c r="D4" i="3"/>
  <c r="E4" i="3"/>
  <c r="H4" i="3"/>
  <c r="I4" i="3"/>
  <c r="F5" i="3"/>
  <c r="F6" i="3"/>
  <c r="D7" i="3"/>
  <c r="F7" i="3"/>
  <c r="I7" i="3"/>
  <c r="F8" i="3"/>
  <c r="F4" i="3" s="1"/>
  <c r="F9" i="3"/>
  <c r="F10" i="3"/>
  <c r="F11" i="3"/>
  <c r="F12" i="3"/>
  <c r="F13" i="3"/>
</calcChain>
</file>

<file path=xl/sharedStrings.xml><?xml version="1.0" encoding="utf-8"?>
<sst xmlns="http://schemas.openxmlformats.org/spreadsheetml/2006/main" count="34" uniqueCount="23">
  <si>
    <r>
      <t>4月2</t>
    </r>
    <r>
      <rPr>
        <b/>
        <sz val="18"/>
        <color indexed="8"/>
        <rFont val="宋体"/>
        <charset val="134"/>
      </rPr>
      <t>4</t>
    </r>
    <r>
      <rPr>
        <b/>
        <sz val="18"/>
        <color indexed="8"/>
        <rFont val="宋体"/>
        <charset val="134"/>
      </rPr>
      <t>日蔬菜包（箱）发放表</t>
    </r>
  </si>
  <si>
    <t>序号</t>
  </si>
  <si>
    <t>城区、开发区</t>
  </si>
  <si>
    <r>
      <t>4月2</t>
    </r>
    <r>
      <rPr>
        <b/>
        <sz val="12"/>
        <color indexed="8"/>
        <rFont val="宋体"/>
        <charset val="134"/>
      </rPr>
      <t>2</t>
    </r>
    <r>
      <rPr>
        <b/>
        <sz val="11"/>
        <rFont val="宋体"/>
        <charset val="134"/>
      </rPr>
      <t>日提报需求量</t>
    </r>
  </si>
  <si>
    <r>
      <t>4月2</t>
    </r>
    <r>
      <rPr>
        <b/>
        <sz val="12"/>
        <color indexed="8"/>
        <rFont val="宋体"/>
        <charset val="134"/>
      </rPr>
      <t>4</t>
    </r>
    <r>
      <rPr>
        <b/>
        <sz val="12"/>
        <color indexed="8"/>
        <rFont val="宋体"/>
        <charset val="134"/>
      </rPr>
      <t>日实际发放量</t>
    </r>
  </si>
  <si>
    <t>备注</t>
  </si>
  <si>
    <r>
      <t>4月2</t>
    </r>
    <r>
      <rPr>
        <b/>
        <sz val="12"/>
        <color indexed="8"/>
        <rFont val="宋体"/>
        <charset val="134"/>
      </rPr>
      <t>3</t>
    </r>
    <r>
      <rPr>
        <b/>
        <sz val="11"/>
        <rFont val="宋体"/>
        <charset val="134"/>
      </rPr>
      <t>日提报需求量</t>
    </r>
  </si>
  <si>
    <t>箱数</t>
  </si>
  <si>
    <t>重量（吨）</t>
  </si>
  <si>
    <t>合计</t>
  </si>
  <si>
    <t>朝阳</t>
  </si>
  <si>
    <t>无需求</t>
  </si>
  <si>
    <t>南关</t>
  </si>
  <si>
    <t>宽城</t>
  </si>
  <si>
    <t>宽城区22日提报需求6800箱，23日晚宽城区临时申请24日蔬菜包增加至18000箱，财政局临时申请24日蔬菜包6000箱给团山街道。</t>
  </si>
  <si>
    <t>二道</t>
  </si>
  <si>
    <t>绿园</t>
  </si>
  <si>
    <t>新区</t>
  </si>
  <si>
    <t>经开</t>
  </si>
  <si>
    <t>净月</t>
  </si>
  <si>
    <t>汽开</t>
  </si>
  <si>
    <t>制表时间：4月24日17时</t>
  </si>
  <si>
    <r>
      <t xml:space="preserve">    注：24日到货23335箱210吨，发放给各区20686箱186.17吨（其中，从公主岭库存中调取10000箱），截止24日库存</t>
    </r>
    <r>
      <rPr>
        <sz val="11"/>
        <rFont val="宋体"/>
        <charset val="134"/>
      </rPr>
      <t>21541</t>
    </r>
    <r>
      <rPr>
        <sz val="11"/>
        <rFont val="宋体"/>
        <charset val="134"/>
      </rPr>
      <t>箱</t>
    </r>
    <r>
      <rPr>
        <sz val="11"/>
        <rFont val="宋体"/>
        <charset val="134"/>
      </rPr>
      <t>193.87</t>
    </r>
    <r>
      <rPr>
        <sz val="11"/>
        <rFont val="宋体"/>
        <charset val="134"/>
      </rPr>
      <t>吨。（根据进货及库存情况，向宽城区发放16585箱，向财政包保的宽城团山街道发放4101箱。）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</si>
</sst>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0.00_);[Red]\(0.00\)"/>
    <numFmt numFmtId="178" formatCode="0.00_ "/>
    <numFmt numFmtId="179" formatCode="0_ "/>
  </numFmts>
  <fonts count="10" x14ac:knownFonts="1">
    <font>
      <sz val="11"/>
      <name val="宋体"/>
      <charset val="134"/>
    </font>
    <font>
      <b/>
      <sz val="18"/>
      <color indexed="8"/>
      <name val="宋体"/>
      <charset val="134"/>
    </font>
    <font>
      <b/>
      <sz val="12"/>
      <color indexed="8"/>
      <name val="宋体"/>
      <charset val="134"/>
    </font>
    <font>
      <b/>
      <sz val="11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>
      <alignment vertical="center"/>
    </xf>
    <xf numFmtId="49" fontId="7" fillId="3" borderId="4" xfId="0" applyNumberFormat="1" applyFont="1" applyFill="1" applyBorder="1" applyAlignment="1">
      <alignment horizontal="center" vertical="center"/>
    </xf>
    <xf numFmtId="176" fontId="6" fillId="3" borderId="4" xfId="0" applyNumberFormat="1" applyFont="1" applyFill="1" applyBorder="1" applyAlignment="1">
      <alignment horizontal="center" vertical="center"/>
    </xf>
    <xf numFmtId="177" fontId="6" fillId="3" borderId="4" xfId="0" applyNumberFormat="1" applyFont="1" applyFill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/>
    </xf>
    <xf numFmtId="176" fontId="7" fillId="0" borderId="4" xfId="0" applyNumberFormat="1" applyFont="1" applyFill="1" applyBorder="1" applyAlignment="1">
      <alignment horizontal="center" vertical="center"/>
    </xf>
    <xf numFmtId="178" fontId="6" fillId="0" borderId="4" xfId="0" applyNumberFormat="1" applyFont="1" applyFill="1" applyBorder="1" applyAlignment="1">
      <alignment horizontal="center" vertical="center"/>
    </xf>
    <xf numFmtId="178" fontId="6" fillId="0" borderId="4" xfId="0" applyNumberFormat="1" applyFont="1" applyFill="1" applyBorder="1" applyAlignment="1">
      <alignment horizontal="right" vertical="center" indent="1"/>
    </xf>
    <xf numFmtId="49" fontId="7" fillId="0" borderId="4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176" fontId="7" fillId="0" borderId="6" xfId="0" applyNumberFormat="1" applyFont="1" applyFill="1" applyBorder="1" applyAlignment="1">
      <alignment horizontal="center" vertical="center"/>
    </xf>
    <xf numFmtId="178" fontId="6" fillId="0" borderId="6" xfId="0" applyNumberFormat="1" applyFont="1" applyFill="1" applyBorder="1" applyAlignment="1">
      <alignment horizontal="center" vertical="center"/>
    </xf>
    <xf numFmtId="49" fontId="6" fillId="0" borderId="0" xfId="0" applyNumberFormat="1" applyFont="1" applyFill="1">
      <alignment vertical="center"/>
    </xf>
    <xf numFmtId="49" fontId="7" fillId="0" borderId="0" xfId="0" applyNumberFormat="1" applyFont="1" applyFill="1" applyAlignment="1">
      <alignment horizontal="center" vertical="center"/>
    </xf>
    <xf numFmtId="179" fontId="6" fillId="0" borderId="0" xfId="0" applyNumberFormat="1" applyFont="1" applyFill="1" applyAlignment="1">
      <alignment horizontal="center" vertical="center"/>
    </xf>
    <xf numFmtId="178" fontId="6" fillId="0" borderId="0" xfId="0" applyNumberFormat="1" applyFont="1" applyFill="1" applyBorder="1" applyAlignment="1">
      <alignment horizontal="center" vertical="center"/>
    </xf>
    <xf numFmtId="176" fontId="6" fillId="3" borderId="4" xfId="0" applyNumberFormat="1" applyFont="1" applyFill="1" applyBorder="1" applyAlignment="1">
      <alignment horizontal="right" vertical="center" indent="1"/>
    </xf>
    <xf numFmtId="177" fontId="6" fillId="3" borderId="4" xfId="0" applyNumberFormat="1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center" vertical="center"/>
    </xf>
    <xf numFmtId="179" fontId="6" fillId="5" borderId="4" xfId="0" applyNumberFormat="1" applyFont="1" applyFill="1" applyBorder="1" applyAlignment="1">
      <alignment horizontal="center" vertical="center"/>
    </xf>
    <xf numFmtId="176" fontId="7" fillId="4" borderId="4" xfId="0" applyNumberFormat="1" applyFont="1" applyFill="1" applyBorder="1" applyAlignment="1">
      <alignment horizontal="right" vertical="center" indent="1"/>
    </xf>
    <xf numFmtId="178" fontId="6" fillId="4" borderId="4" xfId="0" applyNumberFormat="1" applyFont="1" applyFill="1" applyBorder="1" applyAlignment="1">
      <alignment horizontal="right" vertical="center"/>
    </xf>
    <xf numFmtId="0" fontId="6" fillId="0" borderId="4" xfId="0" applyFont="1" applyFill="1" applyBorder="1" applyAlignment="1">
      <alignment horizontal="center" vertical="center" wrapText="1"/>
    </xf>
    <xf numFmtId="176" fontId="6" fillId="4" borderId="4" xfId="0" applyNumberFormat="1" applyFont="1" applyFill="1" applyBorder="1" applyAlignment="1">
      <alignment horizontal="right" vertical="center" indent="1"/>
    </xf>
    <xf numFmtId="0" fontId="6" fillId="0" borderId="4" xfId="0" applyFont="1" applyFill="1" applyBorder="1" applyAlignment="1">
      <alignment horizontal="left" vertical="center" wrapText="1"/>
    </xf>
    <xf numFmtId="176" fontId="0" fillId="4" borderId="4" xfId="0" applyNumberFormat="1" applyFont="1" applyFill="1" applyBorder="1" applyAlignment="1">
      <alignment horizontal="right" vertical="center" indent="1"/>
    </xf>
    <xf numFmtId="176" fontId="0" fillId="4" borderId="6" xfId="0" applyNumberFormat="1" applyFont="1" applyFill="1" applyBorder="1" applyAlignment="1">
      <alignment horizontal="right" vertical="center" indent="1"/>
    </xf>
    <xf numFmtId="178" fontId="6" fillId="4" borderId="6" xfId="0" applyNumberFormat="1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178" fontId="6" fillId="5" borderId="8" xfId="0" applyNumberFormat="1" applyFont="1" applyFill="1" applyBorder="1" applyAlignment="1">
      <alignment horizontal="center" vertical="center"/>
    </xf>
    <xf numFmtId="178" fontId="6" fillId="0" borderId="8" xfId="0" applyNumberFormat="1" applyFont="1" applyFill="1" applyBorder="1" applyAlignment="1">
      <alignment horizontal="center" vertical="center"/>
    </xf>
    <xf numFmtId="178" fontId="6" fillId="0" borderId="8" xfId="0" applyNumberFormat="1" applyFont="1" applyFill="1" applyBorder="1" applyAlignment="1">
      <alignment horizontal="right" vertical="center" indent="1"/>
    </xf>
    <xf numFmtId="0" fontId="0" fillId="0" borderId="0" xfId="0" applyFont="1">
      <alignment vertical="center"/>
    </xf>
    <xf numFmtId="178" fontId="6" fillId="0" borderId="9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4" borderId="0" xfId="0" applyNumberFormat="1" applyFill="1" applyAlignment="1">
      <alignment horizontal="left" vertical="center" wrapText="1"/>
    </xf>
    <xf numFmtId="0" fontId="0" fillId="4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topLeftCell="A7" zoomScaleSheetLayoutView="100" workbookViewId="0">
      <selection activeCell="E19" sqref="E19"/>
    </sheetView>
  </sheetViews>
  <sheetFormatPr defaultColWidth="9" defaultRowHeight="14.15" x14ac:dyDescent="0.3"/>
  <cols>
    <col min="1" max="1" width="7.23046875" customWidth="1"/>
    <col min="2" max="2" width="28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21.84375" customWidth="1"/>
    <col min="8" max="9" width="11.15234375" customWidth="1"/>
  </cols>
  <sheetData>
    <row r="1" spans="1:10" ht="40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10" ht="27" customHeight="1" x14ac:dyDescent="0.3">
      <c r="A2" s="44" t="s">
        <v>1</v>
      </c>
      <c r="B2" s="46" t="s">
        <v>2</v>
      </c>
      <c r="C2" s="41" t="s">
        <v>3</v>
      </c>
      <c r="D2" s="41"/>
      <c r="E2" s="41" t="s">
        <v>4</v>
      </c>
      <c r="F2" s="41"/>
      <c r="G2" s="48" t="s">
        <v>5</v>
      </c>
      <c r="H2" s="41" t="s">
        <v>6</v>
      </c>
      <c r="I2" s="42"/>
    </row>
    <row r="3" spans="1:10" ht="27" customHeight="1" x14ac:dyDescent="0.3">
      <c r="A3" s="45"/>
      <c r="B3" s="47"/>
      <c r="C3" s="1" t="s">
        <v>7</v>
      </c>
      <c r="D3" s="1" t="s">
        <v>8</v>
      </c>
      <c r="E3" s="1" t="s">
        <v>7</v>
      </c>
      <c r="F3" s="1" t="s">
        <v>8</v>
      </c>
      <c r="G3" s="49"/>
      <c r="H3" s="1" t="s">
        <v>7</v>
      </c>
      <c r="I3" s="34" t="s">
        <v>8</v>
      </c>
    </row>
    <row r="4" spans="1:10" ht="28" customHeight="1" x14ac:dyDescent="0.3">
      <c r="A4" s="2"/>
      <c r="B4" s="3" t="s">
        <v>9</v>
      </c>
      <c r="C4" s="4">
        <f>SUM(C5:C13)</f>
        <v>6800</v>
      </c>
      <c r="D4" s="5">
        <f>SUM(D5:D13)</f>
        <v>61.2</v>
      </c>
      <c r="E4" s="20">
        <f>SUM(E5:E13)</f>
        <v>20686</v>
      </c>
      <c r="F4" s="21">
        <f>SUM(F5:F13)</f>
        <v>186.17400000000001</v>
      </c>
      <c r="G4" s="22"/>
      <c r="H4" s="23">
        <f>SUM(H5:H13)</f>
        <v>5000</v>
      </c>
      <c r="I4" s="35">
        <f>SUM(I5:I13)</f>
        <v>45</v>
      </c>
    </row>
    <row r="5" spans="1:10" ht="28" customHeight="1" x14ac:dyDescent="0.3">
      <c r="A5" s="6">
        <v>1</v>
      </c>
      <c r="B5" s="7" t="s">
        <v>10</v>
      </c>
      <c r="C5" s="8">
        <v>0</v>
      </c>
      <c r="D5" s="9">
        <v>0</v>
      </c>
      <c r="E5" s="24">
        <v>0</v>
      </c>
      <c r="F5" s="25">
        <f t="shared" ref="F5:F13" si="0">E5*18/2000</f>
        <v>0</v>
      </c>
      <c r="G5" s="26" t="s">
        <v>11</v>
      </c>
      <c r="H5" s="8">
        <v>0</v>
      </c>
      <c r="I5" s="36">
        <v>0</v>
      </c>
    </row>
    <row r="6" spans="1:10" ht="28" customHeight="1" x14ac:dyDescent="0.3">
      <c r="A6" s="6">
        <v>2</v>
      </c>
      <c r="B6" s="7" t="s">
        <v>12</v>
      </c>
      <c r="C6" s="8">
        <v>0</v>
      </c>
      <c r="D6" s="9">
        <v>0</v>
      </c>
      <c r="E6" s="27">
        <v>0</v>
      </c>
      <c r="F6" s="25">
        <f t="shared" si="0"/>
        <v>0</v>
      </c>
      <c r="G6" s="26" t="s">
        <v>11</v>
      </c>
      <c r="H6" s="8">
        <v>0</v>
      </c>
      <c r="I6" s="36">
        <v>0</v>
      </c>
    </row>
    <row r="7" spans="1:10" ht="90.75" customHeight="1" x14ac:dyDescent="0.3">
      <c r="A7" s="6">
        <v>3</v>
      </c>
      <c r="B7" s="7" t="s">
        <v>13</v>
      </c>
      <c r="C7" s="8">
        <v>6800</v>
      </c>
      <c r="D7" s="10">
        <f>C7*18/2000</f>
        <v>61.2</v>
      </c>
      <c r="E7" s="27">
        <v>20686</v>
      </c>
      <c r="F7" s="25">
        <f t="shared" si="0"/>
        <v>186.17400000000001</v>
      </c>
      <c r="G7" s="28" t="s">
        <v>14</v>
      </c>
      <c r="H7" s="8">
        <v>5000</v>
      </c>
      <c r="I7" s="37">
        <f>H7*18/2000</f>
        <v>45</v>
      </c>
      <c r="J7" s="38"/>
    </row>
    <row r="8" spans="1:10" ht="28" customHeight="1" x14ac:dyDescent="0.3">
      <c r="A8" s="6">
        <v>4</v>
      </c>
      <c r="B8" s="7" t="s">
        <v>15</v>
      </c>
      <c r="C8" s="8">
        <v>0</v>
      </c>
      <c r="D8" s="9">
        <v>0</v>
      </c>
      <c r="E8" s="27">
        <v>0</v>
      </c>
      <c r="F8" s="25">
        <f t="shared" si="0"/>
        <v>0</v>
      </c>
      <c r="G8" s="26" t="s">
        <v>11</v>
      </c>
      <c r="H8" s="8">
        <v>0</v>
      </c>
      <c r="I8" s="36">
        <v>0</v>
      </c>
    </row>
    <row r="9" spans="1:10" ht="28" customHeight="1" x14ac:dyDescent="0.3">
      <c r="A9" s="6">
        <v>5</v>
      </c>
      <c r="B9" s="11" t="s">
        <v>16</v>
      </c>
      <c r="C9" s="8">
        <v>0</v>
      </c>
      <c r="D9" s="9">
        <v>0</v>
      </c>
      <c r="E9" s="27">
        <v>0</v>
      </c>
      <c r="F9" s="25">
        <f t="shared" si="0"/>
        <v>0</v>
      </c>
      <c r="G9" s="26" t="s">
        <v>11</v>
      </c>
      <c r="H9" s="8">
        <v>0</v>
      </c>
      <c r="I9" s="36">
        <v>0</v>
      </c>
    </row>
    <row r="10" spans="1:10" ht="28" customHeight="1" x14ac:dyDescent="0.3">
      <c r="A10" s="6">
        <v>6</v>
      </c>
      <c r="B10" s="11" t="s">
        <v>17</v>
      </c>
      <c r="C10" s="8">
        <v>0</v>
      </c>
      <c r="D10" s="9">
        <v>0</v>
      </c>
      <c r="E10" s="29">
        <v>0</v>
      </c>
      <c r="F10" s="25">
        <f t="shared" si="0"/>
        <v>0</v>
      </c>
      <c r="G10" s="26" t="s">
        <v>11</v>
      </c>
      <c r="H10" s="8">
        <v>0</v>
      </c>
      <c r="I10" s="36">
        <v>0</v>
      </c>
    </row>
    <row r="11" spans="1:10" ht="28" customHeight="1" x14ac:dyDescent="0.3">
      <c r="A11" s="6">
        <v>7</v>
      </c>
      <c r="B11" s="11" t="s">
        <v>18</v>
      </c>
      <c r="C11" s="8">
        <v>0</v>
      </c>
      <c r="D11" s="9">
        <v>0</v>
      </c>
      <c r="E11" s="29">
        <v>0</v>
      </c>
      <c r="F11" s="25">
        <f t="shared" si="0"/>
        <v>0</v>
      </c>
      <c r="G11" s="26" t="s">
        <v>11</v>
      </c>
      <c r="H11" s="8">
        <v>0</v>
      </c>
      <c r="I11" s="36">
        <v>0</v>
      </c>
    </row>
    <row r="12" spans="1:10" ht="28" customHeight="1" x14ac:dyDescent="0.3">
      <c r="A12" s="6">
        <v>8</v>
      </c>
      <c r="B12" s="11" t="s">
        <v>19</v>
      </c>
      <c r="C12" s="8">
        <v>0</v>
      </c>
      <c r="D12" s="9">
        <v>0</v>
      </c>
      <c r="E12" s="29">
        <v>0</v>
      </c>
      <c r="F12" s="25">
        <f t="shared" si="0"/>
        <v>0</v>
      </c>
      <c r="G12" s="26" t="s">
        <v>11</v>
      </c>
      <c r="H12" s="8">
        <v>0</v>
      </c>
      <c r="I12" s="36">
        <v>0</v>
      </c>
    </row>
    <row r="13" spans="1:10" ht="28" customHeight="1" x14ac:dyDescent="0.3">
      <c r="A13" s="12">
        <v>9</v>
      </c>
      <c r="B13" s="13" t="s">
        <v>20</v>
      </c>
      <c r="C13" s="14">
        <v>0</v>
      </c>
      <c r="D13" s="15">
        <v>0</v>
      </c>
      <c r="E13" s="30">
        <v>0</v>
      </c>
      <c r="F13" s="31">
        <f t="shared" si="0"/>
        <v>0</v>
      </c>
      <c r="G13" s="32" t="s">
        <v>11</v>
      </c>
      <c r="H13" s="14">
        <v>0</v>
      </c>
      <c r="I13" s="39">
        <v>0</v>
      </c>
    </row>
    <row r="14" spans="1:10" ht="25.5" customHeight="1" x14ac:dyDescent="0.3">
      <c r="A14" s="16"/>
      <c r="B14" s="17"/>
      <c r="C14" s="18"/>
      <c r="D14" s="19"/>
      <c r="E14" s="33"/>
      <c r="F14" s="19"/>
      <c r="G14" s="43" t="s">
        <v>21</v>
      </c>
      <c r="H14" s="43"/>
      <c r="I14" s="43"/>
    </row>
    <row r="15" spans="1:10" ht="23.25" customHeight="1" x14ac:dyDescent="0.3">
      <c r="A15" s="50" t="s">
        <v>22</v>
      </c>
      <c r="B15" s="51"/>
      <c r="C15" s="51"/>
      <c r="D15" s="51"/>
      <c r="E15" s="51"/>
      <c r="F15" s="51"/>
      <c r="G15" s="51"/>
      <c r="H15" s="51"/>
      <c r="I15" s="51"/>
    </row>
    <row r="16" spans="1:10" ht="11.15" customHeight="1" x14ac:dyDescent="0.3">
      <c r="A16" s="51"/>
      <c r="B16" s="51"/>
      <c r="C16" s="51"/>
      <c r="D16" s="51"/>
      <c r="E16" s="51"/>
      <c r="F16" s="51"/>
      <c r="G16" s="51"/>
      <c r="H16" s="51"/>
      <c r="I16" s="51"/>
    </row>
  </sheetData>
  <mergeCells count="9">
    <mergeCell ref="A15:I16"/>
    <mergeCell ref="A1:I1"/>
    <mergeCell ref="C2:D2"/>
    <mergeCell ref="E2:F2"/>
    <mergeCell ref="H2:I2"/>
    <mergeCell ref="G14:I14"/>
    <mergeCell ref="A2:A3"/>
    <mergeCell ref="B2:B3"/>
    <mergeCell ref="G2:G3"/>
  </mergeCells>
  <phoneticPr fontId="9" type="noConversion"/>
  <pageMargins left="0.79000000000000015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2022-04-15T23:18:26Z</cp:lastPrinted>
  <dcterms:created xsi:type="dcterms:W3CDTF">2022-04-07T05:31:00Z</dcterms:created>
  <dcterms:modified xsi:type="dcterms:W3CDTF">2025-03-30T13:22:21Z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3796BE9F032A4D41BADFAF8B29E6E9C5</vt:lpwstr>
  </property>
  <property fmtid="{D5CDD505-2E9C-101B-9397-08002B2CF9AE}" pid="3" name="KSOProductBuildVer">
    <vt:lpwstr>2052-11.8.2.9864</vt:lpwstr>
  </property>
</Properties>
</file>