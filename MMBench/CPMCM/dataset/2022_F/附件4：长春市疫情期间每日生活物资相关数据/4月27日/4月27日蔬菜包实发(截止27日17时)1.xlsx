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7日\"/>
    </mc:Choice>
  </mc:AlternateContent>
  <xr:revisionPtr revIDLastSave="0" documentId="8_{A2B485B3-4952-451F-9237-4C059716FF40}" xr6:coauthVersionLast="36" xr6:coauthVersionMax="36" xr10:uidLastSave="{00000000-0000-0000-0000-000000000000}"/>
  <bookViews>
    <workbookView xWindow="32769" yWindow="32769" windowWidth="19817" windowHeight="7860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E4" i="3"/>
  <c r="H4" i="3"/>
  <c r="F5" i="3"/>
  <c r="F4" i="3" s="1"/>
  <c r="F6" i="3"/>
  <c r="D7" i="3"/>
  <c r="D4" i="3" s="1"/>
  <c r="F7" i="3"/>
  <c r="I7" i="3"/>
  <c r="I4" i="3" s="1"/>
  <c r="F8" i="3"/>
  <c r="F9" i="3"/>
  <c r="F10" i="3"/>
  <c r="F11" i="3"/>
  <c r="F12" i="3"/>
  <c r="F13" i="3"/>
</calcChain>
</file>

<file path=xl/sharedStrings.xml><?xml version="1.0" encoding="utf-8"?>
<sst xmlns="http://schemas.openxmlformats.org/spreadsheetml/2006/main" count="34" uniqueCount="23">
  <si>
    <r>
      <t>4月2</t>
    </r>
    <r>
      <rPr>
        <b/>
        <sz val="18"/>
        <color indexed="8"/>
        <rFont val="宋体"/>
        <charset val="134"/>
      </rPr>
      <t>7日蔬菜包（箱）发放表</t>
    </r>
  </si>
  <si>
    <t>序号</t>
  </si>
  <si>
    <t>城区、开发区</t>
  </si>
  <si>
    <r>
      <t>4月2</t>
    </r>
    <r>
      <rPr>
        <b/>
        <sz val="12"/>
        <color indexed="8"/>
        <rFont val="宋体"/>
        <charset val="134"/>
      </rPr>
      <t>5</t>
    </r>
    <r>
      <rPr>
        <b/>
        <sz val="11"/>
        <rFont val="宋体"/>
        <charset val="134"/>
      </rPr>
      <t>日提报需求量</t>
    </r>
  </si>
  <si>
    <r>
      <t>4月2</t>
    </r>
    <r>
      <rPr>
        <b/>
        <sz val="12"/>
        <color indexed="8"/>
        <rFont val="宋体"/>
        <charset val="134"/>
      </rPr>
      <t>7日实际发放量</t>
    </r>
  </si>
  <si>
    <t>备注</t>
  </si>
  <si>
    <r>
      <t>4月2</t>
    </r>
    <r>
      <rPr>
        <b/>
        <sz val="12"/>
        <color indexed="8"/>
        <rFont val="宋体"/>
        <charset val="134"/>
      </rPr>
      <t>6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</si>
  <si>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</si>
  <si>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</si>
  <si>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</si>
  <si>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</si>
  <si>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</si>
  <si>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</si>
  <si>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</si>
  <si>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按宽城区提报需求发放，提前发放28日需求。</t>
  </si>
  <si>
    <t>二道</t>
  </si>
  <si>
    <t>绿园</t>
  </si>
  <si>
    <t>新区</t>
  </si>
  <si>
    <t>经开</t>
  </si>
  <si>
    <t>净月</t>
  </si>
  <si>
    <t>汽开</t>
  </si>
  <si>
    <r>
      <t>制表时间：4月27日</t>
    </r>
    <r>
      <rPr>
        <sz val="11"/>
        <color indexed="8"/>
        <rFont val="宋体"/>
        <charset val="134"/>
      </rPr>
      <t>17时</t>
    </r>
  </si>
  <si>
    <t xml:space="preserve">    注：27日到货26301箱236.71吨，发放给各区20194箱181.75吨（优先从库存中提取），截止27日库存41359箱372.23吨。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</si>
</sst>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_ "/>
    <numFmt numFmtId="179" formatCode="0.00_ "/>
  </numFmts>
  <fonts count="11" x14ac:knownFonts="1">
    <font>
      <sz val="11"/>
      <name val="宋体"/>
      <charset val="134"/>
    </font>
    <font>
      <b/>
      <sz val="18"/>
      <color indexed="8"/>
      <name val="宋体"/>
      <charset val="134"/>
    </font>
    <font>
      <b/>
      <sz val="12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>
      <alignment vertical="center"/>
    </xf>
    <xf numFmtId="49" fontId="8" fillId="2" borderId="4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77" fontId="7" fillId="2" borderId="4" xfId="0" applyNumberFormat="1" applyFont="1" applyFill="1" applyBorder="1" applyAlignment="1">
      <alignment horizontal="right" vertical="center" indent="1"/>
    </xf>
    <xf numFmtId="176" fontId="7" fillId="2" borderId="4" xfId="0" applyNumberFormat="1" applyFont="1" applyFill="1" applyBorder="1" applyAlignment="1">
      <alignment horizontal="right" vertical="center" indent="1"/>
    </xf>
    <xf numFmtId="0" fontId="7" fillId="2" borderId="4" xfId="0" applyFont="1" applyFill="1" applyBorder="1" applyAlignment="1">
      <alignment horizontal="center" vertical="center"/>
    </xf>
    <xf numFmtId="178" fontId="7" fillId="4" borderId="4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/>
    </xf>
    <xf numFmtId="176" fontId="8" fillId="0" borderId="4" xfId="0" applyNumberFormat="1" applyFont="1" applyFill="1" applyBorder="1" applyAlignment="1">
      <alignment horizontal="center" vertical="center"/>
    </xf>
    <xf numFmtId="179" fontId="7" fillId="0" borderId="4" xfId="0" applyNumberFormat="1" applyFont="1" applyFill="1" applyBorder="1" applyAlignment="1">
      <alignment horizontal="right" vertical="center" indent="1"/>
    </xf>
    <xf numFmtId="176" fontId="8" fillId="5" borderId="4" xfId="0" applyNumberFormat="1" applyFont="1" applyFill="1" applyBorder="1" applyAlignment="1">
      <alignment horizontal="right" vertical="center" indent="1"/>
    </xf>
    <xf numFmtId="179" fontId="7" fillId="5" borderId="4" xfId="0" applyNumberFormat="1" applyFont="1" applyFill="1" applyBorder="1" applyAlignment="1">
      <alignment horizontal="right" vertical="center" indent="1"/>
    </xf>
    <xf numFmtId="0" fontId="7" fillId="0" borderId="4" xfId="0" applyFont="1" applyFill="1" applyBorder="1" applyAlignment="1">
      <alignment horizontal="center" vertical="center" wrapText="1"/>
    </xf>
    <xf numFmtId="176" fontId="7" fillId="5" borderId="4" xfId="0" applyNumberFormat="1" applyFont="1" applyFill="1" applyBorder="1" applyAlignment="1">
      <alignment horizontal="right" vertical="center" indent="1"/>
    </xf>
    <xf numFmtId="0" fontId="7" fillId="0" borderId="4" xfId="0" applyFont="1" applyFill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center" vertical="center"/>
    </xf>
    <xf numFmtId="176" fontId="0" fillId="5" borderId="4" xfId="0" applyNumberFormat="1" applyFont="1" applyFill="1" applyBorder="1" applyAlignment="1">
      <alignment horizontal="right" vertical="center" indent="1"/>
    </xf>
    <xf numFmtId="0" fontId="9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right" vertical="center" indent="1"/>
    </xf>
    <xf numFmtId="176" fontId="0" fillId="5" borderId="6" xfId="0" applyNumberFormat="1" applyFont="1" applyFill="1" applyBorder="1" applyAlignment="1">
      <alignment horizontal="right" vertical="center" indent="1"/>
    </xf>
    <xf numFmtId="179" fontId="7" fillId="5" borderId="6" xfId="0" applyNumberFormat="1" applyFont="1" applyFill="1" applyBorder="1" applyAlignment="1">
      <alignment horizontal="right" vertical="center" indent="1"/>
    </xf>
    <xf numFmtId="0" fontId="7" fillId="0" borderId="6" xfId="0" applyFont="1" applyFill="1" applyBorder="1" applyAlignment="1">
      <alignment horizontal="center" vertical="center" wrapText="1"/>
    </xf>
    <xf numFmtId="49" fontId="7" fillId="0" borderId="0" xfId="0" applyNumberFormat="1" applyFont="1" applyFill="1">
      <alignment vertical="center"/>
    </xf>
    <xf numFmtId="49" fontId="8" fillId="0" borderId="0" xfId="0" applyNumberFormat="1" applyFont="1" applyFill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/>
    </xf>
    <xf numFmtId="179" fontId="7" fillId="4" borderId="8" xfId="0" applyNumberFormat="1" applyFont="1" applyFill="1" applyBorder="1" applyAlignment="1">
      <alignment horizontal="center" vertical="center"/>
    </xf>
    <xf numFmtId="179" fontId="7" fillId="0" borderId="8" xfId="0" applyNumberFormat="1" applyFont="1" applyFill="1" applyBorder="1" applyAlignment="1">
      <alignment horizontal="center" vertical="center"/>
    </xf>
    <xf numFmtId="179" fontId="7" fillId="0" borderId="8" xfId="0" applyNumberFormat="1" applyFont="1" applyFill="1" applyBorder="1" applyAlignment="1">
      <alignment horizontal="right" vertical="center"/>
    </xf>
    <xf numFmtId="0" fontId="0" fillId="0" borderId="0" xfId="0" applyFont="1">
      <alignment vertical="center"/>
    </xf>
    <xf numFmtId="179" fontId="7" fillId="0" borderId="9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 wrapText="1"/>
    </xf>
    <xf numFmtId="49" fontId="6" fillId="3" borderId="1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5" borderId="0" xfId="0" applyNumberFormat="1" applyFill="1" applyAlignment="1">
      <alignment horizontal="left" vertical="center" wrapText="1"/>
    </xf>
    <xf numFmtId="0" fontId="0" fillId="5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zoomScaleSheetLayoutView="100" workbookViewId="0">
      <selection activeCell="G4" sqref="G4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10" ht="40" customHeight="1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</row>
    <row r="2" spans="1:10" ht="27" customHeight="1" x14ac:dyDescent="0.3">
      <c r="A2" s="42" t="s">
        <v>1</v>
      </c>
      <c r="B2" s="44" t="s">
        <v>2</v>
      </c>
      <c r="C2" s="39" t="s">
        <v>3</v>
      </c>
      <c r="D2" s="39"/>
      <c r="E2" s="39" t="s">
        <v>4</v>
      </c>
      <c r="F2" s="39"/>
      <c r="G2" s="46" t="s">
        <v>5</v>
      </c>
      <c r="H2" s="39" t="s">
        <v>6</v>
      </c>
      <c r="I2" s="40"/>
    </row>
    <row r="3" spans="1:10" ht="27" customHeight="1" x14ac:dyDescent="0.3">
      <c r="A3" s="43"/>
      <c r="B3" s="45"/>
      <c r="C3" s="1" t="s">
        <v>7</v>
      </c>
      <c r="D3" s="1" t="s">
        <v>8</v>
      </c>
      <c r="E3" s="1" t="s">
        <v>7</v>
      </c>
      <c r="F3" s="1" t="s">
        <v>8</v>
      </c>
      <c r="G3" s="47"/>
      <c r="H3" s="1" t="s">
        <v>7</v>
      </c>
      <c r="I3" s="32" t="s">
        <v>8</v>
      </c>
    </row>
    <row r="4" spans="1:10" ht="30" customHeight="1" x14ac:dyDescent="0.3">
      <c r="A4" s="2"/>
      <c r="B4" s="3" t="s">
        <v>9</v>
      </c>
      <c r="C4" s="4">
        <f>SUM(C5:C13)</f>
        <v>16000</v>
      </c>
      <c r="D4" s="5">
        <f>SUM(D5:D13)</f>
        <v>144</v>
      </c>
      <c r="E4" s="6">
        <f>SUM(E5:E13)</f>
        <v>20194</v>
      </c>
      <c r="F4" s="5">
        <f>SUM(F5:F13)</f>
        <v>181.74600000000001</v>
      </c>
      <c r="G4" s="7"/>
      <c r="H4" s="8">
        <f>SUM(H5:H13)</f>
        <v>16000</v>
      </c>
      <c r="I4" s="33">
        <f>SUM(I5:I13)</f>
        <v>144</v>
      </c>
    </row>
    <row r="5" spans="1:10" ht="30" customHeight="1" x14ac:dyDescent="0.3">
      <c r="A5" s="9">
        <v>1</v>
      </c>
      <c r="B5" s="10" t="s">
        <v>10</v>
      </c>
      <c r="C5" s="11">
        <v>0</v>
      </c>
      <c r="D5" s="12">
        <v>0</v>
      </c>
      <c r="E5" s="13">
        <v>0</v>
      </c>
      <c r="F5" s="14">
        <f t="shared" ref="F5:F13" si="0">E5*18/2000</f>
        <v>0</v>
      </c>
      <c r="G5" s="15" t="s">
        <v>11</v>
      </c>
      <c r="H5" s="11">
        <v>0</v>
      </c>
      <c r="I5" s="34">
        <v>0</v>
      </c>
    </row>
    <row r="6" spans="1:10" ht="30" customHeight="1" x14ac:dyDescent="0.3">
      <c r="A6" s="9">
        <v>2</v>
      </c>
      <c r="B6" s="10" t="s">
        <v>12</v>
      </c>
      <c r="C6" s="11">
        <v>0</v>
      </c>
      <c r="D6" s="12">
        <v>0</v>
      </c>
      <c r="E6" s="16">
        <v>0</v>
      </c>
      <c r="F6" s="14">
        <f t="shared" si="0"/>
        <v>0</v>
      </c>
      <c r="G6" s="15" t="s">
        <v>11</v>
      </c>
      <c r="H6" s="11">
        <v>0</v>
      </c>
      <c r="I6" s="34">
        <v>0</v>
      </c>
    </row>
    <row r="7" spans="1:10" ht="30" customHeight="1" x14ac:dyDescent="0.3">
      <c r="A7" s="9">
        <v>3</v>
      </c>
      <c r="B7" s="10" t="s">
        <v>13</v>
      </c>
      <c r="C7" s="11">
        <v>16000</v>
      </c>
      <c r="D7" s="12">
        <f>C7*18/2000</f>
        <v>144</v>
      </c>
      <c r="E7" s="16">
        <v>20194</v>
      </c>
      <c r="F7" s="14">
        <f t="shared" si="0"/>
        <v>181.74600000000001</v>
      </c>
      <c r="G7" s="17" t="s">
        <v>14</v>
      </c>
      <c r="H7" s="11">
        <v>16000</v>
      </c>
      <c r="I7" s="35">
        <f>H7*18/2000</f>
        <v>144</v>
      </c>
      <c r="J7" s="36"/>
    </row>
    <row r="8" spans="1:10" ht="30" customHeight="1" x14ac:dyDescent="0.3">
      <c r="A8" s="9">
        <v>4</v>
      </c>
      <c r="B8" s="10" t="s">
        <v>15</v>
      </c>
      <c r="C8" s="11">
        <v>0</v>
      </c>
      <c r="D8" s="12">
        <v>0</v>
      </c>
      <c r="E8" s="16">
        <v>0</v>
      </c>
      <c r="F8" s="14">
        <f t="shared" si="0"/>
        <v>0</v>
      </c>
      <c r="G8" s="15" t="s">
        <v>11</v>
      </c>
      <c r="H8" s="11">
        <v>0</v>
      </c>
      <c r="I8" s="34">
        <v>0</v>
      </c>
    </row>
    <row r="9" spans="1:10" ht="30" customHeight="1" x14ac:dyDescent="0.3">
      <c r="A9" s="9">
        <v>5</v>
      </c>
      <c r="B9" s="18" t="s">
        <v>16</v>
      </c>
      <c r="C9" s="11">
        <v>0</v>
      </c>
      <c r="D9" s="12">
        <v>0</v>
      </c>
      <c r="E9" s="16">
        <v>0</v>
      </c>
      <c r="F9" s="14">
        <f t="shared" si="0"/>
        <v>0</v>
      </c>
      <c r="G9" s="15" t="s">
        <v>11</v>
      </c>
      <c r="H9" s="11">
        <v>0</v>
      </c>
      <c r="I9" s="34">
        <v>0</v>
      </c>
    </row>
    <row r="10" spans="1:10" ht="30" customHeight="1" x14ac:dyDescent="0.3">
      <c r="A10" s="9">
        <v>6</v>
      </c>
      <c r="B10" s="18" t="s">
        <v>17</v>
      </c>
      <c r="C10" s="11">
        <v>0</v>
      </c>
      <c r="D10" s="12">
        <v>0</v>
      </c>
      <c r="E10" s="19">
        <v>0</v>
      </c>
      <c r="F10" s="14">
        <f t="shared" si="0"/>
        <v>0</v>
      </c>
      <c r="G10" s="15" t="s">
        <v>11</v>
      </c>
      <c r="H10" s="11">
        <v>0</v>
      </c>
      <c r="I10" s="34">
        <v>0</v>
      </c>
    </row>
    <row r="11" spans="1:10" ht="30" customHeight="1" x14ac:dyDescent="0.3">
      <c r="A11" s="9">
        <v>7</v>
      </c>
      <c r="B11" s="18" t="s">
        <v>18</v>
      </c>
      <c r="C11" s="11">
        <v>0</v>
      </c>
      <c r="D11" s="12">
        <v>0</v>
      </c>
      <c r="E11" s="19">
        <v>0</v>
      </c>
      <c r="F11" s="14">
        <f t="shared" si="0"/>
        <v>0</v>
      </c>
      <c r="G11" s="15" t="s">
        <v>11</v>
      </c>
      <c r="H11" s="11">
        <v>0</v>
      </c>
      <c r="I11" s="34">
        <v>0</v>
      </c>
    </row>
    <row r="12" spans="1:10" ht="30" customHeight="1" x14ac:dyDescent="0.3">
      <c r="A12" s="9">
        <v>8</v>
      </c>
      <c r="B12" s="18" t="s">
        <v>19</v>
      </c>
      <c r="C12" s="11">
        <v>0</v>
      </c>
      <c r="D12" s="12">
        <v>0</v>
      </c>
      <c r="E12" s="19">
        <v>0</v>
      </c>
      <c r="F12" s="14">
        <f t="shared" si="0"/>
        <v>0</v>
      </c>
      <c r="G12" s="15" t="s">
        <v>11</v>
      </c>
      <c r="H12" s="11">
        <v>0</v>
      </c>
      <c r="I12" s="34">
        <v>0</v>
      </c>
    </row>
    <row r="13" spans="1:10" ht="30" customHeight="1" x14ac:dyDescent="0.3">
      <c r="A13" s="20">
        <v>9</v>
      </c>
      <c r="B13" s="21" t="s">
        <v>20</v>
      </c>
      <c r="C13" s="22">
        <v>0</v>
      </c>
      <c r="D13" s="23">
        <v>0</v>
      </c>
      <c r="E13" s="24">
        <v>0</v>
      </c>
      <c r="F13" s="25">
        <f t="shared" si="0"/>
        <v>0</v>
      </c>
      <c r="G13" s="26" t="s">
        <v>11</v>
      </c>
      <c r="H13" s="22">
        <v>0</v>
      </c>
      <c r="I13" s="37">
        <v>0</v>
      </c>
    </row>
    <row r="14" spans="1:10" ht="25.5" customHeight="1" x14ac:dyDescent="0.3">
      <c r="A14" s="27"/>
      <c r="B14" s="28"/>
      <c r="C14" s="29"/>
      <c r="D14" s="30"/>
      <c r="E14" s="31"/>
      <c r="F14" s="30"/>
      <c r="G14" s="41" t="s">
        <v>21</v>
      </c>
      <c r="H14" s="41"/>
      <c r="I14" s="41"/>
    </row>
    <row r="15" spans="1:10" ht="23.25" customHeight="1" x14ac:dyDescent="0.3">
      <c r="A15" s="48" t="s">
        <v>22</v>
      </c>
      <c r="B15" s="49"/>
      <c r="C15" s="49"/>
      <c r="D15" s="49"/>
      <c r="E15" s="49"/>
      <c r="F15" s="49"/>
      <c r="G15" s="49"/>
      <c r="H15" s="49"/>
      <c r="I15" s="49"/>
    </row>
    <row r="16" spans="1:10" ht="11.15" customHeight="1" x14ac:dyDescent="0.3">
      <c r="A16" s="49"/>
      <c r="B16" s="49"/>
      <c r="C16" s="49"/>
      <c r="D16" s="49"/>
      <c r="E16" s="49"/>
      <c r="F16" s="49"/>
      <c r="G16" s="49"/>
      <c r="H16" s="49"/>
      <c r="I16" s="49"/>
    </row>
  </sheetData>
  <mergeCells count="9">
    <mergeCell ref="A15:I16"/>
    <mergeCell ref="A1:I1"/>
    <mergeCell ref="C2:D2"/>
    <mergeCell ref="E2:F2"/>
    <mergeCell ref="H2:I2"/>
    <mergeCell ref="G14:I14"/>
    <mergeCell ref="A2:A3"/>
    <mergeCell ref="B2:B3"/>
    <mergeCell ref="G2:G3"/>
  </mergeCells>
  <phoneticPr fontId="10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2022-04-15T15:18:26Z</cp:lastPrinted>
  <dcterms:created xsi:type="dcterms:W3CDTF">2022-04-06T21:31:00Z</dcterms:created>
  <dcterms:modified xsi:type="dcterms:W3CDTF">2025-03-30T13:23:24Z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0DA9F5A54E3240E78BA84C5CFB2139D6</vt:lpwstr>
  </property>
  <property fmtid="{D5CDD505-2E9C-101B-9397-08002B2CF9AE}" pid="3" name="KSOProductBuildVer">
    <vt:lpwstr>2052-11.1.0.11372</vt:lpwstr>
  </property>
</Properties>
</file>