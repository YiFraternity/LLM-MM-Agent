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6日\"/>
    </mc:Choice>
  </mc:AlternateContent>
  <xr:revisionPtr revIDLastSave="0" documentId="8_{DAB57DB0-C41E-4CE0-B3F1-829A345F988C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14" i="3"/>
  <c r="F4" i="3" s="1"/>
  <c r="F15" i="3"/>
  <c r="F16" i="3"/>
  <c r="F17" i="3"/>
  <c r="F18" i="3"/>
  <c r="F19" i="3"/>
  <c r="F20" i="3"/>
  <c r="F21" i="3"/>
  <c r="F22" i="3"/>
  <c r="F23" i="3"/>
  <c r="F24" i="3"/>
</calcChain>
</file>

<file path=xl/sharedStrings.xml><?xml version="1.0" encoding="utf-8"?>
<sst xmlns="http://schemas.openxmlformats.org/spreadsheetml/2006/main" count="56" uniqueCount="38">
  <si>
    <t>4月16日蔬菜包（箱）发放表</t>
  </si>
  <si>
    <t>序号</t>
  </si>
  <si>
    <t>城区、开发区</t>
  </si>
  <si>
    <r>
      <t>4月14</t>
    </r>
    <r>
      <rPr>
        <b/>
        <sz val="11"/>
        <rFont val="宋体"/>
        <charset val="134"/>
      </rPr>
      <t>日提报需求量</t>
    </r>
  </si>
  <si>
    <t>4月16日计划发放量</t>
  </si>
  <si>
    <t>备注</t>
  </si>
  <si>
    <r>
      <t>4月15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</si>
  <si>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</si>
  <si>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</si>
  <si>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</si>
  <si>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</si>
  <si>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</si>
  <si>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</si>
  <si>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</si>
  <si>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无需求，财政包保也无需求。</t>
  </si>
  <si>
    <t>二道</t>
  </si>
  <si>
    <t>库存已满，无疫小区很多超市复工，无法接收。15日、16日不要货。</t>
  </si>
  <si>
    <t>绿园</t>
  </si>
  <si>
    <t>新区</t>
  </si>
  <si>
    <t>省内市州供应。</t>
  </si>
  <si>
    <t>经开</t>
  </si>
  <si>
    <t>净月</t>
  </si>
  <si>
    <t>汽开</t>
  </si>
  <si>
    <t>省内市州供应。16日不要，17日暂时不需要（辽源支援20000箱，陆续到货）。</t>
  </si>
  <si>
    <t>东北师范大学</t>
  </si>
  <si>
    <t>免费赠予，清理库存</t>
  </si>
  <si>
    <t>长春医学高等专科学校</t>
  </si>
  <si>
    <t>长春汽车工业高等专科学校</t>
  </si>
  <si>
    <t>长春职业技术学院</t>
  </si>
  <si>
    <t>绿园区成涛绿锦国际（团体）</t>
  </si>
  <si>
    <t>长春师范高等专科学校</t>
  </si>
  <si>
    <t>长春市城建工程学校</t>
  </si>
  <si>
    <t>长春职业技术学校</t>
  </si>
  <si>
    <t>长春市机械工业学校</t>
  </si>
  <si>
    <t>长春市第一中等专业学校</t>
  </si>
  <si>
    <t>长春市第二中等专业学校</t>
  </si>
  <si>
    <t>制订计划时间：4月16日17时</t>
  </si>
  <si>
    <t xml:space="preserve">    注：16日到货6187箱55.68吨（进入库存），发放给各区的0箱0吨，发放给学校和团体的36202箱325.82吨（从即将变质或部分轻微变质的库存蔬菜中调出），截止16日库存33173箱298.56吨（其中，公主岭库存10185箱91.67吨，双阳库存22988箱206.89吨）。考虑库存蔬菜破损及腐烂情况，不定期清理库存，免费赠予有需求的学校、医院、复工企业、特殊团体等单位。腐烂变质严重的蔬菜，无法食用，建议由属地对其进行销毁处理，并按财政部门要求进行核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</si>
</sst>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9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11"/>
      <name val="等线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6" fontId="4" fillId="3" borderId="4" xfId="0" applyNumberFormat="1" applyFont="1" applyFill="1" applyBorder="1" applyAlignment="1">
      <alignment horizontal="right" vertical="center" indent="1"/>
    </xf>
    <xf numFmtId="177" fontId="4" fillId="3" borderId="4" xfId="0" applyNumberFormat="1" applyFont="1" applyFill="1" applyBorder="1" applyAlignment="1">
      <alignment horizontal="right" vertical="center" indent="1"/>
    </xf>
    <xf numFmtId="0" fontId="4" fillId="3" borderId="4" xfId="0" applyFont="1" applyFill="1" applyBorder="1">
      <alignment vertical="center"/>
    </xf>
    <xf numFmtId="179" fontId="4" fillId="5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right" vertical="center" indent="1"/>
    </xf>
    <xf numFmtId="178" fontId="4" fillId="4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left" vertical="center" wrapText="1"/>
    </xf>
    <xf numFmtId="176" fontId="5" fillId="0" borderId="4" xfId="0" applyNumberFormat="1" applyFont="1" applyFill="1" applyBorder="1" applyAlignment="1">
      <alignment horizontal="right" vertical="center" indent="1"/>
    </xf>
    <xf numFmtId="176" fontId="4" fillId="4" borderId="4" xfId="0" applyNumberFormat="1" applyFont="1" applyFill="1" applyBorder="1" applyAlignment="1">
      <alignment horizontal="right" vertical="center" indent="1"/>
    </xf>
    <xf numFmtId="176" fontId="4" fillId="0" borderId="4" xfId="0" applyNumberFormat="1" applyFont="1" applyFill="1" applyBorder="1" applyAlignment="1">
      <alignment horizontal="right" vertical="center" indent="1"/>
    </xf>
    <xf numFmtId="176" fontId="0" fillId="4" borderId="4" xfId="0" applyNumberFormat="1" applyFont="1" applyFill="1" applyBorder="1" applyAlignment="1">
      <alignment horizontal="right" vertical="center" indent="1"/>
    </xf>
    <xf numFmtId="178" fontId="0" fillId="4" borderId="4" xfId="0" applyNumberFormat="1" applyFont="1" applyFill="1" applyBorder="1" applyAlignment="1">
      <alignment horizontal="right" vertical="center" indent="1"/>
    </xf>
    <xf numFmtId="176" fontId="0" fillId="0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right" vertical="center" wrapText="1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4" fillId="4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right" vertical="center" indent="1"/>
    </xf>
    <xf numFmtId="177" fontId="0" fillId="0" borderId="0" xfId="0" applyNumberFormat="1">
      <alignment vertical="center"/>
    </xf>
    <xf numFmtId="49" fontId="3" fillId="2" borderId="8" xfId="0" applyNumberFormat="1" applyFont="1" applyFill="1" applyBorder="1" applyAlignment="1">
      <alignment horizontal="center" vertical="center"/>
    </xf>
    <xf numFmtId="178" fontId="4" fillId="5" borderId="8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center" vertical="center"/>
    </xf>
    <xf numFmtId="178" fontId="0" fillId="0" borderId="8" xfId="0" applyNumberFormat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0" xfId="0" applyNumberFormat="1" applyFont="1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SheetLayoutView="100" workbookViewId="0">
      <selection activeCell="H23" sqref="H23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9" ht="27" customHeight="1" x14ac:dyDescent="0.3">
      <c r="A2" s="53" t="s">
        <v>1</v>
      </c>
      <c r="B2" s="55" t="s">
        <v>2</v>
      </c>
      <c r="C2" s="50" t="s">
        <v>3</v>
      </c>
      <c r="D2" s="50"/>
      <c r="E2" s="50" t="s">
        <v>4</v>
      </c>
      <c r="F2" s="50"/>
      <c r="G2" s="57" t="s">
        <v>5</v>
      </c>
      <c r="H2" s="50" t="s">
        <v>6</v>
      </c>
      <c r="I2" s="51"/>
    </row>
    <row r="3" spans="1:9" ht="27" customHeight="1" x14ac:dyDescent="0.3">
      <c r="A3" s="54"/>
      <c r="B3" s="56"/>
      <c r="C3" s="1" t="s">
        <v>7</v>
      </c>
      <c r="D3" s="1" t="s">
        <v>8</v>
      </c>
      <c r="E3" s="1" t="s">
        <v>7</v>
      </c>
      <c r="F3" s="1" t="s">
        <v>8</v>
      </c>
      <c r="G3" s="58"/>
      <c r="H3" s="1" t="s">
        <v>7</v>
      </c>
      <c r="I3" s="44" t="s">
        <v>8</v>
      </c>
    </row>
    <row r="4" spans="1:9" ht="33" customHeight="1" x14ac:dyDescent="0.3">
      <c r="A4" s="2"/>
      <c r="B4" s="3" t="s">
        <v>9</v>
      </c>
      <c r="C4" s="4">
        <f>SUM(C5:C13)</f>
        <v>35000</v>
      </c>
      <c r="D4" s="5">
        <f>SUM(D5:D13)</f>
        <v>315</v>
      </c>
      <c r="E4" s="24">
        <f>SUM(E5:E24)</f>
        <v>36202</v>
      </c>
      <c r="F4" s="25">
        <f>SUM(F5:F24)</f>
        <v>325.8180000000001</v>
      </c>
      <c r="G4" s="26"/>
      <c r="H4" s="27">
        <f>SUM(H5:H13)</f>
        <v>20000</v>
      </c>
      <c r="I4" s="45">
        <f>SUM(I5:I13)</f>
        <v>0</v>
      </c>
    </row>
    <row r="5" spans="1:9" ht="30" customHeight="1" x14ac:dyDescent="0.3">
      <c r="A5" s="6">
        <v>1</v>
      </c>
      <c r="B5" s="7" t="s">
        <v>10</v>
      </c>
      <c r="C5" s="8">
        <v>0</v>
      </c>
      <c r="D5" s="9">
        <v>0</v>
      </c>
      <c r="E5" s="28">
        <v>0</v>
      </c>
      <c r="F5" s="29">
        <v>0</v>
      </c>
      <c r="G5" s="30" t="s">
        <v>11</v>
      </c>
      <c r="H5" s="31">
        <v>0</v>
      </c>
      <c r="I5" s="46">
        <v>0</v>
      </c>
    </row>
    <row r="6" spans="1:9" ht="30" customHeight="1" x14ac:dyDescent="0.3">
      <c r="A6" s="6">
        <v>2</v>
      </c>
      <c r="B6" s="7" t="s">
        <v>12</v>
      </c>
      <c r="C6" s="10">
        <v>0</v>
      </c>
      <c r="D6" s="9">
        <v>0</v>
      </c>
      <c r="E6" s="32">
        <v>0</v>
      </c>
      <c r="F6" s="29">
        <v>0</v>
      </c>
      <c r="G6" s="30" t="s">
        <v>11</v>
      </c>
      <c r="H6" s="33">
        <v>0</v>
      </c>
      <c r="I6" s="46">
        <v>0</v>
      </c>
    </row>
    <row r="7" spans="1:9" ht="36.75" customHeight="1" x14ac:dyDescent="0.3">
      <c r="A7" s="6">
        <v>3</v>
      </c>
      <c r="B7" s="7" t="s">
        <v>13</v>
      </c>
      <c r="C7" s="10">
        <v>0</v>
      </c>
      <c r="D7" s="9">
        <v>0</v>
      </c>
      <c r="E7" s="32">
        <v>0</v>
      </c>
      <c r="F7" s="29">
        <v>0</v>
      </c>
      <c r="G7" s="30" t="s">
        <v>14</v>
      </c>
      <c r="H7" s="33">
        <v>0</v>
      </c>
      <c r="I7" s="46">
        <v>0</v>
      </c>
    </row>
    <row r="8" spans="1:9" ht="48" customHeight="1" x14ac:dyDescent="0.3">
      <c r="A8" s="6">
        <v>4</v>
      </c>
      <c r="B8" s="7" t="s">
        <v>15</v>
      </c>
      <c r="C8" s="11">
        <v>5000</v>
      </c>
      <c r="D8" s="12">
        <v>45</v>
      </c>
      <c r="E8" s="34">
        <v>0</v>
      </c>
      <c r="F8" s="35">
        <v>0</v>
      </c>
      <c r="G8" s="30" t="s">
        <v>16</v>
      </c>
      <c r="H8" s="36">
        <v>0</v>
      </c>
      <c r="I8" s="47">
        <v>0</v>
      </c>
    </row>
    <row r="9" spans="1:9" ht="30" customHeight="1" x14ac:dyDescent="0.3">
      <c r="A9" s="6">
        <v>5</v>
      </c>
      <c r="B9" s="13" t="s">
        <v>17</v>
      </c>
      <c r="C9" s="10">
        <v>0</v>
      </c>
      <c r="D9" s="9">
        <v>0</v>
      </c>
      <c r="E9" s="32">
        <v>0</v>
      </c>
      <c r="F9" s="29">
        <v>0</v>
      </c>
      <c r="G9" s="30" t="s">
        <v>11</v>
      </c>
      <c r="H9" s="33">
        <v>0</v>
      </c>
      <c r="I9" s="46">
        <v>0</v>
      </c>
    </row>
    <row r="10" spans="1:9" ht="30" customHeight="1" x14ac:dyDescent="0.3">
      <c r="A10" s="6">
        <v>6</v>
      </c>
      <c r="B10" s="13" t="s">
        <v>18</v>
      </c>
      <c r="C10" s="11">
        <v>5000</v>
      </c>
      <c r="D10" s="9">
        <v>45</v>
      </c>
      <c r="E10" s="34">
        <v>0</v>
      </c>
      <c r="F10" s="29">
        <v>0</v>
      </c>
      <c r="G10" s="30" t="s">
        <v>19</v>
      </c>
      <c r="H10" s="36">
        <v>0</v>
      </c>
      <c r="I10" s="46">
        <v>0</v>
      </c>
    </row>
    <row r="11" spans="1:9" ht="30" customHeight="1" x14ac:dyDescent="0.3">
      <c r="A11" s="6">
        <v>7</v>
      </c>
      <c r="B11" s="13" t="s">
        <v>20</v>
      </c>
      <c r="C11" s="14">
        <v>20000</v>
      </c>
      <c r="D11" s="9">
        <v>180</v>
      </c>
      <c r="E11" s="34">
        <v>0</v>
      </c>
      <c r="F11" s="29">
        <v>0</v>
      </c>
      <c r="G11" s="30" t="s">
        <v>19</v>
      </c>
      <c r="H11" s="37">
        <v>20000</v>
      </c>
      <c r="I11" s="46">
        <v>0</v>
      </c>
    </row>
    <row r="12" spans="1:9" ht="30" customHeight="1" x14ac:dyDescent="0.3">
      <c r="A12" s="6">
        <v>8</v>
      </c>
      <c r="B12" s="13" t="s">
        <v>21</v>
      </c>
      <c r="C12" s="15">
        <v>0</v>
      </c>
      <c r="D12" s="9">
        <v>0</v>
      </c>
      <c r="E12" s="34">
        <v>0</v>
      </c>
      <c r="F12" s="29">
        <v>0</v>
      </c>
      <c r="G12" s="30" t="s">
        <v>11</v>
      </c>
      <c r="H12" s="38">
        <v>0</v>
      </c>
      <c r="I12" s="46">
        <v>0</v>
      </c>
    </row>
    <row r="13" spans="1:9" ht="59.25" customHeight="1" x14ac:dyDescent="0.3">
      <c r="A13" s="6">
        <v>9</v>
      </c>
      <c r="B13" s="13" t="s">
        <v>22</v>
      </c>
      <c r="C13" s="14">
        <v>5000</v>
      </c>
      <c r="D13" s="9">
        <v>45</v>
      </c>
      <c r="E13" s="34">
        <v>0</v>
      </c>
      <c r="F13" s="29">
        <v>0</v>
      </c>
      <c r="G13" s="30" t="s">
        <v>23</v>
      </c>
      <c r="H13" s="37">
        <v>0</v>
      </c>
      <c r="I13" s="46">
        <v>0</v>
      </c>
    </row>
    <row r="14" spans="1:9" ht="30" customHeight="1" x14ac:dyDescent="0.3">
      <c r="A14" s="6">
        <v>10</v>
      </c>
      <c r="B14" s="13" t="s">
        <v>24</v>
      </c>
      <c r="C14" s="14"/>
      <c r="D14" s="9"/>
      <c r="E14" s="34">
        <v>5400</v>
      </c>
      <c r="F14" s="29">
        <f t="shared" ref="F14:F24" si="0">E14*18/2000</f>
        <v>48.6</v>
      </c>
      <c r="G14" s="30" t="s">
        <v>25</v>
      </c>
      <c r="H14" s="37"/>
      <c r="I14" s="46"/>
    </row>
    <row r="15" spans="1:9" ht="30" customHeight="1" x14ac:dyDescent="0.3">
      <c r="A15" s="6">
        <v>11</v>
      </c>
      <c r="B15" s="13" t="s">
        <v>26</v>
      </c>
      <c r="C15" s="14"/>
      <c r="D15" s="9"/>
      <c r="E15" s="34">
        <v>1200</v>
      </c>
      <c r="F15" s="29">
        <f t="shared" si="0"/>
        <v>10.8</v>
      </c>
      <c r="G15" s="30" t="s">
        <v>25</v>
      </c>
      <c r="H15" s="37"/>
      <c r="I15" s="46"/>
    </row>
    <row r="16" spans="1:9" ht="30" customHeight="1" x14ac:dyDescent="0.3">
      <c r="A16" s="6">
        <v>12</v>
      </c>
      <c r="B16" s="13" t="s">
        <v>27</v>
      </c>
      <c r="C16" s="14"/>
      <c r="D16" s="9"/>
      <c r="E16" s="34">
        <v>600</v>
      </c>
      <c r="F16" s="29">
        <f t="shared" si="0"/>
        <v>5.4</v>
      </c>
      <c r="G16" s="30" t="s">
        <v>25</v>
      </c>
      <c r="H16" s="37"/>
      <c r="I16" s="46"/>
    </row>
    <row r="17" spans="1:9" ht="30" customHeight="1" x14ac:dyDescent="0.3">
      <c r="A17" s="6">
        <v>13</v>
      </c>
      <c r="B17" s="13" t="s">
        <v>28</v>
      </c>
      <c r="C17" s="14"/>
      <c r="D17" s="9"/>
      <c r="E17" s="34">
        <v>16735</v>
      </c>
      <c r="F17" s="29">
        <f t="shared" si="0"/>
        <v>150.61500000000001</v>
      </c>
      <c r="G17" s="30" t="s">
        <v>25</v>
      </c>
      <c r="H17" s="37"/>
      <c r="I17" s="46"/>
    </row>
    <row r="18" spans="1:9" ht="30" customHeight="1" x14ac:dyDescent="0.3">
      <c r="A18" s="6">
        <v>14</v>
      </c>
      <c r="B18" s="13" t="s">
        <v>29</v>
      </c>
      <c r="C18" s="14"/>
      <c r="D18" s="9"/>
      <c r="E18" s="34">
        <v>1957</v>
      </c>
      <c r="F18" s="29">
        <f t="shared" si="0"/>
        <v>17.613</v>
      </c>
      <c r="G18" s="30" t="s">
        <v>25</v>
      </c>
      <c r="H18" s="37"/>
      <c r="I18" s="46"/>
    </row>
    <row r="19" spans="1:9" ht="30" customHeight="1" x14ac:dyDescent="0.3">
      <c r="A19" s="6">
        <v>15</v>
      </c>
      <c r="B19" s="13" t="s">
        <v>30</v>
      </c>
      <c r="C19" s="14"/>
      <c r="D19" s="9"/>
      <c r="E19" s="34">
        <v>2346</v>
      </c>
      <c r="F19" s="29">
        <f t="shared" si="0"/>
        <v>21.114000000000001</v>
      </c>
      <c r="G19" s="30" t="s">
        <v>25</v>
      </c>
      <c r="H19" s="37"/>
      <c r="I19" s="46"/>
    </row>
    <row r="20" spans="1:9" ht="30" customHeight="1" x14ac:dyDescent="0.3">
      <c r="A20" s="6">
        <v>16</v>
      </c>
      <c r="B20" s="13" t="s">
        <v>31</v>
      </c>
      <c r="C20" s="14"/>
      <c r="D20" s="9"/>
      <c r="E20" s="34">
        <v>2078</v>
      </c>
      <c r="F20" s="29">
        <f t="shared" si="0"/>
        <v>18.702000000000002</v>
      </c>
      <c r="G20" s="30" t="s">
        <v>25</v>
      </c>
      <c r="H20" s="37"/>
      <c r="I20" s="46"/>
    </row>
    <row r="21" spans="1:9" ht="30" customHeight="1" x14ac:dyDescent="0.3">
      <c r="A21" s="6">
        <v>17</v>
      </c>
      <c r="B21" s="13" t="s">
        <v>32</v>
      </c>
      <c r="C21" s="14"/>
      <c r="D21" s="9"/>
      <c r="E21" s="34">
        <v>2115</v>
      </c>
      <c r="F21" s="29">
        <f t="shared" si="0"/>
        <v>19.035</v>
      </c>
      <c r="G21" s="30" t="s">
        <v>25</v>
      </c>
      <c r="H21" s="37"/>
      <c r="I21" s="46"/>
    </row>
    <row r="22" spans="1:9" ht="30" customHeight="1" x14ac:dyDescent="0.3">
      <c r="A22" s="6">
        <v>18</v>
      </c>
      <c r="B22" s="13" t="s">
        <v>33</v>
      </c>
      <c r="C22" s="14"/>
      <c r="D22" s="9"/>
      <c r="E22" s="34">
        <v>2254</v>
      </c>
      <c r="F22" s="29">
        <f t="shared" si="0"/>
        <v>20.286000000000001</v>
      </c>
      <c r="G22" s="30" t="s">
        <v>25</v>
      </c>
      <c r="H22" s="37"/>
      <c r="I22" s="46"/>
    </row>
    <row r="23" spans="1:9" ht="30" customHeight="1" x14ac:dyDescent="0.3">
      <c r="A23" s="6">
        <v>19</v>
      </c>
      <c r="B23" s="13" t="s">
        <v>34</v>
      </c>
      <c r="C23" s="14"/>
      <c r="D23" s="9"/>
      <c r="E23" s="34">
        <v>117</v>
      </c>
      <c r="F23" s="29">
        <f t="shared" si="0"/>
        <v>1.0529999999999999</v>
      </c>
      <c r="G23" s="30" t="s">
        <v>25</v>
      </c>
      <c r="H23" s="37"/>
      <c r="I23" s="46"/>
    </row>
    <row r="24" spans="1:9" ht="30" customHeight="1" x14ac:dyDescent="0.3">
      <c r="A24" s="16">
        <v>20</v>
      </c>
      <c r="B24" s="17" t="s">
        <v>35</v>
      </c>
      <c r="C24" s="18"/>
      <c r="D24" s="19"/>
      <c r="E24" s="39">
        <v>1400</v>
      </c>
      <c r="F24" s="40">
        <f t="shared" si="0"/>
        <v>12.6</v>
      </c>
      <c r="G24" s="41" t="s">
        <v>25</v>
      </c>
      <c r="H24" s="42"/>
      <c r="I24" s="48"/>
    </row>
    <row r="25" spans="1:9" ht="30" customHeight="1" x14ac:dyDescent="0.3">
      <c r="A25" s="20"/>
      <c r="B25" s="21"/>
      <c r="C25" s="22"/>
      <c r="D25" s="23"/>
      <c r="E25" s="22"/>
      <c r="F25" s="43"/>
      <c r="G25" s="52" t="s">
        <v>36</v>
      </c>
      <c r="H25" s="52"/>
      <c r="I25" s="52"/>
    </row>
    <row r="26" spans="1:9" x14ac:dyDescent="0.3">
      <c r="A26" s="59" t="s">
        <v>37</v>
      </c>
      <c r="B26" s="60"/>
      <c r="C26" s="60"/>
      <c r="D26" s="60"/>
      <c r="E26" s="60"/>
      <c r="F26" s="60"/>
      <c r="G26" s="60"/>
      <c r="H26" s="60"/>
      <c r="I26" s="60"/>
    </row>
    <row r="27" spans="1:9" ht="20.25" customHeight="1" x14ac:dyDescent="0.3">
      <c r="A27" s="60"/>
      <c r="B27" s="60"/>
      <c r="C27" s="60"/>
      <c r="D27" s="60"/>
      <c r="E27" s="60"/>
      <c r="F27" s="60"/>
      <c r="G27" s="60"/>
      <c r="H27" s="60"/>
      <c r="I27" s="60"/>
    </row>
    <row r="28" spans="1:9" ht="21" customHeight="1" x14ac:dyDescent="0.3">
      <c r="A28" s="60"/>
      <c r="B28" s="60"/>
      <c r="C28" s="60"/>
      <c r="D28" s="60"/>
      <c r="E28" s="60"/>
      <c r="F28" s="60"/>
      <c r="G28" s="60"/>
      <c r="H28" s="60"/>
      <c r="I28" s="60"/>
    </row>
  </sheetData>
  <mergeCells count="9">
    <mergeCell ref="A26:I28"/>
    <mergeCell ref="A1:I1"/>
    <mergeCell ref="C2:D2"/>
    <mergeCell ref="E2:F2"/>
    <mergeCell ref="H2:I2"/>
    <mergeCell ref="G25:I25"/>
    <mergeCell ref="A2:A3"/>
    <mergeCell ref="B2:B3"/>
    <mergeCell ref="G2:G3"/>
  </mergeCells>
  <phoneticPr fontId="8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F96A2DCD627E4703ADF65E5B3ABF4A4D</vt:lpwstr>
  </property>
  <property fmtid="{D5CDD505-2E9C-101B-9397-08002B2CF9AE}" pid="3" name="KSOProductBuildVer">
    <vt:lpwstr>2052-11.8.2.9864</vt:lpwstr>
  </property>
</Properties>
</file>