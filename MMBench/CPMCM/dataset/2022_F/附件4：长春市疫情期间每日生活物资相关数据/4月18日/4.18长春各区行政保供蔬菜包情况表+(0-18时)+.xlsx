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8日\"/>
    </mc:Choice>
  </mc:AlternateContent>
  <xr:revisionPtr revIDLastSave="0" documentId="8_{A37B3633-F453-43EE-9D1E-CE2778A161A8}" xr6:coauthVersionLast="36" xr6:coauthVersionMax="36" xr10:uidLastSave="{00000000-0000-0000-0000-000000000000}"/>
  <bookViews>
    <workbookView xWindow="32769" yWindow="32769" windowWidth="28800" windowHeight="12317"/>
  </bookViews>
  <sheets>
    <sheet name="4.17" sheetId="6" r:id="rId1"/>
  </sheets>
  <definedNames>
    <definedName name="_xlnm.Print_Area" localSheetId="0">'4.17'!$A$1:$S$21</definedName>
    <definedName name="_xlnm.Print_Titles" localSheetId="0">'4.17'!$1:$6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P20" i="6" s="1"/>
  <c r="Q8" i="6"/>
  <c r="Q20" i="6" s="1"/>
  <c r="R8" i="6"/>
  <c r="R20" i="6" s="1"/>
  <c r="S8" i="6"/>
  <c r="S20" i="6" s="1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</calcChain>
</file>

<file path=xl/sharedStrings.xml><?xml version="1.0" encoding="utf-8"?>
<sst xmlns="http://schemas.openxmlformats.org/spreadsheetml/2006/main" count="54" uniqueCount="35">
  <si>
    <t>4月18日长春各区行政保供蔬菜包情况表</t>
  </si>
  <si>
    <t>统计时间段：18日0-18时</t>
  </si>
  <si>
    <t>上报时间：4月18日18时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</si>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</sst>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9" activePane="bottomLeft" state="frozen"/>
      <selection pane="bottomLeft" activeCell="L20" sqref="L20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10244</v>
      </c>
      <c r="M7" s="30">
        <v>102.4</v>
      </c>
      <c r="N7" s="7">
        <v>10244</v>
      </c>
      <c r="O7" s="30">
        <v>102.4</v>
      </c>
      <c r="P7" s="6">
        <f t="shared" ref="P7:S9" si="0">H7+D7+L7</f>
        <v>10244</v>
      </c>
      <c r="Q7" s="22">
        <f t="shared" si="0"/>
        <v>102.4</v>
      </c>
      <c r="R7" s="36">
        <f t="shared" si="0"/>
        <v>10244</v>
      </c>
      <c r="S7" s="22">
        <f t="shared" si="0"/>
        <v>102.4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2000</v>
      </c>
      <c r="M8" s="30">
        <v>20</v>
      </c>
      <c r="N8" s="7">
        <v>2000</v>
      </c>
      <c r="O8" s="30">
        <v>20</v>
      </c>
      <c r="P8" s="6">
        <f t="shared" si="0"/>
        <v>2000</v>
      </c>
      <c r="Q8" s="22">
        <f t="shared" si="0"/>
        <v>20</v>
      </c>
      <c r="R8" s="36">
        <f t="shared" si="0"/>
        <v>2000</v>
      </c>
      <c r="S8" s="22">
        <f t="shared" si="0"/>
        <v>20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1900</v>
      </c>
      <c r="M9" s="30">
        <v>19</v>
      </c>
      <c r="N9" s="7">
        <v>500</v>
      </c>
      <c r="O9" s="30">
        <v>5</v>
      </c>
      <c r="P9" s="6">
        <f t="shared" si="0"/>
        <v>1900</v>
      </c>
      <c r="Q9" s="22">
        <f t="shared" si="0"/>
        <v>19</v>
      </c>
      <c r="R9" s="36">
        <f t="shared" si="0"/>
        <v>500</v>
      </c>
      <c r="S9" s="22">
        <f t="shared" si="0"/>
        <v>5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1097</v>
      </c>
      <c r="G10" s="21">
        <v>10.97</v>
      </c>
      <c r="H10" s="11">
        <v>6323</v>
      </c>
      <c r="I10" s="30">
        <v>56.91</v>
      </c>
      <c r="J10" s="11">
        <v>6323</v>
      </c>
      <c r="K10" s="30">
        <v>56.91</v>
      </c>
      <c r="L10" s="10">
        <v>0</v>
      </c>
      <c r="M10" s="30"/>
      <c r="N10" s="10">
        <v>0</v>
      </c>
      <c r="O10" s="30"/>
      <c r="P10" s="9">
        <f>D10+H10+L10</f>
        <v>6323</v>
      </c>
      <c r="Q10" s="9">
        <f>E10+I10+M10</f>
        <v>56.91</v>
      </c>
      <c r="R10" s="9">
        <f>F10+J10+N10</f>
        <v>7420</v>
      </c>
      <c r="S10" s="9">
        <f>G10+K10+O10</f>
        <v>67.88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19224</v>
      </c>
      <c r="M11" s="30">
        <v>113.4</v>
      </c>
      <c r="N11" s="8">
        <v>19224</v>
      </c>
      <c r="O11" s="30">
        <v>113.4</v>
      </c>
      <c r="P11" s="6">
        <f>H11+D11+L11</f>
        <v>19224</v>
      </c>
      <c r="Q11" s="22">
        <f>I11+E11+M11</f>
        <v>113.4</v>
      </c>
      <c r="R11" s="36">
        <f>J11+F11+N11</f>
        <v>19224</v>
      </c>
      <c r="S11" s="22">
        <f>K11+G11+O11</f>
        <v>113.4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/>
      <c r="I12" s="28"/>
      <c r="J12" s="29"/>
      <c r="K12" s="28"/>
      <c r="L12" s="7">
        <v>6854</v>
      </c>
      <c r="M12" s="30">
        <v>55.56</v>
      </c>
      <c r="N12" s="7">
        <v>6854</v>
      </c>
      <c r="O12" s="30">
        <v>55.56</v>
      </c>
      <c r="P12" s="6">
        <f>H12+D12+L12</f>
        <v>6854</v>
      </c>
      <c r="Q12" s="22">
        <f>I12+E12+M12</f>
        <v>55.56</v>
      </c>
      <c r="R12" s="36">
        <f>F12+J12+N12</f>
        <v>6854</v>
      </c>
      <c r="S12" s="22">
        <f>G12+K12+O12</f>
        <v>55.56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/>
      <c r="I14" s="62"/>
      <c r="J14" s="64"/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4960</v>
      </c>
      <c r="S14" s="67">
        <f>G14+G15+K14+O14</f>
        <v>39.68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4960</v>
      </c>
      <c r="G15" s="20">
        <v>39.68</v>
      </c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6057</v>
      </c>
      <c r="G20" s="24">
        <f t="shared" si="2"/>
        <v>50.65</v>
      </c>
      <c r="H20" s="14">
        <f t="shared" si="2"/>
        <v>6323</v>
      </c>
      <c r="I20" s="24">
        <f t="shared" si="2"/>
        <v>56.91</v>
      </c>
      <c r="J20" s="33">
        <f t="shared" si="2"/>
        <v>6323</v>
      </c>
      <c r="K20" s="24">
        <f t="shared" si="2"/>
        <v>56.91</v>
      </c>
      <c r="L20" s="14">
        <f t="shared" si="2"/>
        <v>40222</v>
      </c>
      <c r="M20" s="24">
        <f t="shared" si="2"/>
        <v>310.36</v>
      </c>
      <c r="N20" s="14">
        <f t="shared" si="2"/>
        <v>38822</v>
      </c>
      <c r="O20" s="24">
        <f t="shared" si="2"/>
        <v>296.36</v>
      </c>
      <c r="P20" s="14">
        <f t="shared" si="2"/>
        <v>46545</v>
      </c>
      <c r="Q20" s="24">
        <f t="shared" si="2"/>
        <v>367.27000000000004</v>
      </c>
      <c r="R20" s="14">
        <f t="shared" si="2"/>
        <v>51202</v>
      </c>
      <c r="S20" s="24">
        <f t="shared" si="2"/>
        <v>403.92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4.17</vt:lpstr>
      <vt:lpstr>'4.17'!Print_Area</vt:lpstr>
      <vt:lpstr>'4.17'!Print_Titles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1997-01-16T09:32:42Z</dcterms:created>
  <dcterms:modified xsi:type="dcterms:W3CDTF">2025-03-30T13:19:44Z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