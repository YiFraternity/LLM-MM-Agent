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3日\"/>
    </mc:Choice>
  </mc:AlternateContent>
  <xr:revisionPtr revIDLastSave="0" documentId="8_{FB0644EE-E0F2-43ED-B5F6-D27FBF24D583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40" i="1" l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</calcChain>
</file>

<file path=xl/sharedStrings.xml><?xml version="1.0" encoding="utf-8"?>
<sst xmlns="http://schemas.openxmlformats.org/spreadsheetml/2006/main" count="58" uniqueCount="43">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</sst>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708956079"/>
          <c:y val="3.6588411661111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工作表1!$B$2:$B$39</c:f>
              <c:numCache>
                <c:formatCode>0.00_ </c:formatCode>
                <c:ptCount val="38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  <c:pt idx="34">
                  <c:v>4.9000000000000004</c:v>
                </c:pt>
                <c:pt idx="35">
                  <c:v>5.96</c:v>
                </c:pt>
                <c:pt idx="36">
                  <c:v>5.76</c:v>
                </c:pt>
                <c:pt idx="37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B-4156-8621-1A08F0E0FEE5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工作表1!$C$2:$C$39</c:f>
              <c:numCache>
                <c:formatCode>0.00_ </c:formatCode>
                <c:ptCount val="38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  <c:pt idx="34">
                  <c:v>2.4</c:v>
                </c:pt>
                <c:pt idx="35">
                  <c:v>2.4</c:v>
                </c:pt>
                <c:pt idx="36">
                  <c:v>3.06</c:v>
                </c:pt>
                <c:pt idx="37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B-4156-8621-1A08F0E0FEE5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工作表1!$D$2:$D$39</c:f>
              <c:numCache>
                <c:formatCode>0.00_ 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  <c:pt idx="34">
                  <c:v>6.56</c:v>
                </c:pt>
                <c:pt idx="35">
                  <c:v>6.56</c:v>
                </c:pt>
                <c:pt idx="36">
                  <c:v>5.98</c:v>
                </c:pt>
                <c:pt idx="37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DB-4156-8621-1A08F0E0FEE5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工作表1!$E$2:$E$39</c:f>
              <c:numCache>
                <c:formatCode>0.00_ 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DB-4156-8621-1A08F0E0FEE5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工作表1!$F$2:$F$39</c:f>
              <c:numCache>
                <c:formatCode>0.00_ </c:formatCode>
                <c:ptCount val="38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  <c:pt idx="34">
                  <c:v>10.7</c:v>
                </c:pt>
                <c:pt idx="35">
                  <c:v>10.76</c:v>
                </c:pt>
                <c:pt idx="36">
                  <c:v>9.9600000000000009</c:v>
                </c:pt>
                <c:pt idx="37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DB-4156-8621-1A08F0E0FEE5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工作表1!$G$2:$G$39</c:f>
              <c:numCache>
                <c:formatCode>0.00_ </c:formatCode>
                <c:ptCount val="38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  <c:pt idx="34">
                  <c:v>7.96</c:v>
                </c:pt>
                <c:pt idx="35">
                  <c:v>7.96</c:v>
                </c:pt>
                <c:pt idx="36">
                  <c:v>7.96</c:v>
                </c:pt>
                <c:pt idx="37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DB-4156-8621-1A08F0E0FEE5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工作表1!$H$2:$H$39</c:f>
              <c:numCache>
                <c:formatCode>0.00_ </c:formatCode>
                <c:ptCount val="38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  <c:pt idx="34">
                  <c:v>13</c:v>
                </c:pt>
                <c:pt idx="35">
                  <c:v>13</c:v>
                </c:pt>
                <c:pt idx="36">
                  <c:v>8.76</c:v>
                </c:pt>
                <c:pt idx="3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DB-4156-8621-1A08F0E0FEE5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工作表1!$A$2:$A$39</c:f>
              <c:strCache>
                <c:ptCount val="3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  <c:pt idx="36">
                  <c:v>12日</c:v>
                </c:pt>
                <c:pt idx="37">
                  <c:v>13日</c:v>
                </c:pt>
              </c:strCache>
            </c:strRef>
          </c:cat>
          <c:val>
            <c:numRef>
              <c:f>工作表1!$I$2:$I$39</c:f>
              <c:numCache>
                <c:formatCode>0.00_ </c:formatCode>
                <c:ptCount val="38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  <c:pt idx="34">
                  <c:v>10.52</c:v>
                </c:pt>
                <c:pt idx="35">
                  <c:v>10.52</c:v>
                </c:pt>
                <c:pt idx="36">
                  <c:v>10.52</c:v>
                </c:pt>
                <c:pt idx="37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DB-4156-8621-1A08F0E0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520799"/>
        <c:axId val="1"/>
      </c:lineChart>
      <c:catAx>
        <c:axId val="394520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39452079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349741770908642"/>
          <c:y val="0.9319221202875777"/>
          <c:w val="0.67757460713937734"/>
          <c:h val="4.1082413655368855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103414</xdr:colOff>
      <xdr:row>31</xdr:row>
      <xdr:rowOff>283029</xdr:rowOff>
    </xdr:from>
    <xdr:to>
      <xdr:col>26</xdr:col>
      <xdr:colOff>353786</xdr:colOff>
      <xdr:row>50</xdr:row>
      <xdr:rowOff>92529</xdr:rowOff>
    </xdr:to>
    <xdr:graphicFrame macro="">
      <xdr:nvGraphicFramePr>
        <xdr:cNvPr id="1112" name="图表 2">
          <a:extLst>
            <a:ext uri="{FF2B5EF4-FFF2-40B4-BE49-F238E27FC236}">
              <a16:creationId xmlns:a16="http://schemas.microsoft.com/office/drawing/2014/main" id="{026CBD99-99FE-4297-B235-8491CBD55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abSelected="1" topLeftCell="A32" workbookViewId="0">
      <selection activeCell="C38" sqref="C38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A36" s="6" t="s">
        <v>13</v>
      </c>
      <c r="B36" s="8">
        <v>4.9000000000000004</v>
      </c>
      <c r="C36" s="8">
        <v>2.4</v>
      </c>
      <c r="D36" s="8">
        <v>6.56</v>
      </c>
      <c r="E36" s="8">
        <v>5.8</v>
      </c>
      <c r="F36" s="8">
        <v>10.7</v>
      </c>
      <c r="G36" s="8">
        <v>7.96</v>
      </c>
      <c r="H36" s="8">
        <v>13</v>
      </c>
      <c r="I36" s="8">
        <v>10.52</v>
      </c>
      <c r="J36" s="8"/>
    </row>
    <row r="37" spans="1:10" ht="27.75" customHeight="1">
      <c r="A37" s="6" t="s">
        <v>14</v>
      </c>
      <c r="B37" s="8">
        <v>5.96</v>
      </c>
      <c r="C37" s="8">
        <v>2.4</v>
      </c>
      <c r="D37" s="8">
        <v>6.56</v>
      </c>
      <c r="E37" s="8">
        <v>5.8</v>
      </c>
      <c r="F37" s="8">
        <v>10.76</v>
      </c>
      <c r="G37" s="8">
        <v>7.96</v>
      </c>
      <c r="H37" s="8">
        <v>13</v>
      </c>
      <c r="I37" s="8">
        <v>10.52</v>
      </c>
      <c r="J37" s="8">
        <v>8</v>
      </c>
    </row>
    <row r="38" spans="1:10" ht="27.75" customHeight="1">
      <c r="A38" s="6" t="s">
        <v>15</v>
      </c>
      <c r="B38" s="8">
        <v>5.76</v>
      </c>
      <c r="C38" s="8">
        <v>3.06</v>
      </c>
      <c r="D38" s="8">
        <v>5.98</v>
      </c>
      <c r="E38" s="8">
        <v>5.8</v>
      </c>
      <c r="F38" s="8">
        <v>9.9600000000000009</v>
      </c>
      <c r="G38" s="8">
        <v>7.96</v>
      </c>
      <c r="H38" s="8">
        <v>8.76</v>
      </c>
      <c r="I38" s="8">
        <v>10.52</v>
      </c>
      <c r="J38" s="8"/>
    </row>
    <row r="39" spans="1:10" ht="27.75" customHeight="1">
      <c r="A39" s="6" t="s">
        <v>16</v>
      </c>
      <c r="B39" s="8">
        <v>6.6</v>
      </c>
      <c r="C39" s="8">
        <v>3.06</v>
      </c>
      <c r="D39" s="8">
        <v>3.16</v>
      </c>
      <c r="E39" s="8">
        <v>5.8</v>
      </c>
      <c r="F39" s="8">
        <v>10.199999999999999</v>
      </c>
      <c r="G39" s="8">
        <v>6.56</v>
      </c>
      <c r="H39" s="8">
        <v>9.5</v>
      </c>
      <c r="I39" s="8">
        <v>10.52</v>
      </c>
      <c r="J39" s="8"/>
    </row>
    <row r="40" spans="1:10" ht="27.75" customHeight="1">
      <c r="B40" s="8">
        <f>B39/2</f>
        <v>3.3</v>
      </c>
      <c r="C40" s="8">
        <f t="shared" ref="C40:I40" si="0">C39/2</f>
        <v>1.53</v>
      </c>
      <c r="D40" s="8">
        <f t="shared" si="0"/>
        <v>1.58</v>
      </c>
      <c r="E40" s="8">
        <f t="shared" si="0"/>
        <v>2.9</v>
      </c>
      <c r="F40" s="8">
        <f t="shared" si="0"/>
        <v>5.0999999999999996</v>
      </c>
      <c r="G40" s="8">
        <f t="shared" si="0"/>
        <v>3.28</v>
      </c>
      <c r="H40" s="8">
        <f t="shared" si="0"/>
        <v>4.75</v>
      </c>
      <c r="I40" s="8">
        <f t="shared" si="0"/>
        <v>5.26</v>
      </c>
      <c r="J40" s="8"/>
    </row>
    <row r="41" spans="1:10" ht="19.95" customHeight="1">
      <c r="A41" s="9" t="s">
        <v>41</v>
      </c>
      <c r="B41" s="10">
        <f>B39/B38-1</f>
        <v>0.14583333333333326</v>
      </c>
      <c r="C41" s="10">
        <f t="shared" ref="C41:I41" si="1">C39/C38-1</f>
        <v>0</v>
      </c>
      <c r="D41" s="10">
        <f t="shared" si="1"/>
        <v>-0.47157190635451507</v>
      </c>
      <c r="E41" s="10">
        <f t="shared" si="1"/>
        <v>0</v>
      </c>
      <c r="F41" s="10">
        <f t="shared" si="1"/>
        <v>2.409638554216853E-2</v>
      </c>
      <c r="G41" s="10">
        <f t="shared" si="1"/>
        <v>-0.17587939698492472</v>
      </c>
      <c r="H41" s="10">
        <f t="shared" si="1"/>
        <v>8.4474885844748826E-2</v>
      </c>
      <c r="I41" s="10">
        <f t="shared" si="1"/>
        <v>0</v>
      </c>
      <c r="J41" s="10"/>
    </row>
    <row r="42" spans="1:10" ht="25.2" customHeight="1">
      <c r="A42" s="9" t="s">
        <v>42</v>
      </c>
      <c r="B42" s="10">
        <f>B39/B2-1</f>
        <v>1.0624999999999996</v>
      </c>
      <c r="C42" s="10">
        <f t="shared" ref="C42:I42" si="2">C39/C2-1</f>
        <v>0.7</v>
      </c>
      <c r="D42" s="10">
        <f t="shared" si="2"/>
        <v>0.58000000000000007</v>
      </c>
      <c r="E42" s="10">
        <f t="shared" si="2"/>
        <v>1.9</v>
      </c>
      <c r="F42" s="10">
        <f t="shared" si="2"/>
        <v>-0.12068965517241381</v>
      </c>
      <c r="G42" s="10">
        <f t="shared" si="2"/>
        <v>-8.8888888888889017E-2</v>
      </c>
      <c r="H42" s="10">
        <f t="shared" si="2"/>
        <v>0.43939393939393945</v>
      </c>
      <c r="I42" s="10">
        <f t="shared" si="2"/>
        <v>0.94814814814814796</v>
      </c>
      <c r="J42" s="10"/>
    </row>
    <row r="43" spans="1:10"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