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0416"/>
  <workbookPr showInkAnnotation="0" defaultThemeVersion="166925"/>
  <mc:AlternateContent xmlns:mc="http://schemas.openxmlformats.org/markup-compatibility/2006">
    <mc:Choice Requires="x15">
      <x15ac:absPath xmlns:x15ac="http://schemas.microsoft.com/office/spreadsheetml/2010/11/ac" url="G:\PHD\ShareData\数学建模\xlsx\中国研究生数学建模\2022年研究生数学建模竞赛试题\F\附件3生活物资相关数据\4月30日\"/>
    </mc:Choice>
  </mc:AlternateContent>
  <xr:revisionPtr revIDLastSave="0" documentId="8_{C467DEBF-A06C-4F39-A2EA-8E117DFEEB17}" xr6:coauthVersionLast="36" xr6:coauthVersionMax="36" xr10:uidLastSave="{00000000-0000-0000-0000-000000000000}"/>
  <bookViews>
    <workbookView xWindow="32769" yWindow="32769" windowWidth="28800" windowHeight="12463"/>
  </bookViews>
  <sheets>
    <sheet name="Sheet1" sheetId="1" r:id="rId1"/>
  </sheets>
  <calcPr calcId="191029"/>
</workbook>
</file>

<file path=xl/calcChain.xml><?xml version="1.0" encoding="utf-8"?>
<calcChain xmlns="http://schemas.openxmlformats.org/spreadsheetml/2006/main">
  <c r="E4" i="1" l="1"/>
  <c r="E5" i="1"/>
  <c r="E6" i="1"/>
  <c r="E7" i="1"/>
  <c r="E8" i="1"/>
  <c r="E9" i="1"/>
  <c r="C10" i="1"/>
  <c r="D10" i="1"/>
  <c r="E10" i="1" s="1"/>
  <c r="F10" i="1"/>
</calcChain>
</file>

<file path=xl/sharedStrings.xml><?xml version="1.0" encoding="utf-8"?>
<sst xmlns="http://schemas.openxmlformats.org/spreadsheetml/2006/main" count="15" uniqueCount="15">
  <si>
    <t>附件5</t>
  </si>
  <si>
    <t>重点电商企业复商复市情况统计表</t>
  </si>
  <si>
    <t>序号</t>
  </si>
  <si>
    <t>企业名称</t>
  </si>
  <si>
    <t>总人数</t>
  </si>
  <si>
    <t>在岗人数</t>
  </si>
  <si>
    <t>在岗率</t>
  </si>
  <si>
    <t>订单数</t>
  </si>
  <si>
    <t>京东商城</t>
  </si>
  <si>
    <t>供销社</t>
  </si>
  <si>
    <t>多多买菜</t>
  </si>
  <si>
    <t>吉林省京天科技发展有限公司</t>
  </si>
  <si>
    <t>吉林省吉聚客商贸有限公司</t>
  </si>
  <si>
    <t>美团优选</t>
  </si>
  <si>
    <t>合计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</si>
</sst>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76" formatCode="0_ "/>
  </numFmts>
  <fonts count="8" x14ac:knownFonts="1">
    <font>
      <sz val="11"/>
      <color theme="1"/>
      <name val="等线"/>
      <charset val="134"/>
      <scheme val="minor"/>
    </font>
    <font>
      <sz val="12"/>
      <color theme="1"/>
      <name val="等线"/>
      <charset val="134"/>
      <scheme val="minor"/>
    </font>
    <font>
      <b/>
      <sz val="12"/>
      <color theme="1"/>
      <name val="等线"/>
      <charset val="134"/>
      <scheme val="minor"/>
    </font>
    <font>
      <b/>
      <sz val="20"/>
      <color theme="1"/>
      <name val="等线"/>
      <charset val="134"/>
      <scheme val="minor"/>
    </font>
    <font>
      <sz val="12"/>
      <name val="等线"/>
      <charset val="134"/>
      <scheme val="minor"/>
    </font>
    <font>
      <b/>
      <sz val="12"/>
      <name val="等线"/>
      <charset val="134"/>
      <scheme val="minor"/>
    </font>
    <font>
      <sz val="12"/>
      <color rgb="FF000000"/>
      <name val="等线"/>
      <charset val="134"/>
      <scheme val="minor"/>
    </font>
    <font>
      <sz val="9"/>
      <name val="等线"/>
      <family val="3"/>
      <charset val="134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15">
    <xf numFmtId="0" fontId="0" fillId="0" borderId="0" xfId="0">
      <alignment vertical="center"/>
    </xf>
    <xf numFmtId="0" fontId="1" fillId="0" borderId="0" xfId="0" applyFont="1">
      <alignment vertical="center"/>
    </xf>
    <xf numFmtId="0" fontId="2" fillId="0" borderId="0" xfId="0" applyFont="1">
      <alignment vertical="center"/>
    </xf>
    <xf numFmtId="0" fontId="2" fillId="0" borderId="1" xfId="0" applyFont="1" applyBorder="1" applyAlignment="1">
      <alignment horizontal="center" vertical="center"/>
    </xf>
    <xf numFmtId="0" fontId="4" fillId="2" borderId="1" xfId="0" applyFont="1" applyFill="1" applyBorder="1" applyAlignment="1">
      <alignment horizontal="center" vertical="center" wrapText="1"/>
    </xf>
    <xf numFmtId="176" fontId="4" fillId="0" borderId="1" xfId="0" applyNumberFormat="1" applyFont="1" applyFill="1" applyBorder="1" applyAlignment="1">
      <alignment horizontal="center" vertical="center" wrapText="1"/>
    </xf>
    <xf numFmtId="0" fontId="4" fillId="0" borderId="1" xfId="0" applyFont="1" applyFill="1" applyBorder="1" applyAlignment="1">
      <alignment horizontal="center" vertical="center" wrapText="1"/>
    </xf>
    <xf numFmtId="0" fontId="4" fillId="0" borderId="1" xfId="0" applyNumberFormat="1" applyFont="1" applyFill="1" applyBorder="1" applyAlignment="1">
      <alignment horizontal="center" vertical="center" wrapText="1"/>
    </xf>
    <xf numFmtId="0" fontId="5" fillId="0" borderId="1" xfId="0" applyFont="1" applyFill="1" applyBorder="1" applyAlignment="1">
      <alignment horizontal="center" vertical="center" wrapText="1"/>
    </xf>
    <xf numFmtId="176" fontId="5" fillId="0" borderId="1" xfId="0" applyNumberFormat="1" applyFont="1" applyFill="1" applyBorder="1" applyAlignment="1">
      <alignment horizontal="center" vertical="center" wrapText="1"/>
    </xf>
    <xf numFmtId="9" fontId="4" fillId="0" borderId="1" xfId="0" applyNumberFormat="1" applyFont="1" applyFill="1" applyBorder="1" applyAlignment="1">
      <alignment horizontal="center" vertical="center" wrapText="1"/>
    </xf>
    <xf numFmtId="0" fontId="6" fillId="0" borderId="1" xfId="0" applyFont="1" applyFill="1" applyBorder="1" applyAlignment="1">
      <alignment horizontal="center" vertical="center"/>
    </xf>
    <xf numFmtId="9" fontId="5" fillId="0" borderId="1" xfId="0" applyNumberFormat="1" applyFont="1" applyFill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/>
    </xf>
    <xf numFmtId="0" fontId="3" fillId="0" borderId="0" xfId="0" applyFont="1" applyAlignment="1">
      <alignment horizontal="center"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0"/>
  <sheetViews>
    <sheetView tabSelected="1" view="pageBreakPreview" zoomScale="89" zoomScaleNormal="100" workbookViewId="0">
      <selection activeCell="D13" sqref="D13"/>
    </sheetView>
  </sheetViews>
  <sheetFormatPr defaultColWidth="9" defaultRowHeight="14.15" x14ac:dyDescent="0.35"/>
  <cols>
    <col min="1" max="1" width="6.140625" customWidth="1"/>
    <col min="2" max="2" width="40.7109375" customWidth="1"/>
    <col min="3" max="6" width="10.2109375" customWidth="1"/>
  </cols>
  <sheetData>
    <row r="1" spans="1:6" ht="19" customHeight="1" x14ac:dyDescent="0.35">
      <c r="A1" s="2" t="s">
        <v>0</v>
      </c>
    </row>
    <row r="2" spans="1:6" ht="30" customHeight="1" x14ac:dyDescent="0.35">
      <c r="A2" s="14" t="s">
        <v>1</v>
      </c>
      <c r="B2" s="14"/>
      <c r="C2" s="14"/>
      <c r="D2" s="14"/>
      <c r="E2" s="14"/>
      <c r="F2" s="14"/>
    </row>
    <row r="3" spans="1:6" s="1" customFormat="1" ht="24" customHeight="1" x14ac:dyDescent="0.35">
      <c r="A3" s="3" t="s">
        <v>2</v>
      </c>
      <c r="B3" s="3" t="s">
        <v>3</v>
      </c>
      <c r="C3" s="3" t="s">
        <v>4</v>
      </c>
      <c r="D3" s="3" t="s">
        <v>5</v>
      </c>
      <c r="E3" s="3" t="s">
        <v>6</v>
      </c>
      <c r="F3" s="3" t="s">
        <v>7</v>
      </c>
    </row>
    <row r="4" spans="1:6" s="1" customFormat="1" ht="24" customHeight="1" x14ac:dyDescent="0.35">
      <c r="A4" s="4">
        <v>1</v>
      </c>
      <c r="B4" s="4" t="s">
        <v>8</v>
      </c>
      <c r="C4" s="5">
        <v>807</v>
      </c>
      <c r="D4" s="6">
        <v>1038</v>
      </c>
      <c r="E4" s="10">
        <f t="shared" ref="E4:E10" si="0">D4/C4</f>
        <v>1.2862453531598512</v>
      </c>
      <c r="F4" s="11">
        <v>150000</v>
      </c>
    </row>
    <row r="5" spans="1:6" s="1" customFormat="1" ht="24" customHeight="1" x14ac:dyDescent="0.35">
      <c r="A5" s="6">
        <v>2</v>
      </c>
      <c r="B5" s="6" t="s">
        <v>9</v>
      </c>
      <c r="C5" s="5">
        <v>2244</v>
      </c>
      <c r="D5" s="6">
        <v>1750</v>
      </c>
      <c r="E5" s="10">
        <f t="shared" si="0"/>
        <v>0.77985739750445637</v>
      </c>
      <c r="F5" s="6">
        <v>203520</v>
      </c>
    </row>
    <row r="6" spans="1:6" s="1" customFormat="1" ht="24" customHeight="1" x14ac:dyDescent="0.35">
      <c r="A6" s="4">
        <v>3</v>
      </c>
      <c r="B6" s="6" t="s">
        <v>10</v>
      </c>
      <c r="C6" s="5">
        <v>600</v>
      </c>
      <c r="D6" s="6">
        <v>95</v>
      </c>
      <c r="E6" s="10">
        <f t="shared" si="0"/>
        <v>0.15833333333333333</v>
      </c>
      <c r="F6" s="6">
        <v>30000</v>
      </c>
    </row>
    <row r="7" spans="1:6" s="1" customFormat="1" ht="24" customHeight="1" x14ac:dyDescent="0.35">
      <c r="A7" s="6">
        <v>4</v>
      </c>
      <c r="B7" s="6" t="s">
        <v>11</v>
      </c>
      <c r="C7" s="5">
        <v>60</v>
      </c>
      <c r="D7" s="6">
        <v>54</v>
      </c>
      <c r="E7" s="10">
        <f t="shared" si="0"/>
        <v>0.9</v>
      </c>
      <c r="F7" s="6">
        <v>19690</v>
      </c>
    </row>
    <row r="8" spans="1:6" s="1" customFormat="1" ht="24" customHeight="1" x14ac:dyDescent="0.35">
      <c r="A8" s="4">
        <v>5</v>
      </c>
      <c r="B8" s="6" t="s">
        <v>12</v>
      </c>
      <c r="C8" s="5">
        <v>50</v>
      </c>
      <c r="D8" s="6">
        <v>23</v>
      </c>
      <c r="E8" s="10">
        <f t="shared" si="0"/>
        <v>0.46</v>
      </c>
      <c r="F8" s="6">
        <v>17750</v>
      </c>
    </row>
    <row r="9" spans="1:6" s="1" customFormat="1" ht="24" customHeight="1" x14ac:dyDescent="0.35">
      <c r="A9" s="6">
        <v>6</v>
      </c>
      <c r="B9" s="6" t="s">
        <v>13</v>
      </c>
      <c r="C9" s="5">
        <v>356</v>
      </c>
      <c r="D9" s="7">
        <v>162</v>
      </c>
      <c r="E9" s="10">
        <f t="shared" si="0"/>
        <v>0.4550561797752809</v>
      </c>
      <c r="F9" s="6">
        <v>19500</v>
      </c>
    </row>
    <row r="10" spans="1:6" s="1" customFormat="1" ht="24" customHeight="1" x14ac:dyDescent="0.35">
      <c r="A10" s="6"/>
      <c r="B10" s="8" t="s">
        <v>14</v>
      </c>
      <c r="C10" s="9">
        <f>SUM(C4:C9)</f>
        <v>4117</v>
      </c>
      <c r="D10" s="8">
        <f>SUM(D4:D9)</f>
        <v>3122</v>
      </c>
      <c r="E10" s="12">
        <f t="shared" si="0"/>
        <v>0.75831916444012626</v>
      </c>
      <c r="F10" s="13">
        <f>SUM(F4:F9)</f>
        <v>440460</v>
      </c>
    </row>
  </sheetData>
  <mergeCells count="1">
    <mergeCell ref="A2:F2"/>
  </mergeCells>
  <phoneticPr fontId="7" type="noConversion"/>
  <pageMargins left="0.75138888888888888" right="0.75138888888888888" top="0.78680555555555554" bottom="0.78680555555555554" header="0.5" footer="0.5"/>
  <pageSetup paperSize="9" orientation="portrait" r:id="rId1"/>
  <ignoredErrors>
    <ignoredError sqref="E10" formula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inspur</dc:creator>
  <cp:lastModifiedBy>亦哲君</cp:lastModifiedBy>
  <dcterms:created xsi:type="dcterms:W3CDTF">2022-05-01T14:20:38Z</dcterms:created>
  <dcterms:modified xsi:type="dcterms:W3CDTF">2025-03-30T13:24:58Z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2052-11.8.2.9864</vt:lpwstr>
  </property>
</Properties>
</file>