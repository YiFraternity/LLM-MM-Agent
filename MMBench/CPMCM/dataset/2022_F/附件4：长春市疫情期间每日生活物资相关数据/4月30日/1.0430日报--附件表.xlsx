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4月30日\"/>
    </mc:Choice>
  </mc:AlternateContent>
  <xr:revisionPtr revIDLastSave="0" documentId="8_{CD105366-B542-4DA2-9BBA-887BAEF3B55D}" xr6:coauthVersionLast="36" xr6:coauthVersionMax="36" xr10:uidLastSave="{00000000-0000-0000-0000-000000000000}"/>
  <bookViews>
    <workbookView xWindow="32769" yWindow="32769" windowWidth="28800" windowHeight="12463"/>
  </bookViews>
  <sheets>
    <sheet name="0.排名表" sheetId="1" r:id="rId1"/>
    <sheet name="附件1" sheetId="2" r:id="rId2"/>
    <sheet name="附件2" sheetId="3" r:id="rId3"/>
  </sheets>
  <definedNames>
    <definedName name="_xlnm.Print_Area" localSheetId="1">附件1!$A$1:$L$17</definedName>
  </definedNames>
  <calcPr calcId="191029"/>
</workbook>
</file>

<file path=xl/calcChain.xml><?xml version="1.0" encoding="utf-8"?>
<calcChain xmlns="http://schemas.openxmlformats.org/spreadsheetml/2006/main">
  <c r="C17" i="1" l="1"/>
  <c r="F17" i="1"/>
  <c r="C17" i="2"/>
  <c r="E17" i="2"/>
  <c r="G17" i="2"/>
  <c r="H17" i="2"/>
  <c r="J17" i="2"/>
  <c r="K17" i="2"/>
  <c r="L17" i="2"/>
</calcChain>
</file>

<file path=xl/sharedStrings.xml><?xml version="1.0" encoding="utf-8"?>
<sst xmlns="http://schemas.openxmlformats.org/spreadsheetml/2006/main" count="165" uniqueCount="77">
  <si>
    <t>各区复商复市排名表</t>
  </si>
  <si>
    <t>序号</t>
  </si>
  <si>
    <t>地区</t>
  </si>
  <si>
    <t>限上商贸企业</t>
  </si>
  <si>
    <t>全口径商贸主体</t>
  </si>
  <si>
    <t>复市数量</t>
  </si>
  <si>
    <t>复市率</t>
  </si>
  <si>
    <t>排名</t>
  </si>
  <si>
    <t>朝阳区</t>
  </si>
  <si>
    <t>南关区</t>
  </si>
  <si>
    <t>宽城区</t>
  </si>
  <si>
    <t>二道区</t>
  </si>
  <si>
    <t>绿园区</t>
  </si>
  <si>
    <t>新区</t>
  </si>
  <si>
    <t>经开区</t>
  </si>
  <si>
    <t>汽开区</t>
  </si>
  <si>
    <t>净月区</t>
  </si>
  <si>
    <t>中韩示范区</t>
  </si>
  <si>
    <t>莲花山</t>
  </si>
  <si>
    <t>六县域</t>
  </si>
  <si>
    <t>-</t>
  </si>
  <si>
    <t>合计</t>
  </si>
  <si>
    <t>附件1</t>
  </si>
  <si>
    <t>各区复商复市情况统计表</t>
  </si>
  <si>
    <t>到岗人数</t>
  </si>
  <si>
    <t>上岗率</t>
  </si>
  <si>
    <t>核酸检测
人数</t>
  </si>
  <si>
    <t>持电子在岗证人数</t>
  </si>
  <si>
    <t>附件2</t>
  </si>
  <si>
    <t>重点30户商贸企业复商复市情况统计表</t>
  </si>
  <si>
    <t>所在
区域</t>
  </si>
  <si>
    <t>企业名称</t>
  </si>
  <si>
    <t>是否恢复经营</t>
  </si>
  <si>
    <t>总人数</t>
  </si>
  <si>
    <t>到岗
人数</t>
  </si>
  <si>
    <t>到岗率</t>
  </si>
  <si>
    <t>中韩</t>
  </si>
  <si>
    <t>长春京东普汇贸易有限公司（含外地援助人员）</t>
  </si>
  <si>
    <t>是</t>
  </si>
  <si>
    <t>二道</t>
  </si>
  <si>
    <t>长春伊通河石油经销有限公司</t>
  </si>
  <si>
    <t>中国石化销售股份有限公司吉林长春石油分公司</t>
  </si>
  <si>
    <t>宽城</t>
  </si>
  <si>
    <t>吉林省地利生鲜农产品企业管理有限公司</t>
  </si>
  <si>
    <t>绿园</t>
  </si>
  <si>
    <t>长春欧亚超市连锁经营有限公司</t>
  </si>
  <si>
    <t>南关</t>
  </si>
  <si>
    <t>吉林大药房药业股份有限公司</t>
  </si>
  <si>
    <t>吉林省新天地超市连锁经营有限公司</t>
  </si>
  <si>
    <t>华润（吉林）医药有限公司</t>
  </si>
  <si>
    <t>朝阳</t>
  </si>
  <si>
    <t>国药控股大药房（吉林）有限公司</t>
  </si>
  <si>
    <t>中国石油天然气股份有限公司吉林长春销售分公司</t>
  </si>
  <si>
    <t>经开</t>
  </si>
  <si>
    <t>长春宝兴行汽车销售服务有限公司</t>
  </si>
  <si>
    <t>长春市华阳汽车贸易有限责任公司</t>
  </si>
  <si>
    <t>否</t>
  </si>
  <si>
    <t>长春之星汽车有限公司</t>
  </si>
  <si>
    <t>长春东环雷克萨斯汽车销售服务有限公司</t>
  </si>
  <si>
    <t>净月</t>
  </si>
  <si>
    <t>长春王府井远洋商业投资有限公司</t>
  </si>
  <si>
    <t>一汽服贸丰田汽车销售服务有限公司</t>
  </si>
  <si>
    <t>吉林省华泽汽车贸易有限公司</t>
  </si>
  <si>
    <t>长春通立汽车服务有限责任公司</t>
  </si>
  <si>
    <t>汽开</t>
  </si>
  <si>
    <t>长春第一汽车服务贸易有限公司</t>
  </si>
  <si>
    <t>利星行（长春）汽车有限公司</t>
  </si>
  <si>
    <t>长春昌融汽车销售服务有限公司</t>
  </si>
  <si>
    <t>长春绿地宝仕汽车销售服务有限公司</t>
  </si>
  <si>
    <t>长春华星行汽车销售服务有限公司</t>
  </si>
  <si>
    <t>吉林省国兴汽车贸易有限公司</t>
  </si>
  <si>
    <t>长春铭仁堂大药房有限公司</t>
  </si>
  <si>
    <t>长春中升之星汽车销售服务有限公司</t>
  </si>
  <si>
    <t>长春汇宝汽车销售服务有限公司</t>
  </si>
  <si>
    <t>一汽红旗汽车销售有限公司</t>
  </si>
  <si>
    <t>长春欧亚卖场有限责任公司</t>
  </si>
  <si>
    <t>长春卓展时代广场百货有限公司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</si>
</sst>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 "/>
  </numFmts>
  <fonts count="9">
    <font>
      <sz val="11"/>
      <color indexed="8"/>
      <name val="宋体"/>
      <charset val="134"/>
    </font>
    <font>
      <b/>
      <sz val="12"/>
      <color indexed="8"/>
      <name val="宋体"/>
      <charset val="134"/>
    </font>
    <font>
      <sz val="12"/>
      <color indexed="8"/>
      <name val="方正仿宋_GBK"/>
      <family val="3"/>
      <charset val="134"/>
    </font>
    <font>
      <b/>
      <sz val="18"/>
      <color indexed="8"/>
      <name val="宋体"/>
      <charset val="134"/>
    </font>
    <font>
      <b/>
      <sz val="11"/>
      <color indexed="8"/>
      <name val="宋体"/>
      <charset val="134"/>
    </font>
    <font>
      <sz val="12"/>
      <color indexed="8"/>
      <name val="宋体"/>
      <charset val="134"/>
    </font>
    <font>
      <b/>
      <sz val="16"/>
      <color indexed="8"/>
      <name val="宋体"/>
      <charset val="134"/>
    </font>
    <font>
      <b/>
      <sz val="10"/>
      <color indexed="8"/>
      <name val="宋体"/>
      <charset val="134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 applyProtection="0">
      <alignment vertical="center"/>
    </xf>
  </cellStyleXfs>
  <cellXfs count="38">
    <xf numFmtId="0" fontId="0" fillId="0" borderId="0" xfId="0" applyProtection="1">
      <alignment vertical="center"/>
    </xf>
    <xf numFmtId="0" fontId="0" fillId="0" borderId="0" xfId="0" applyFont="1" applyProtection="1">
      <alignment vertical="center"/>
    </xf>
    <xf numFmtId="0" fontId="1" fillId="0" borderId="0" xfId="0" applyFont="1" applyProtection="1">
      <alignment vertical="center"/>
    </xf>
    <xf numFmtId="0" fontId="2" fillId="0" borderId="0" xfId="0" applyFont="1" applyAlignment="1" applyProtection="1">
      <alignment horizontal="center" vertical="center" wrapText="1"/>
    </xf>
    <xf numFmtId="0" fontId="2" fillId="0" borderId="0" xfId="0" applyFont="1" applyAlignment="1" applyProtection="1">
      <alignment horizontal="center" vertical="center"/>
    </xf>
    <xf numFmtId="0" fontId="4" fillId="0" borderId="2" xfId="0" applyFont="1" applyBorder="1" applyAlignment="1" applyProtection="1">
      <alignment horizontal="center" vertical="center" wrapText="1"/>
    </xf>
    <xf numFmtId="4" fontId="4" fillId="0" borderId="2" xfId="0" applyNumberFormat="1" applyFont="1" applyBorder="1" applyAlignment="1" applyProtection="1">
      <alignment horizontal="center" vertical="center" wrapText="1"/>
    </xf>
    <xf numFmtId="0" fontId="0" fillId="0" borderId="2" xfId="0" applyFont="1" applyBorder="1" applyAlignment="1" applyProtection="1">
      <alignment horizontal="center" vertical="center"/>
    </xf>
    <xf numFmtId="0" fontId="0" fillId="0" borderId="2" xfId="0" applyFont="1" applyBorder="1" applyAlignment="1" applyProtection="1">
      <alignment horizontal="center" vertical="center" wrapText="1"/>
    </xf>
    <xf numFmtId="176" fontId="0" fillId="0" borderId="2" xfId="0" applyNumberFormat="1" applyFont="1" applyBorder="1" applyAlignment="1" applyProtection="1">
      <alignment horizontal="center" vertical="center" wrapText="1"/>
    </xf>
    <xf numFmtId="176" fontId="0" fillId="0" borderId="2" xfId="0" applyNumberFormat="1" applyFont="1" applyBorder="1" applyAlignment="1" applyProtection="1">
      <alignment horizontal="center" vertical="center"/>
    </xf>
    <xf numFmtId="176" fontId="0" fillId="2" borderId="2" xfId="0" applyNumberFormat="1" applyFont="1" applyFill="1" applyBorder="1" applyAlignment="1" applyProtection="1">
      <alignment horizontal="center" vertical="center"/>
    </xf>
    <xf numFmtId="176" fontId="4" fillId="0" borderId="2" xfId="0" applyNumberFormat="1" applyFont="1" applyBorder="1" applyAlignment="1" applyProtection="1">
      <alignment horizontal="center" vertical="center"/>
    </xf>
    <xf numFmtId="10" fontId="2" fillId="0" borderId="0" xfId="0" applyNumberFormat="1" applyFont="1" applyAlignment="1" applyProtection="1">
      <alignment horizontal="center" vertical="center"/>
    </xf>
    <xf numFmtId="10" fontId="4" fillId="0" borderId="2" xfId="0" applyNumberFormat="1" applyFont="1" applyBorder="1" applyAlignment="1" applyProtection="1">
      <alignment horizontal="center" vertical="center" wrapText="1"/>
    </xf>
    <xf numFmtId="10" fontId="0" fillId="0" borderId="2" xfId="0" applyNumberFormat="1" applyFont="1" applyBorder="1" applyAlignment="1" applyProtection="1">
      <alignment horizontal="center" vertical="center"/>
    </xf>
    <xf numFmtId="10" fontId="4" fillId="0" borderId="2" xfId="0" applyNumberFormat="1" applyFont="1" applyBorder="1" applyAlignment="1" applyProtection="1">
      <alignment horizontal="center" vertical="center"/>
    </xf>
    <xf numFmtId="0" fontId="5" fillId="0" borderId="0" xfId="0" applyFont="1" applyProtection="1">
      <alignment vertical="center"/>
    </xf>
    <xf numFmtId="0" fontId="4" fillId="0" borderId="2" xfId="0" applyFont="1" applyBorder="1" applyAlignment="1" applyProtection="1">
      <alignment horizontal="center" vertical="center"/>
    </xf>
    <xf numFmtId="0" fontId="4" fillId="3" borderId="2" xfId="0" applyFont="1" applyFill="1" applyBorder="1" applyAlignment="1" applyProtection="1">
      <alignment horizontal="center" vertical="center" wrapText="1"/>
    </xf>
    <xf numFmtId="0" fontId="0" fillId="3" borderId="2" xfId="0" applyFont="1" applyFill="1" applyBorder="1" applyAlignment="1" applyProtection="1">
      <alignment horizontal="center" vertical="center"/>
    </xf>
    <xf numFmtId="10" fontId="0" fillId="3" borderId="2" xfId="0" applyNumberFormat="1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 applyProtection="1">
      <alignment horizontal="center" vertical="center" wrapText="1"/>
    </xf>
    <xf numFmtId="10" fontId="7" fillId="0" borderId="2" xfId="0" applyNumberFormat="1" applyFont="1" applyBorder="1" applyAlignment="1" applyProtection="1">
      <alignment horizontal="center" vertical="center" wrapText="1"/>
    </xf>
    <xf numFmtId="0" fontId="0" fillId="0" borderId="2" xfId="0" applyFont="1" applyFill="1" applyBorder="1" applyAlignment="1" applyProtection="1">
      <alignment horizontal="center" vertical="center"/>
    </xf>
    <xf numFmtId="10" fontId="0" fillId="0" borderId="2" xfId="0" applyNumberFormat="1" applyFont="1" applyFill="1" applyBorder="1" applyAlignment="1" applyProtection="1">
      <alignment horizontal="center" vertical="center"/>
    </xf>
    <xf numFmtId="176" fontId="0" fillId="0" borderId="2" xfId="0" applyNumberFormat="1" applyFont="1" applyFill="1" applyBorder="1" applyAlignment="1" applyProtection="1">
      <alignment horizontal="center" vertical="center"/>
    </xf>
    <xf numFmtId="0" fontId="6" fillId="0" borderId="0" xfId="0" applyFont="1" applyAlignment="1" applyProtection="1">
      <alignment horizontal="center" vertical="center"/>
    </xf>
    <xf numFmtId="0" fontId="4" fillId="0" borderId="2" xfId="0" applyFont="1" applyBorder="1" applyAlignment="1" applyProtection="1">
      <alignment horizontal="center" vertical="center"/>
    </xf>
    <xf numFmtId="0" fontId="4" fillId="3" borderId="3" xfId="0" applyFont="1" applyFill="1" applyBorder="1" applyAlignment="1" applyProtection="1">
      <alignment horizontal="center" vertical="center"/>
    </xf>
    <xf numFmtId="0" fontId="4" fillId="3" borderId="4" xfId="0" applyFont="1" applyFill="1" applyBorder="1" applyAlignment="1" applyProtection="1">
      <alignment horizontal="center" vertical="center"/>
    </xf>
    <xf numFmtId="0" fontId="4" fillId="3" borderId="5" xfId="0" applyFont="1" applyFill="1" applyBorder="1" applyAlignment="1" applyProtection="1">
      <alignment horizontal="center" vertical="center"/>
    </xf>
    <xf numFmtId="0" fontId="4" fillId="3" borderId="2" xfId="0" applyFont="1" applyFill="1" applyBorder="1" applyAlignment="1" applyProtection="1">
      <alignment horizontal="center" vertical="center"/>
    </xf>
    <xf numFmtId="0" fontId="1" fillId="0" borderId="0" xfId="0" applyFont="1" applyProtection="1">
      <alignment vertical="center"/>
    </xf>
    <xf numFmtId="0" fontId="3" fillId="0" borderId="1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center" vertical="center"/>
    </xf>
    <xf numFmtId="0" fontId="4" fillId="0" borderId="5" xfId="0" applyFont="1" applyBorder="1" applyAlignment="1" applyProtection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tabSelected="1" zoomScaleSheetLayoutView="100" workbookViewId="0">
      <selection activeCell="A2" sqref="A2:H17"/>
    </sheetView>
  </sheetViews>
  <sheetFormatPr defaultColWidth="9" defaultRowHeight="14.15"/>
  <cols>
    <col min="1" max="1" width="5.23046875" customWidth="1"/>
    <col min="2" max="2" width="10.61328125" customWidth="1"/>
    <col min="3" max="4" width="9.4609375" customWidth="1"/>
    <col min="5" max="5" width="8.3828125" customWidth="1"/>
    <col min="6" max="6" width="10.15234375" customWidth="1"/>
    <col min="7" max="7" width="9.61328125" customWidth="1"/>
    <col min="8" max="8" width="8.84375" customWidth="1"/>
    <col min="9" max="16384" width="9" style="1"/>
  </cols>
  <sheetData>
    <row r="1" spans="1:8" ht="15.75" customHeight="1">
      <c r="A1" s="2"/>
      <c r="B1" s="1"/>
      <c r="C1" s="1"/>
      <c r="D1" s="1"/>
      <c r="E1" s="1"/>
      <c r="F1" s="1"/>
      <c r="G1" s="1"/>
      <c r="H1" s="1"/>
    </row>
    <row r="2" spans="1:8" ht="27" customHeight="1">
      <c r="A2" s="27" t="s">
        <v>0</v>
      </c>
      <c r="B2" s="27"/>
      <c r="C2" s="27"/>
      <c r="D2" s="27"/>
      <c r="E2" s="27"/>
      <c r="F2" s="27"/>
      <c r="G2" s="27"/>
      <c r="H2" s="27"/>
    </row>
    <row r="3" spans="1:8" customFormat="1" ht="27" customHeight="1">
      <c r="A3" s="28" t="s">
        <v>1</v>
      </c>
      <c r="B3" s="28" t="s">
        <v>2</v>
      </c>
      <c r="C3" s="28" t="s">
        <v>3</v>
      </c>
      <c r="D3" s="28"/>
      <c r="E3" s="28"/>
      <c r="F3" s="28" t="s">
        <v>4</v>
      </c>
      <c r="G3" s="28"/>
      <c r="H3" s="28"/>
    </row>
    <row r="4" spans="1:8" ht="27" customHeight="1">
      <c r="A4" s="28"/>
      <c r="B4" s="28"/>
      <c r="C4" s="5" t="s">
        <v>5</v>
      </c>
      <c r="D4" s="5" t="s">
        <v>6</v>
      </c>
      <c r="E4" s="5" t="s">
        <v>7</v>
      </c>
      <c r="F4" s="5" t="s">
        <v>5</v>
      </c>
      <c r="G4" s="5" t="s">
        <v>6</v>
      </c>
      <c r="H4" s="5" t="s">
        <v>7</v>
      </c>
    </row>
    <row r="5" spans="1:8" ht="27" customHeight="1">
      <c r="A5" s="7">
        <v>1</v>
      </c>
      <c r="B5" s="24" t="s">
        <v>8</v>
      </c>
      <c r="C5" s="24">
        <v>40</v>
      </c>
      <c r="D5" s="25">
        <v>0.20618556701030927</v>
      </c>
      <c r="E5" s="26">
        <v>6</v>
      </c>
      <c r="F5" s="24">
        <v>2124</v>
      </c>
      <c r="G5" s="25">
        <v>4.4315550084499993E-2</v>
      </c>
      <c r="H5" s="26">
        <v>5</v>
      </c>
    </row>
    <row r="6" spans="1:8" ht="27" customHeight="1">
      <c r="A6" s="7">
        <v>2</v>
      </c>
      <c r="B6" s="24" t="s">
        <v>9</v>
      </c>
      <c r="C6" s="24">
        <v>51</v>
      </c>
      <c r="D6" s="25">
        <v>0.3</v>
      </c>
      <c r="E6" s="26">
        <v>3</v>
      </c>
      <c r="F6" s="24">
        <v>1565</v>
      </c>
      <c r="G6" s="25">
        <v>4.4021265224606899E-2</v>
      </c>
      <c r="H6" s="26">
        <v>6</v>
      </c>
    </row>
    <row r="7" spans="1:8" ht="27" customHeight="1">
      <c r="A7" s="7">
        <v>3</v>
      </c>
      <c r="B7" s="24" t="s">
        <v>10</v>
      </c>
      <c r="C7" s="24">
        <v>29</v>
      </c>
      <c r="D7" s="25">
        <v>0.27358490566037735</v>
      </c>
      <c r="E7" s="26">
        <v>4</v>
      </c>
      <c r="F7" s="24">
        <v>2195</v>
      </c>
      <c r="G7" s="25">
        <v>4.996130559475577E-2</v>
      </c>
      <c r="H7" s="26">
        <v>4</v>
      </c>
    </row>
    <row r="8" spans="1:8" ht="27" customHeight="1">
      <c r="A8" s="7">
        <v>4</v>
      </c>
      <c r="B8" s="24" t="s">
        <v>11</v>
      </c>
      <c r="C8" s="24">
        <v>23</v>
      </c>
      <c r="D8" s="25">
        <v>0.17557251908396945</v>
      </c>
      <c r="E8" s="26">
        <v>7</v>
      </c>
      <c r="F8" s="24">
        <v>1003</v>
      </c>
      <c r="G8" s="25">
        <v>3.0529007122420404E-2</v>
      </c>
      <c r="H8" s="26">
        <v>11</v>
      </c>
    </row>
    <row r="9" spans="1:8" ht="27" customHeight="1">
      <c r="A9" s="7">
        <v>5</v>
      </c>
      <c r="B9" s="24" t="s">
        <v>12</v>
      </c>
      <c r="C9" s="24">
        <v>20</v>
      </c>
      <c r="D9" s="25">
        <v>0.14285714285714285</v>
      </c>
      <c r="E9" s="26">
        <v>8</v>
      </c>
      <c r="F9" s="24">
        <v>1334</v>
      </c>
      <c r="G9" s="25">
        <v>3.5884330867518494E-2</v>
      </c>
      <c r="H9" s="26">
        <v>9</v>
      </c>
    </row>
    <row r="10" spans="1:8" ht="27" customHeight="1">
      <c r="A10" s="7">
        <v>6</v>
      </c>
      <c r="B10" s="24" t="s">
        <v>13</v>
      </c>
      <c r="C10" s="24">
        <v>30</v>
      </c>
      <c r="D10" s="25">
        <v>0.22900763358778625</v>
      </c>
      <c r="E10" s="26">
        <v>5</v>
      </c>
      <c r="F10" s="24">
        <v>928</v>
      </c>
      <c r="G10" s="25">
        <v>3.8836576689684037E-2</v>
      </c>
      <c r="H10" s="26">
        <v>8</v>
      </c>
    </row>
    <row r="11" spans="1:8" ht="27" customHeight="1">
      <c r="A11" s="7">
        <v>7</v>
      </c>
      <c r="B11" s="24" t="s">
        <v>14</v>
      </c>
      <c r="C11" s="24">
        <v>19</v>
      </c>
      <c r="D11" s="25">
        <v>0.1357142857142857</v>
      </c>
      <c r="E11" s="26">
        <v>9</v>
      </c>
      <c r="F11" s="24">
        <v>1831</v>
      </c>
      <c r="G11" s="25">
        <v>7.3774124662556909E-2</v>
      </c>
      <c r="H11" s="26">
        <v>2</v>
      </c>
    </row>
    <row r="12" spans="1:8" ht="27" customHeight="1">
      <c r="A12" s="7">
        <v>8</v>
      </c>
      <c r="B12" s="24" t="s">
        <v>15</v>
      </c>
      <c r="C12" s="24">
        <v>66</v>
      </c>
      <c r="D12" s="25">
        <v>0.48888888888888887</v>
      </c>
      <c r="E12" s="26">
        <v>2</v>
      </c>
      <c r="F12" s="24">
        <v>810</v>
      </c>
      <c r="G12" s="25">
        <v>5.9734513274336286E-2</v>
      </c>
      <c r="H12" s="26">
        <v>3</v>
      </c>
    </row>
    <row r="13" spans="1:8" ht="27" customHeight="1">
      <c r="A13" s="7">
        <v>9</v>
      </c>
      <c r="B13" s="24" t="s">
        <v>16</v>
      </c>
      <c r="C13" s="24">
        <v>17</v>
      </c>
      <c r="D13" s="25">
        <v>0.10828025477707007</v>
      </c>
      <c r="E13" s="26">
        <v>10</v>
      </c>
      <c r="F13" s="24">
        <v>629</v>
      </c>
      <c r="G13" s="25">
        <v>4.2391157837983556E-2</v>
      </c>
      <c r="H13" s="26">
        <v>7</v>
      </c>
    </row>
    <row r="14" spans="1:8" ht="27" customHeight="1">
      <c r="A14" s="7">
        <v>10</v>
      </c>
      <c r="B14" s="24" t="s">
        <v>17</v>
      </c>
      <c r="C14" s="24">
        <v>5</v>
      </c>
      <c r="D14" s="25">
        <v>0.83333333333333337</v>
      </c>
      <c r="E14" s="26">
        <v>1</v>
      </c>
      <c r="F14" s="24">
        <v>39</v>
      </c>
      <c r="G14" s="25">
        <v>0.9285714285714286</v>
      </c>
      <c r="H14" s="26">
        <v>1</v>
      </c>
    </row>
    <row r="15" spans="1:8" ht="27" customHeight="1">
      <c r="A15" s="7">
        <v>11</v>
      </c>
      <c r="B15" s="24" t="s">
        <v>18</v>
      </c>
      <c r="C15" s="24">
        <v>0</v>
      </c>
      <c r="D15" s="25">
        <v>0</v>
      </c>
      <c r="E15" s="26">
        <v>11</v>
      </c>
      <c r="F15" s="24">
        <v>58</v>
      </c>
      <c r="G15" s="25">
        <v>3.2366071428571432E-2</v>
      </c>
      <c r="H15" s="26">
        <v>10</v>
      </c>
    </row>
    <row r="16" spans="1:8" ht="27" customHeight="1">
      <c r="A16" s="7">
        <v>12</v>
      </c>
      <c r="B16" s="7" t="s">
        <v>19</v>
      </c>
      <c r="C16" s="7">
        <v>128</v>
      </c>
      <c r="D16" s="15">
        <v>0.68090000000000006</v>
      </c>
      <c r="E16" s="7" t="s">
        <v>20</v>
      </c>
      <c r="F16" s="7" t="s">
        <v>20</v>
      </c>
      <c r="G16" s="15" t="s">
        <v>20</v>
      </c>
      <c r="H16" s="7" t="s">
        <v>20</v>
      </c>
    </row>
    <row r="17" spans="1:8" ht="27" customHeight="1">
      <c r="A17" s="18"/>
      <c r="B17" s="18" t="s">
        <v>21</v>
      </c>
      <c r="C17" s="18">
        <f>SUM(C5:C16)</f>
        <v>428</v>
      </c>
      <c r="D17" s="16">
        <v>0.28457446808510639</v>
      </c>
      <c r="E17" s="7" t="s">
        <v>20</v>
      </c>
      <c r="F17" s="18">
        <f>SUM(F5:F16)</f>
        <v>12516</v>
      </c>
      <c r="G17" s="16">
        <v>4.5800671082699369E-2</v>
      </c>
      <c r="H17" s="7" t="s">
        <v>20</v>
      </c>
    </row>
  </sheetData>
  <mergeCells count="5">
    <mergeCell ref="A2:H2"/>
    <mergeCell ref="C3:E3"/>
    <mergeCell ref="F3:H3"/>
    <mergeCell ref="A3:A4"/>
    <mergeCell ref="B3:B4"/>
  </mergeCells>
  <phoneticPr fontId="8" type="noConversion"/>
  <pageMargins left="0.74990626395218019" right="0.74990626395218019" top="0.99987495602585197" bottom="0.99987495602585197" header="0.49993747801292598" footer="0.49993747801292598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Views>
    <sheetView view="pageBreakPreview" zoomScale="120" zoomScaleNormal="100" workbookViewId="0">
      <selection activeCell="A2" sqref="A2:L2"/>
    </sheetView>
  </sheetViews>
  <sheetFormatPr defaultColWidth="9" defaultRowHeight="14.15"/>
  <cols>
    <col min="1" max="1" width="5.765625" bestFit="1" customWidth="1"/>
    <col min="2" max="12" width="11.765625" customWidth="1"/>
    <col min="13" max="16384" width="9" style="1"/>
  </cols>
  <sheetData>
    <row r="1" spans="1:12" ht="15.75" customHeight="1">
      <c r="A1" s="2" t="s">
        <v>22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8" customHeight="1">
      <c r="A2" s="27" t="s">
        <v>23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</row>
    <row r="3" spans="1:12" s="17" customFormat="1" ht="26.05" customHeight="1">
      <c r="A3" s="28" t="s">
        <v>1</v>
      </c>
      <c r="B3" s="32" t="s">
        <v>2</v>
      </c>
      <c r="C3" s="29" t="s">
        <v>3</v>
      </c>
      <c r="D3" s="30"/>
      <c r="E3" s="30"/>
      <c r="F3" s="30"/>
      <c r="G3" s="30"/>
      <c r="H3" s="29" t="s">
        <v>4</v>
      </c>
      <c r="I3" s="30"/>
      <c r="J3" s="30"/>
      <c r="K3" s="30"/>
      <c r="L3" s="31"/>
    </row>
    <row r="4" spans="1:12" s="17" customFormat="1" ht="36" customHeight="1">
      <c r="A4" s="28"/>
      <c r="B4" s="32"/>
      <c r="C4" s="19" t="s">
        <v>5</v>
      </c>
      <c r="D4" s="19" t="s">
        <v>6</v>
      </c>
      <c r="E4" s="19" t="s">
        <v>24</v>
      </c>
      <c r="F4" s="19" t="s">
        <v>25</v>
      </c>
      <c r="G4" s="19" t="s">
        <v>26</v>
      </c>
      <c r="H4" s="22" t="s">
        <v>5</v>
      </c>
      <c r="I4" s="22" t="s">
        <v>6</v>
      </c>
      <c r="J4" s="22" t="s">
        <v>24</v>
      </c>
      <c r="K4" s="22" t="s">
        <v>26</v>
      </c>
      <c r="L4" s="19" t="s">
        <v>27</v>
      </c>
    </row>
    <row r="5" spans="1:12" ht="26.05" customHeight="1">
      <c r="A5" s="7">
        <v>1</v>
      </c>
      <c r="B5" s="20" t="s">
        <v>9</v>
      </c>
      <c r="C5" s="20">
        <v>51</v>
      </c>
      <c r="D5" s="21">
        <v>0.3</v>
      </c>
      <c r="E5" s="20">
        <v>4778</v>
      </c>
      <c r="F5" s="21">
        <v>0.25620676711888035</v>
      </c>
      <c r="G5" s="20">
        <v>4778</v>
      </c>
      <c r="H5" s="20">
        <v>1565</v>
      </c>
      <c r="I5" s="21">
        <v>4.4021265224606899E-2</v>
      </c>
      <c r="J5" s="20">
        <v>9788</v>
      </c>
      <c r="K5" s="20">
        <v>9788</v>
      </c>
      <c r="L5" s="20">
        <v>7632</v>
      </c>
    </row>
    <row r="6" spans="1:12" ht="26.05" customHeight="1">
      <c r="A6" s="7">
        <v>2</v>
      </c>
      <c r="B6" s="20" t="s">
        <v>10</v>
      </c>
      <c r="C6" s="20">
        <v>29</v>
      </c>
      <c r="D6" s="21">
        <v>0.27358490566037735</v>
      </c>
      <c r="E6" s="20">
        <v>1541</v>
      </c>
      <c r="F6" s="21">
        <v>0.15779234077411428</v>
      </c>
      <c r="G6" s="20">
        <v>1541</v>
      </c>
      <c r="H6" s="20">
        <v>2195</v>
      </c>
      <c r="I6" s="21">
        <v>4.996130559475577E-2</v>
      </c>
      <c r="J6" s="20">
        <v>6914</v>
      </c>
      <c r="K6" s="20">
        <v>6914</v>
      </c>
      <c r="L6" s="20">
        <v>6914</v>
      </c>
    </row>
    <row r="7" spans="1:12" ht="26.05" customHeight="1">
      <c r="A7" s="7">
        <v>3</v>
      </c>
      <c r="B7" s="20" t="s">
        <v>8</v>
      </c>
      <c r="C7" s="20">
        <v>40</v>
      </c>
      <c r="D7" s="21">
        <v>0.20618556701030927</v>
      </c>
      <c r="E7" s="20">
        <v>2186</v>
      </c>
      <c r="F7" s="21">
        <v>0.16968097492819995</v>
      </c>
      <c r="G7" s="20">
        <v>2186</v>
      </c>
      <c r="H7" s="20">
        <v>2124</v>
      </c>
      <c r="I7" s="21">
        <v>4.4315550084499993E-2</v>
      </c>
      <c r="J7" s="20">
        <v>6452</v>
      </c>
      <c r="K7" s="20">
        <v>6452</v>
      </c>
      <c r="L7" s="20">
        <v>4951</v>
      </c>
    </row>
    <row r="8" spans="1:12" ht="26.05" customHeight="1">
      <c r="A8" s="7">
        <v>4</v>
      </c>
      <c r="B8" s="20" t="s">
        <v>11</v>
      </c>
      <c r="C8" s="20">
        <v>23</v>
      </c>
      <c r="D8" s="21">
        <v>0.17557251908396945</v>
      </c>
      <c r="E8" s="20">
        <v>1995</v>
      </c>
      <c r="F8" s="21">
        <v>0.41894162116757666</v>
      </c>
      <c r="G8" s="20">
        <v>1995</v>
      </c>
      <c r="H8" s="20">
        <v>1003</v>
      </c>
      <c r="I8" s="21">
        <v>3.0529007122420404E-2</v>
      </c>
      <c r="J8" s="20">
        <v>4103</v>
      </c>
      <c r="K8" s="20">
        <v>4103</v>
      </c>
      <c r="L8" s="20">
        <v>3621</v>
      </c>
    </row>
    <row r="9" spans="1:12" ht="26.05" customHeight="1">
      <c r="A9" s="7">
        <v>5</v>
      </c>
      <c r="B9" s="20" t="s">
        <v>12</v>
      </c>
      <c r="C9" s="20">
        <v>20</v>
      </c>
      <c r="D9" s="21">
        <v>0.14285714285714285</v>
      </c>
      <c r="E9" s="20">
        <v>734</v>
      </c>
      <c r="F9" s="21">
        <v>0.13760779902512185</v>
      </c>
      <c r="G9" s="20">
        <v>734</v>
      </c>
      <c r="H9" s="20">
        <v>1334</v>
      </c>
      <c r="I9" s="21">
        <v>3.5884330867518494E-2</v>
      </c>
      <c r="J9" s="20">
        <v>4751</v>
      </c>
      <c r="K9" s="20">
        <v>4751</v>
      </c>
      <c r="L9" s="20">
        <v>4513</v>
      </c>
    </row>
    <row r="10" spans="1:12" ht="26.05" customHeight="1">
      <c r="A10" s="7">
        <v>6</v>
      </c>
      <c r="B10" s="20" t="s">
        <v>14</v>
      </c>
      <c r="C10" s="20">
        <v>19</v>
      </c>
      <c r="D10" s="21">
        <v>0.1357142857142857</v>
      </c>
      <c r="E10" s="20">
        <v>977</v>
      </c>
      <c r="F10" s="21">
        <v>0.17446428571428571</v>
      </c>
      <c r="G10" s="20">
        <v>977</v>
      </c>
      <c r="H10" s="20">
        <v>1831</v>
      </c>
      <c r="I10" s="21">
        <v>7.3774124662556909E-2</v>
      </c>
      <c r="J10" s="20">
        <v>6041</v>
      </c>
      <c r="K10" s="20">
        <v>6041</v>
      </c>
      <c r="L10" s="20">
        <v>3179</v>
      </c>
    </row>
    <row r="11" spans="1:12" ht="26.05" customHeight="1">
      <c r="A11" s="7">
        <v>7</v>
      </c>
      <c r="B11" s="20" t="s">
        <v>16</v>
      </c>
      <c r="C11" s="20">
        <v>17</v>
      </c>
      <c r="D11" s="21">
        <v>0.10828025477707007</v>
      </c>
      <c r="E11" s="20">
        <v>417</v>
      </c>
      <c r="F11" s="21">
        <v>7.1822252841887702E-2</v>
      </c>
      <c r="G11" s="20">
        <v>417</v>
      </c>
      <c r="H11" s="20">
        <v>629</v>
      </c>
      <c r="I11" s="21">
        <v>4.2391157837983556E-2</v>
      </c>
      <c r="J11" s="20">
        <v>2407</v>
      </c>
      <c r="K11" s="20">
        <v>2407</v>
      </c>
      <c r="L11" s="20">
        <v>1953</v>
      </c>
    </row>
    <row r="12" spans="1:12" ht="26.05" customHeight="1">
      <c r="A12" s="7">
        <v>8</v>
      </c>
      <c r="B12" s="20" t="s">
        <v>13</v>
      </c>
      <c r="C12" s="20">
        <v>30</v>
      </c>
      <c r="D12" s="21">
        <v>0.22900763358778625</v>
      </c>
      <c r="E12" s="20">
        <v>946</v>
      </c>
      <c r="F12" s="21">
        <v>0.21918443002780352</v>
      </c>
      <c r="G12" s="20">
        <v>946</v>
      </c>
      <c r="H12" s="20">
        <v>928</v>
      </c>
      <c r="I12" s="21">
        <v>3.8836576689684037E-2</v>
      </c>
      <c r="J12" s="20">
        <v>3814</v>
      </c>
      <c r="K12" s="20">
        <v>3814</v>
      </c>
      <c r="L12" s="20">
        <v>3055</v>
      </c>
    </row>
    <row r="13" spans="1:12" ht="26.05" customHeight="1">
      <c r="A13" s="7">
        <v>9</v>
      </c>
      <c r="B13" s="20" t="s">
        <v>15</v>
      </c>
      <c r="C13" s="20">
        <v>66</v>
      </c>
      <c r="D13" s="21">
        <v>0.48888888888888887</v>
      </c>
      <c r="E13" s="20">
        <v>1056</v>
      </c>
      <c r="F13" s="21">
        <v>0.12353766963032288</v>
      </c>
      <c r="G13" s="20">
        <v>1056</v>
      </c>
      <c r="H13" s="20">
        <v>810</v>
      </c>
      <c r="I13" s="21">
        <v>5.9734513274336286E-2</v>
      </c>
      <c r="J13" s="20">
        <v>2935</v>
      </c>
      <c r="K13" s="20">
        <v>2935</v>
      </c>
      <c r="L13" s="20">
        <v>2860</v>
      </c>
    </row>
    <row r="14" spans="1:12" ht="26.05" customHeight="1">
      <c r="A14" s="7">
        <v>10</v>
      </c>
      <c r="B14" s="20" t="s">
        <v>17</v>
      </c>
      <c r="C14" s="20">
        <v>5</v>
      </c>
      <c r="D14" s="21">
        <v>0.83333333333333337</v>
      </c>
      <c r="E14" s="20">
        <v>1185</v>
      </c>
      <c r="F14" s="21">
        <v>0.78114700065919573</v>
      </c>
      <c r="G14" s="20" t="s">
        <v>20</v>
      </c>
      <c r="H14" s="20">
        <v>39</v>
      </c>
      <c r="I14" s="21">
        <v>0.9285714285714286</v>
      </c>
      <c r="J14" s="20">
        <v>1372</v>
      </c>
      <c r="K14" s="20">
        <v>1372</v>
      </c>
      <c r="L14" s="20">
        <v>538</v>
      </c>
    </row>
    <row r="15" spans="1:12" ht="26.05" customHeight="1">
      <c r="A15" s="7">
        <v>11</v>
      </c>
      <c r="B15" s="20" t="s">
        <v>18</v>
      </c>
      <c r="C15" s="20">
        <v>0</v>
      </c>
      <c r="D15" s="21">
        <v>0</v>
      </c>
      <c r="E15" s="20">
        <v>0</v>
      </c>
      <c r="F15" s="21">
        <v>0</v>
      </c>
      <c r="G15" s="20">
        <v>0</v>
      </c>
      <c r="H15" s="20">
        <v>58</v>
      </c>
      <c r="I15" s="21">
        <v>3.2366071428571432E-2</v>
      </c>
      <c r="J15" s="20">
        <v>275</v>
      </c>
      <c r="K15" s="20">
        <v>275</v>
      </c>
      <c r="L15" s="20">
        <v>275</v>
      </c>
    </row>
    <row r="16" spans="1:12" ht="26.05" customHeight="1">
      <c r="A16" s="7">
        <v>12</v>
      </c>
      <c r="B16" s="20" t="s">
        <v>19</v>
      </c>
      <c r="C16" s="20">
        <v>128</v>
      </c>
      <c r="D16" s="21">
        <v>0.68085106382978722</v>
      </c>
      <c r="E16" s="20">
        <v>5024</v>
      </c>
      <c r="F16" s="21">
        <v>0.54967177242888399</v>
      </c>
      <c r="G16" s="20">
        <v>993</v>
      </c>
      <c r="H16" s="20" t="s">
        <v>20</v>
      </c>
      <c r="I16" s="21" t="s">
        <v>20</v>
      </c>
      <c r="J16" s="20" t="s">
        <v>20</v>
      </c>
      <c r="K16" s="20" t="s">
        <v>20</v>
      </c>
      <c r="L16" s="20" t="s">
        <v>20</v>
      </c>
    </row>
    <row r="17" spans="1:12" ht="26.05" customHeight="1">
      <c r="A17" s="18"/>
      <c r="B17" s="18" t="s">
        <v>21</v>
      </c>
      <c r="C17" s="18">
        <f>SUM(C5:C16)</f>
        <v>428</v>
      </c>
      <c r="D17" s="16">
        <v>0.28457446808510639</v>
      </c>
      <c r="E17" s="18">
        <f>SUM(E5:E16)</f>
        <v>20839</v>
      </c>
      <c r="F17" s="23">
        <v>0.24077968295050145</v>
      </c>
      <c r="G17" s="18">
        <f>SUM(G5:G16)</f>
        <v>15623</v>
      </c>
      <c r="H17" s="18">
        <f>SUM(H5:H16)</f>
        <v>12516</v>
      </c>
      <c r="I17" s="16">
        <v>4.5284001895878633E-2</v>
      </c>
      <c r="J17" s="18">
        <f>SUM(J5:J16)</f>
        <v>48852</v>
      </c>
      <c r="K17" s="18">
        <f>SUM(K5:K16)</f>
        <v>48852</v>
      </c>
      <c r="L17" s="18">
        <f>SUM(L5:L16)</f>
        <v>39491</v>
      </c>
    </row>
  </sheetData>
  <mergeCells count="5">
    <mergeCell ref="A2:L2"/>
    <mergeCell ref="C3:G3"/>
    <mergeCell ref="H3:L3"/>
    <mergeCell ref="A3:A4"/>
    <mergeCell ref="B3:B4"/>
  </mergeCells>
  <phoneticPr fontId="8" type="noConversion"/>
  <pageMargins left="0.74990626395218019" right="0.47216321539691114" top="0.55062564339224751" bottom="0.51174154431801144" header="0.49993747801292598" footer="0.49993747801292598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view="pageBreakPreview" zoomScaleNormal="100" workbookViewId="0">
      <selection activeCell="A2" sqref="A2:G2"/>
    </sheetView>
  </sheetViews>
  <sheetFormatPr defaultColWidth="9" defaultRowHeight="14.15"/>
  <cols>
    <col min="1" max="1" width="4.4609375" customWidth="1"/>
    <col min="2" max="2" width="7.15234375" customWidth="1"/>
    <col min="3" max="3" width="44.15234375" customWidth="1"/>
    <col min="4" max="4" width="8" customWidth="1"/>
    <col min="5" max="5" width="6.23046875" customWidth="1"/>
    <col min="6" max="6" width="6.765625" customWidth="1"/>
    <col min="7" max="7" width="9.15234375" customWidth="1"/>
    <col min="8" max="16384" width="9" style="1"/>
  </cols>
  <sheetData>
    <row r="1" spans="1:7" ht="15.75" customHeight="1">
      <c r="A1" s="33" t="s">
        <v>28</v>
      </c>
      <c r="B1" s="33"/>
      <c r="C1" s="3"/>
      <c r="D1" s="4"/>
      <c r="E1" s="4"/>
      <c r="F1" s="4"/>
      <c r="G1" s="13"/>
    </row>
    <row r="2" spans="1:7" ht="21.75" customHeight="1">
      <c r="A2" s="34" t="s">
        <v>29</v>
      </c>
      <c r="B2" s="34"/>
      <c r="C2" s="34"/>
      <c r="D2" s="34"/>
      <c r="E2" s="34"/>
      <c r="F2" s="34"/>
      <c r="G2" s="34"/>
    </row>
    <row r="3" spans="1:7" ht="30" customHeight="1">
      <c r="A3" s="5" t="s">
        <v>1</v>
      </c>
      <c r="B3" s="5" t="s">
        <v>30</v>
      </c>
      <c r="C3" s="5" t="s">
        <v>31</v>
      </c>
      <c r="D3" s="6" t="s">
        <v>32</v>
      </c>
      <c r="E3" s="6" t="s">
        <v>33</v>
      </c>
      <c r="F3" s="6" t="s">
        <v>34</v>
      </c>
      <c r="G3" s="14" t="s">
        <v>35</v>
      </c>
    </row>
    <row r="4" spans="1:7" ht="20.05" customHeight="1">
      <c r="A4" s="7">
        <v>1</v>
      </c>
      <c r="B4" s="7" t="s">
        <v>36</v>
      </c>
      <c r="C4" s="8" t="s">
        <v>37</v>
      </c>
      <c r="D4" s="9" t="s">
        <v>38</v>
      </c>
      <c r="E4" s="10">
        <v>1457</v>
      </c>
      <c r="F4" s="10">
        <v>1843</v>
      </c>
      <c r="G4" s="15">
        <v>1.2649279341111874</v>
      </c>
    </row>
    <row r="5" spans="1:7" ht="20.05" customHeight="1">
      <c r="A5" s="7">
        <v>9</v>
      </c>
      <c r="B5" s="7" t="s">
        <v>39</v>
      </c>
      <c r="C5" s="8" t="s">
        <v>40</v>
      </c>
      <c r="D5" s="10" t="s">
        <v>38</v>
      </c>
      <c r="E5" s="10">
        <v>267</v>
      </c>
      <c r="F5" s="10">
        <v>7</v>
      </c>
      <c r="G5" s="15">
        <v>2.6217228464419477E-2</v>
      </c>
    </row>
    <row r="6" spans="1:7" ht="20.05" customHeight="1">
      <c r="A6" s="7">
        <v>10</v>
      </c>
      <c r="B6" s="7" t="s">
        <v>39</v>
      </c>
      <c r="C6" s="8" t="s">
        <v>41</v>
      </c>
      <c r="D6" s="10" t="s">
        <v>38</v>
      </c>
      <c r="E6" s="10">
        <v>479</v>
      </c>
      <c r="F6" s="10">
        <v>185</v>
      </c>
      <c r="G6" s="15">
        <v>0.38622129436325681</v>
      </c>
    </row>
    <row r="7" spans="1:7" ht="20.05" customHeight="1">
      <c r="A7" s="7">
        <v>8</v>
      </c>
      <c r="B7" s="7" t="s">
        <v>42</v>
      </c>
      <c r="C7" s="8" t="s">
        <v>43</v>
      </c>
      <c r="D7" s="10" t="s">
        <v>38</v>
      </c>
      <c r="E7" s="10">
        <v>1600</v>
      </c>
      <c r="F7" s="10">
        <v>923</v>
      </c>
      <c r="G7" s="15">
        <v>0.57687500000000003</v>
      </c>
    </row>
    <row r="8" spans="1:7" ht="20.05" customHeight="1">
      <c r="A8" s="7">
        <v>7</v>
      </c>
      <c r="B8" s="7" t="s">
        <v>44</v>
      </c>
      <c r="C8" s="8" t="s">
        <v>45</v>
      </c>
      <c r="D8" s="10" t="s">
        <v>38</v>
      </c>
      <c r="E8" s="10">
        <v>3318</v>
      </c>
      <c r="F8" s="10">
        <v>2150</v>
      </c>
      <c r="G8" s="15">
        <v>0.64798071127185053</v>
      </c>
    </row>
    <row r="9" spans="1:7" ht="20.05" customHeight="1">
      <c r="A9" s="7">
        <v>5</v>
      </c>
      <c r="B9" s="7" t="s">
        <v>46</v>
      </c>
      <c r="C9" s="8" t="s">
        <v>47</v>
      </c>
      <c r="D9" s="10" t="s">
        <v>38</v>
      </c>
      <c r="E9" s="10">
        <v>4000</v>
      </c>
      <c r="F9" s="10">
        <v>2400</v>
      </c>
      <c r="G9" s="15">
        <v>0.6</v>
      </c>
    </row>
    <row r="10" spans="1:7" ht="20.05" customHeight="1">
      <c r="A10" s="7">
        <v>6</v>
      </c>
      <c r="B10" s="7" t="s">
        <v>46</v>
      </c>
      <c r="C10" s="8" t="s">
        <v>48</v>
      </c>
      <c r="D10" s="10" t="s">
        <v>38</v>
      </c>
      <c r="E10" s="10">
        <v>3000</v>
      </c>
      <c r="F10" s="10">
        <v>1096</v>
      </c>
      <c r="G10" s="15">
        <v>0.36533333333333334</v>
      </c>
    </row>
    <row r="11" spans="1:7" ht="20.05" customHeight="1">
      <c r="A11" s="7">
        <v>4</v>
      </c>
      <c r="B11" s="7" t="s">
        <v>13</v>
      </c>
      <c r="C11" s="8" t="s">
        <v>49</v>
      </c>
      <c r="D11" s="10" t="s">
        <v>38</v>
      </c>
      <c r="E11" s="10">
        <v>300</v>
      </c>
      <c r="F11" s="10">
        <v>62</v>
      </c>
      <c r="G11" s="15">
        <v>0.20666666666666667</v>
      </c>
    </row>
    <row r="12" spans="1:7" ht="20.05" customHeight="1">
      <c r="A12" s="7">
        <v>2</v>
      </c>
      <c r="B12" s="7" t="s">
        <v>50</v>
      </c>
      <c r="C12" s="8" t="s">
        <v>51</v>
      </c>
      <c r="D12" s="11" t="s">
        <v>38</v>
      </c>
      <c r="E12" s="11">
        <v>41</v>
      </c>
      <c r="F12" s="11">
        <v>14</v>
      </c>
      <c r="G12" s="15">
        <v>0.34146341463414637</v>
      </c>
    </row>
    <row r="13" spans="1:7" ht="20.05" customHeight="1">
      <c r="A13" s="7">
        <v>3</v>
      </c>
      <c r="B13" s="7" t="s">
        <v>50</v>
      </c>
      <c r="C13" s="8" t="s">
        <v>52</v>
      </c>
      <c r="D13" s="10" t="s">
        <v>38</v>
      </c>
      <c r="E13" s="10">
        <v>2726</v>
      </c>
      <c r="F13" s="10">
        <v>976</v>
      </c>
      <c r="G13" s="15">
        <v>0.35803374908290536</v>
      </c>
    </row>
    <row r="14" spans="1:7" ht="20.05" customHeight="1">
      <c r="A14" s="7">
        <v>29</v>
      </c>
      <c r="B14" s="7" t="s">
        <v>53</v>
      </c>
      <c r="C14" s="8" t="s">
        <v>54</v>
      </c>
      <c r="D14" s="10" t="s">
        <v>38</v>
      </c>
      <c r="E14" s="10">
        <v>188</v>
      </c>
      <c r="F14" s="10">
        <v>11</v>
      </c>
      <c r="G14" s="15">
        <v>5.8510638297872342E-2</v>
      </c>
    </row>
    <row r="15" spans="1:7" ht="20.05" customHeight="1">
      <c r="A15" s="7">
        <v>27</v>
      </c>
      <c r="B15" s="7" t="s">
        <v>53</v>
      </c>
      <c r="C15" s="8" t="s">
        <v>55</v>
      </c>
      <c r="D15" s="10" t="s">
        <v>56</v>
      </c>
      <c r="E15" s="10">
        <v>473</v>
      </c>
      <c r="F15" s="10">
        <v>0</v>
      </c>
      <c r="G15" s="15">
        <v>0</v>
      </c>
    </row>
    <row r="16" spans="1:7" ht="20.05" customHeight="1">
      <c r="A16" s="7">
        <v>28</v>
      </c>
      <c r="B16" s="7" t="s">
        <v>53</v>
      </c>
      <c r="C16" s="8" t="s">
        <v>57</v>
      </c>
      <c r="D16" s="10" t="s">
        <v>56</v>
      </c>
      <c r="E16" s="10">
        <v>137</v>
      </c>
      <c r="F16" s="10">
        <v>0</v>
      </c>
      <c r="G16" s="15">
        <v>0</v>
      </c>
    </row>
    <row r="17" spans="1:7" ht="20.05" customHeight="1">
      <c r="A17" s="7">
        <v>30</v>
      </c>
      <c r="B17" s="7" t="s">
        <v>53</v>
      </c>
      <c r="C17" s="8" t="s">
        <v>58</v>
      </c>
      <c r="D17" s="10" t="s">
        <v>56</v>
      </c>
      <c r="E17" s="10">
        <v>121</v>
      </c>
      <c r="F17" s="10">
        <v>0</v>
      </c>
      <c r="G17" s="15">
        <v>0</v>
      </c>
    </row>
    <row r="18" spans="1:7" ht="20.05" customHeight="1">
      <c r="A18" s="7">
        <v>25</v>
      </c>
      <c r="B18" s="7" t="s">
        <v>59</v>
      </c>
      <c r="C18" s="8" t="s">
        <v>60</v>
      </c>
      <c r="D18" s="10" t="s">
        <v>56</v>
      </c>
      <c r="E18" s="10">
        <v>111</v>
      </c>
      <c r="F18" s="10">
        <v>0</v>
      </c>
      <c r="G18" s="15">
        <v>0</v>
      </c>
    </row>
    <row r="19" spans="1:7" ht="20.05" customHeight="1">
      <c r="A19" s="7">
        <v>26</v>
      </c>
      <c r="B19" s="7" t="s">
        <v>59</v>
      </c>
      <c r="C19" s="8" t="s">
        <v>61</v>
      </c>
      <c r="D19" s="10" t="s">
        <v>56</v>
      </c>
      <c r="E19" s="10">
        <v>41</v>
      </c>
      <c r="F19" s="10">
        <v>0</v>
      </c>
      <c r="G19" s="15">
        <v>0</v>
      </c>
    </row>
    <row r="20" spans="1:7" ht="20.05" customHeight="1">
      <c r="A20" s="7">
        <v>24</v>
      </c>
      <c r="B20" s="7" t="s">
        <v>42</v>
      </c>
      <c r="C20" s="8" t="s">
        <v>62</v>
      </c>
      <c r="D20" s="10" t="s">
        <v>56</v>
      </c>
      <c r="E20" s="10">
        <v>95</v>
      </c>
      <c r="F20" s="10">
        <v>0</v>
      </c>
      <c r="G20" s="15">
        <v>0</v>
      </c>
    </row>
    <row r="21" spans="1:7" ht="20.05" customHeight="1">
      <c r="A21" s="7">
        <v>23</v>
      </c>
      <c r="B21" s="7" t="s">
        <v>44</v>
      </c>
      <c r="C21" s="8" t="s">
        <v>63</v>
      </c>
      <c r="D21" s="10" t="s">
        <v>56</v>
      </c>
      <c r="E21" s="10">
        <v>210</v>
      </c>
      <c r="F21" s="10">
        <v>0</v>
      </c>
      <c r="G21" s="15">
        <v>0</v>
      </c>
    </row>
    <row r="22" spans="1:7" ht="20.05" customHeight="1">
      <c r="A22" s="7">
        <v>17</v>
      </c>
      <c r="B22" s="7" t="s">
        <v>64</v>
      </c>
      <c r="C22" s="8" t="s">
        <v>65</v>
      </c>
      <c r="D22" s="10" t="s">
        <v>56</v>
      </c>
      <c r="E22" s="10">
        <v>212</v>
      </c>
      <c r="F22" s="10">
        <v>0</v>
      </c>
      <c r="G22" s="15">
        <v>0</v>
      </c>
    </row>
    <row r="23" spans="1:7" ht="20.05" customHeight="1">
      <c r="A23" s="7">
        <v>18</v>
      </c>
      <c r="B23" s="7" t="s">
        <v>64</v>
      </c>
      <c r="C23" s="8" t="s">
        <v>66</v>
      </c>
      <c r="D23" s="10" t="s">
        <v>56</v>
      </c>
      <c r="E23" s="10">
        <v>100</v>
      </c>
      <c r="F23" s="10">
        <v>0</v>
      </c>
      <c r="G23" s="15">
        <v>0</v>
      </c>
    </row>
    <row r="24" spans="1:7" ht="20.05" customHeight="1">
      <c r="A24" s="7">
        <v>19</v>
      </c>
      <c r="B24" s="7" t="s">
        <v>64</v>
      </c>
      <c r="C24" s="8" t="s">
        <v>67</v>
      </c>
      <c r="D24" s="10" t="s">
        <v>56</v>
      </c>
      <c r="E24" s="10">
        <v>173</v>
      </c>
      <c r="F24" s="10">
        <v>0</v>
      </c>
      <c r="G24" s="15">
        <v>0</v>
      </c>
    </row>
    <row r="25" spans="1:7" ht="20.05" customHeight="1">
      <c r="A25" s="7">
        <v>20</v>
      </c>
      <c r="B25" s="7" t="s">
        <v>64</v>
      </c>
      <c r="C25" s="8" t="s">
        <v>68</v>
      </c>
      <c r="D25" s="10" t="s">
        <v>56</v>
      </c>
      <c r="E25" s="10">
        <v>90</v>
      </c>
      <c r="F25" s="10">
        <v>0</v>
      </c>
      <c r="G25" s="15">
        <v>0</v>
      </c>
    </row>
    <row r="26" spans="1:7" ht="20.05" customHeight="1">
      <c r="A26" s="7">
        <v>21</v>
      </c>
      <c r="B26" s="7" t="s">
        <v>64</v>
      </c>
      <c r="C26" s="8" t="s">
        <v>69</v>
      </c>
      <c r="D26" s="10" t="s">
        <v>56</v>
      </c>
      <c r="E26" s="10">
        <v>145</v>
      </c>
      <c r="F26" s="10">
        <v>0</v>
      </c>
      <c r="G26" s="15">
        <v>0</v>
      </c>
    </row>
    <row r="27" spans="1:7" ht="20.05" customHeight="1">
      <c r="A27" s="7">
        <v>22</v>
      </c>
      <c r="B27" s="7" t="s">
        <v>64</v>
      </c>
      <c r="C27" s="8" t="s">
        <v>70</v>
      </c>
      <c r="D27" s="10" t="s">
        <v>56</v>
      </c>
      <c r="E27" s="10">
        <v>98</v>
      </c>
      <c r="F27" s="10">
        <v>0</v>
      </c>
      <c r="G27" s="15">
        <v>0</v>
      </c>
    </row>
    <row r="28" spans="1:7" ht="20.05" customHeight="1">
      <c r="A28" s="7">
        <v>13</v>
      </c>
      <c r="B28" s="7" t="s">
        <v>13</v>
      </c>
      <c r="C28" s="8" t="s">
        <v>71</v>
      </c>
      <c r="D28" s="10" t="s">
        <v>56</v>
      </c>
      <c r="E28" s="10">
        <v>1221</v>
      </c>
      <c r="F28" s="10">
        <v>0</v>
      </c>
      <c r="G28" s="15">
        <v>0</v>
      </c>
    </row>
    <row r="29" spans="1:7" ht="20.05" customHeight="1">
      <c r="A29" s="7">
        <v>14</v>
      </c>
      <c r="B29" s="7" t="s">
        <v>13</v>
      </c>
      <c r="C29" s="8" t="s">
        <v>72</v>
      </c>
      <c r="D29" s="10" t="s">
        <v>56</v>
      </c>
      <c r="E29" s="10">
        <v>107</v>
      </c>
      <c r="F29" s="10">
        <v>0</v>
      </c>
      <c r="G29" s="15">
        <v>0</v>
      </c>
    </row>
    <row r="30" spans="1:7" ht="20.05" customHeight="1">
      <c r="A30" s="7">
        <v>15</v>
      </c>
      <c r="B30" s="7" t="s">
        <v>13</v>
      </c>
      <c r="C30" s="8" t="s">
        <v>73</v>
      </c>
      <c r="D30" s="10" t="s">
        <v>56</v>
      </c>
      <c r="E30" s="10">
        <v>117</v>
      </c>
      <c r="F30" s="10">
        <v>0</v>
      </c>
      <c r="G30" s="15">
        <v>0</v>
      </c>
    </row>
    <row r="31" spans="1:7" ht="20.05" customHeight="1">
      <c r="A31" s="7">
        <v>16</v>
      </c>
      <c r="B31" s="7" t="s">
        <v>13</v>
      </c>
      <c r="C31" s="8" t="s">
        <v>74</v>
      </c>
      <c r="D31" s="10" t="s">
        <v>56</v>
      </c>
      <c r="E31" s="10">
        <v>498</v>
      </c>
      <c r="F31" s="10">
        <v>0</v>
      </c>
      <c r="G31" s="15">
        <v>0</v>
      </c>
    </row>
    <row r="32" spans="1:7" ht="20.05" customHeight="1">
      <c r="A32" s="7">
        <v>11</v>
      </c>
      <c r="B32" s="7" t="s">
        <v>50</v>
      </c>
      <c r="C32" s="8" t="s">
        <v>75</v>
      </c>
      <c r="D32" s="10" t="s">
        <v>56</v>
      </c>
      <c r="E32" s="10">
        <v>1320</v>
      </c>
      <c r="F32" s="10">
        <v>0</v>
      </c>
      <c r="G32" s="15">
        <v>0</v>
      </c>
    </row>
    <row r="33" spans="1:7" ht="20.05" customHeight="1">
      <c r="A33" s="7">
        <v>12</v>
      </c>
      <c r="B33" s="7" t="s">
        <v>50</v>
      </c>
      <c r="C33" s="8" t="s">
        <v>76</v>
      </c>
      <c r="D33" s="10" t="s">
        <v>56</v>
      </c>
      <c r="E33" s="10">
        <v>420</v>
      </c>
      <c r="F33" s="10">
        <v>0</v>
      </c>
      <c r="G33" s="15">
        <v>0</v>
      </c>
    </row>
    <row r="34" spans="1:7" ht="20.05" customHeight="1">
      <c r="A34" s="35" t="s">
        <v>21</v>
      </c>
      <c r="B34" s="36"/>
      <c r="C34" s="37"/>
      <c r="D34" s="12"/>
      <c r="E34" s="12">
        <v>22645</v>
      </c>
      <c r="F34" s="12">
        <v>9667</v>
      </c>
      <c r="G34" s="16">
        <v>0.42689335394126737</v>
      </c>
    </row>
  </sheetData>
  <mergeCells count="3">
    <mergeCell ref="A1:B1"/>
    <mergeCell ref="A2:G2"/>
    <mergeCell ref="A34:C34"/>
  </mergeCells>
  <phoneticPr fontId="8" type="noConversion"/>
  <pageMargins left="0.74990626395218019" right="0.74990626395218019" top="0.99987495602585197" bottom="0.99987495602585197" header="0.49993747801292598" footer="0.49993747801292598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0.排名表</vt:lpstr>
      <vt:lpstr>附件1</vt:lpstr>
      <vt:lpstr>附件2</vt:lpstr>
      <vt:lpstr>附件1!Print_Area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inspur</dc:creator>
  <cp:lastModifiedBy>亦哲君</cp:lastModifiedBy>
  <dcterms:created xsi:type="dcterms:W3CDTF">2022-05-01T22:59:16Z</dcterms:created>
  <dcterms:modified xsi:type="dcterms:W3CDTF">2025-03-30T13:24:44Z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2052-11.8.2.9864</vt:lpwstr>
  </property>
</Properties>
</file>