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4日\"/>
    </mc:Choice>
  </mc:AlternateContent>
  <xr:revisionPtr revIDLastSave="0" documentId="8_{5E74EA10-27B8-41A4-A324-9A1492447635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C10" i="1"/>
  <c r="D10" i="1"/>
  <c r="E10" i="1" s="1"/>
  <c r="F10" i="1"/>
</calcChain>
</file>

<file path=xl/sharedStrings.xml><?xml version="1.0" encoding="utf-8"?>
<sst xmlns="http://schemas.openxmlformats.org/spreadsheetml/2006/main" count="15" uniqueCount="15">
  <si>
    <t>附件5</t>
  </si>
  <si>
    <t>重点电商企业经营情况</t>
  </si>
  <si>
    <t>序号</t>
  </si>
  <si>
    <t>企业名称</t>
  </si>
  <si>
    <t>总人数</t>
  </si>
  <si>
    <t>在岗人数</t>
  </si>
  <si>
    <t>在岗率</t>
  </si>
  <si>
    <t>订单数</t>
  </si>
  <si>
    <t>京东商城</t>
  </si>
  <si>
    <t>供销社</t>
  </si>
  <si>
    <t>多多买菜</t>
  </si>
  <si>
    <t>吉林省京天科技发展有限公司</t>
  </si>
  <si>
    <t>吉林省吉聚客商贸有限公司</t>
  </si>
  <si>
    <t>美团优选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</si>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</sst>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9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view="pageBreakPreview" zoomScale="89" zoomScaleNormal="100" workbookViewId="0">
      <selection activeCell="A2" sqref="A2:F10"/>
    </sheetView>
  </sheetViews>
  <sheetFormatPr defaultColWidth="9" defaultRowHeight="14.15" x14ac:dyDescent="0.35"/>
  <cols>
    <col min="1" max="1" width="5.35546875" customWidth="1"/>
    <col min="2" max="2" width="26.140625" customWidth="1"/>
    <col min="3" max="3" width="8.140625" customWidth="1"/>
    <col min="4" max="4" width="8.85546875" customWidth="1"/>
    <col min="5" max="5" width="9" customWidth="1"/>
    <col min="6" max="6" width="10.2109375" customWidth="1"/>
  </cols>
  <sheetData>
    <row r="1" spans="1:6" ht="19" customHeight="1" x14ac:dyDescent="0.35">
      <c r="A1" s="2" t="s">
        <v>0</v>
      </c>
    </row>
    <row r="2" spans="1:6" ht="30" customHeight="1" x14ac:dyDescent="0.35">
      <c r="A2" s="13" t="s">
        <v>1</v>
      </c>
      <c r="B2" s="13"/>
      <c r="C2" s="13"/>
      <c r="D2" s="13"/>
      <c r="E2" s="13"/>
      <c r="F2" s="13"/>
    </row>
    <row r="3" spans="1:6" s="1" customFormat="1" ht="24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1" customFormat="1" ht="24" customHeight="1" x14ac:dyDescent="0.35">
      <c r="A4" s="4">
        <v>1</v>
      </c>
      <c r="B4" s="4" t="s">
        <v>8</v>
      </c>
      <c r="C4" s="5">
        <v>1457</v>
      </c>
      <c r="D4" s="4">
        <v>2007</v>
      </c>
      <c r="E4" s="9">
        <f t="shared" ref="E4:E10" si="0">D4/C4</f>
        <v>1.3774879890185312</v>
      </c>
      <c r="F4" s="10">
        <v>180000</v>
      </c>
    </row>
    <row r="5" spans="1:6" s="1" customFormat="1" ht="24" customHeight="1" x14ac:dyDescent="0.35">
      <c r="A5" s="4">
        <v>2</v>
      </c>
      <c r="B5" s="4" t="s">
        <v>9</v>
      </c>
      <c r="C5" s="5">
        <v>2244</v>
      </c>
      <c r="D5" s="4">
        <v>1750</v>
      </c>
      <c r="E5" s="9">
        <f t="shared" si="0"/>
        <v>0.77985739750445637</v>
      </c>
      <c r="F5" s="4">
        <v>165000</v>
      </c>
    </row>
    <row r="6" spans="1:6" s="1" customFormat="1" ht="24" customHeight="1" x14ac:dyDescent="0.35">
      <c r="A6" s="4">
        <v>3</v>
      </c>
      <c r="B6" s="4" t="s">
        <v>10</v>
      </c>
      <c r="C6" s="5">
        <v>600</v>
      </c>
      <c r="D6" s="4">
        <v>123</v>
      </c>
      <c r="E6" s="9">
        <f t="shared" si="0"/>
        <v>0.20499999999999999</v>
      </c>
      <c r="F6" s="4">
        <v>50000</v>
      </c>
    </row>
    <row r="7" spans="1:6" s="1" customFormat="1" ht="24" customHeight="1" x14ac:dyDescent="0.35">
      <c r="A7" s="4">
        <v>4</v>
      </c>
      <c r="B7" s="4" t="s">
        <v>11</v>
      </c>
      <c r="C7" s="5">
        <v>60</v>
      </c>
      <c r="D7" s="4">
        <v>55</v>
      </c>
      <c r="E7" s="9">
        <f t="shared" si="0"/>
        <v>0.91666666666666663</v>
      </c>
      <c r="F7" s="4">
        <v>21250</v>
      </c>
    </row>
    <row r="8" spans="1:6" s="1" customFormat="1" ht="24" customHeight="1" x14ac:dyDescent="0.35">
      <c r="A8" s="4">
        <v>5</v>
      </c>
      <c r="B8" s="4" t="s">
        <v>12</v>
      </c>
      <c r="C8" s="5">
        <v>50</v>
      </c>
      <c r="D8" s="4">
        <v>25</v>
      </c>
      <c r="E8" s="9">
        <f t="shared" si="0"/>
        <v>0.5</v>
      </c>
      <c r="F8" s="4">
        <v>40000</v>
      </c>
    </row>
    <row r="9" spans="1:6" s="1" customFormat="1" ht="24" customHeight="1" x14ac:dyDescent="0.35">
      <c r="A9" s="4">
        <v>6</v>
      </c>
      <c r="B9" s="4" t="s">
        <v>13</v>
      </c>
      <c r="C9" s="5">
        <v>356</v>
      </c>
      <c r="D9" s="6">
        <v>270</v>
      </c>
      <c r="E9" s="9">
        <f t="shared" si="0"/>
        <v>0.7584269662921348</v>
      </c>
      <c r="F9" s="4">
        <v>14000</v>
      </c>
    </row>
    <row r="10" spans="1:6" s="1" customFormat="1" ht="24" customHeight="1" x14ac:dyDescent="0.35">
      <c r="A10" s="4"/>
      <c r="B10" s="7" t="s">
        <v>14</v>
      </c>
      <c r="C10" s="8">
        <f>SUM(C4:C9)</f>
        <v>4767</v>
      </c>
      <c r="D10" s="7">
        <f>SUM(D4:D9)</f>
        <v>4230</v>
      </c>
      <c r="E10" s="11">
        <f t="shared" si="0"/>
        <v>0.88735053492762739</v>
      </c>
      <c r="F10" s="12">
        <f>SUM(F4:F9)</f>
        <v>470250</v>
      </c>
    </row>
  </sheetData>
  <mergeCells count="1">
    <mergeCell ref="A2:F2"/>
  </mergeCells>
  <phoneticPr fontId="8" type="noConversion"/>
  <pageMargins left="0.75138888888888888" right="0.75138888888888888" top="0.78680555555555554" bottom="0.78680555555555554" header="0.5" footer="0.5"/>
  <pageSetup paperSize="9" orientation="portrait" r:id="rId1"/>
  <ignoredErrors>
    <ignoredError sqref="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2022-05-02T14:20:38Z</dcterms:created>
  <dcterms:modified xsi:type="dcterms:W3CDTF">2025-03-30T13:28:56Z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  <property fmtid="{D5CDD505-2E9C-101B-9397-08002B2CF9AE}" pid="3" name="ICV">
    <vt:lpwstr>1BD2BBD62ED1441A8F2DACBB3C23913A</vt:lpwstr>
  </property>
</Properties>
</file>