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0日\"/>
    </mc:Choice>
  </mc:AlternateContent>
  <xr:revisionPtr revIDLastSave="0" documentId="8_{B0F54E65-CCA1-458C-BC37-0DF920AEE328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8" i="1" l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</calcChain>
</file>

<file path=xl/sharedStrings.xml><?xml version="1.0" encoding="utf-8"?>
<sst xmlns="http://schemas.openxmlformats.org/spreadsheetml/2006/main" count="46" uniqueCount="34">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</sst>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57221257814"/>
          <c:y val="1.45297844108630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</c:strCache>
            </c:strRef>
          </c:cat>
          <c:val>
            <c:numRef>
              <c:f>工作表1!$B$2:$B$27</c:f>
              <c:numCache>
                <c:formatCode>0.00_ </c:formatCode>
                <c:ptCount val="26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5.8</c:v>
                </c:pt>
                <c:pt idx="9">
                  <c:v>4.8</c:v>
                </c:pt>
                <c:pt idx="10">
                  <c:v>3.9</c:v>
                </c:pt>
                <c:pt idx="11">
                  <c:v>3.9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4.9000000000000004</c:v>
                </c:pt>
                <c:pt idx="16">
                  <c:v>5.96</c:v>
                </c:pt>
                <c:pt idx="17">
                  <c:v>5.76</c:v>
                </c:pt>
                <c:pt idx="18">
                  <c:v>6.6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  <c:pt idx="23">
                  <c:v>4.5599999999999996</c:v>
                </c:pt>
                <c:pt idx="24">
                  <c:v>4.3600000000000003</c:v>
                </c:pt>
                <c:pt idx="25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B-4C4E-BC43-A3D36D2CBA9A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</c:strCache>
            </c:strRef>
          </c:cat>
          <c:val>
            <c:numRef>
              <c:f>工作表1!$C$2:$C$27</c:f>
              <c:numCache>
                <c:formatCode>0.00_ </c:formatCode>
                <c:ptCount val="26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2.16</c:v>
                </c:pt>
                <c:pt idx="14">
                  <c:v>2.16</c:v>
                </c:pt>
                <c:pt idx="15">
                  <c:v>2.4</c:v>
                </c:pt>
                <c:pt idx="16">
                  <c:v>2.4</c:v>
                </c:pt>
                <c:pt idx="17">
                  <c:v>3.05</c:v>
                </c:pt>
                <c:pt idx="18">
                  <c:v>3.06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B-4C4E-BC43-A3D36D2CBA9A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</c:strCache>
            </c:strRef>
          </c:cat>
          <c:val>
            <c:numRef>
              <c:f>工作表1!$D$2:$D$27</c:f>
              <c:numCache>
                <c:formatCode>0.00_ </c:formatCode>
                <c:ptCount val="26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4.22</c:v>
                </c:pt>
                <c:pt idx="10">
                  <c:v>5.4</c:v>
                </c:pt>
                <c:pt idx="11">
                  <c:v>5.4</c:v>
                </c:pt>
                <c:pt idx="12">
                  <c:v>6.56</c:v>
                </c:pt>
                <c:pt idx="13">
                  <c:v>6.76</c:v>
                </c:pt>
                <c:pt idx="14">
                  <c:v>6.76</c:v>
                </c:pt>
                <c:pt idx="15">
                  <c:v>6.56</c:v>
                </c:pt>
                <c:pt idx="16">
                  <c:v>6.56</c:v>
                </c:pt>
                <c:pt idx="17">
                  <c:v>5.98</c:v>
                </c:pt>
                <c:pt idx="18">
                  <c:v>3.16</c:v>
                </c:pt>
                <c:pt idx="19">
                  <c:v>3.16</c:v>
                </c:pt>
                <c:pt idx="20">
                  <c:v>3.16</c:v>
                </c:pt>
                <c:pt idx="21">
                  <c:v>3.16</c:v>
                </c:pt>
                <c:pt idx="22">
                  <c:v>3.16</c:v>
                </c:pt>
                <c:pt idx="23">
                  <c:v>6.36</c:v>
                </c:pt>
                <c:pt idx="24">
                  <c:v>6.36</c:v>
                </c:pt>
                <c:pt idx="25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EB-4C4E-BC43-A3D36D2CBA9A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</c:strCache>
            </c:strRef>
          </c:cat>
          <c:val>
            <c:numRef>
              <c:f>工作表1!$E$2:$E$27</c:f>
              <c:numCache>
                <c:formatCode>0.00_ </c:formatCode>
                <c:ptCount val="26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2.79</c:v>
                </c:pt>
                <c:pt idx="10">
                  <c:v>4.7</c:v>
                </c:pt>
                <c:pt idx="11">
                  <c:v>4.7</c:v>
                </c:pt>
                <c:pt idx="12">
                  <c:v>5.76</c:v>
                </c:pt>
                <c:pt idx="13">
                  <c:v>5.76</c:v>
                </c:pt>
                <c:pt idx="14">
                  <c:v>5.76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  <c:pt idx="25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EB-4C4E-BC43-A3D36D2CBA9A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</c:strCache>
            </c:strRef>
          </c:cat>
          <c:val>
            <c:numRef>
              <c:f>工作表1!$F$2:$F$27</c:f>
              <c:numCache>
                <c:formatCode>0.00_ </c:formatCode>
                <c:ptCount val="26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10.4</c:v>
                </c:pt>
                <c:pt idx="11">
                  <c:v>10.4</c:v>
                </c:pt>
                <c:pt idx="12">
                  <c:v>13.96</c:v>
                </c:pt>
                <c:pt idx="13">
                  <c:v>12.96</c:v>
                </c:pt>
                <c:pt idx="14">
                  <c:v>10.56</c:v>
                </c:pt>
                <c:pt idx="15">
                  <c:v>10.7</c:v>
                </c:pt>
                <c:pt idx="16">
                  <c:v>10.76</c:v>
                </c:pt>
                <c:pt idx="17">
                  <c:v>9.9600000000000009</c:v>
                </c:pt>
                <c:pt idx="18">
                  <c:v>10.199999999999999</c:v>
                </c:pt>
                <c:pt idx="19">
                  <c:v>10.56</c:v>
                </c:pt>
                <c:pt idx="20">
                  <c:v>11.36</c:v>
                </c:pt>
                <c:pt idx="21">
                  <c:v>11.56</c:v>
                </c:pt>
                <c:pt idx="22">
                  <c:v>12.96</c:v>
                </c:pt>
                <c:pt idx="23">
                  <c:v>12.96</c:v>
                </c:pt>
                <c:pt idx="24">
                  <c:v>12.96</c:v>
                </c:pt>
                <c:pt idx="25">
                  <c:v>12.96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EB-4C4E-BC43-A3D36D2CBA9A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</c:strCache>
            </c:strRef>
          </c:cat>
          <c:val>
            <c:numRef>
              <c:f>工作表1!$G$2:$G$27</c:f>
              <c:numCache>
                <c:formatCode>0.00_ </c:formatCode>
                <c:ptCount val="26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9.4</c:v>
                </c:pt>
                <c:pt idx="10">
                  <c:v>8.8000000000000007</c:v>
                </c:pt>
                <c:pt idx="11">
                  <c:v>6</c:v>
                </c:pt>
                <c:pt idx="12">
                  <c:v>11.76</c:v>
                </c:pt>
                <c:pt idx="13">
                  <c:v>10.96</c:v>
                </c:pt>
                <c:pt idx="14">
                  <c:v>6.36</c:v>
                </c:pt>
                <c:pt idx="15">
                  <c:v>7.96</c:v>
                </c:pt>
                <c:pt idx="16">
                  <c:v>7.96</c:v>
                </c:pt>
                <c:pt idx="17">
                  <c:v>7.96</c:v>
                </c:pt>
                <c:pt idx="18">
                  <c:v>6.56</c:v>
                </c:pt>
                <c:pt idx="19">
                  <c:v>9.16</c:v>
                </c:pt>
                <c:pt idx="20">
                  <c:v>6.76</c:v>
                </c:pt>
                <c:pt idx="21">
                  <c:v>6.96</c:v>
                </c:pt>
                <c:pt idx="22">
                  <c:v>7.16</c:v>
                </c:pt>
                <c:pt idx="23">
                  <c:v>7.16</c:v>
                </c:pt>
                <c:pt idx="24">
                  <c:v>7.17</c:v>
                </c:pt>
                <c:pt idx="25">
                  <c:v>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EB-4C4E-BC43-A3D36D2CBA9A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</c:strCache>
            </c:strRef>
          </c:cat>
          <c:val>
            <c:numRef>
              <c:f>工作表1!$H$2:$H$27</c:f>
              <c:numCache>
                <c:formatCode>0.00_ </c:formatCode>
                <c:ptCount val="26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7.2</c:v>
                </c:pt>
                <c:pt idx="8">
                  <c:v>14.7</c:v>
                </c:pt>
                <c:pt idx="9">
                  <c:v>12.4</c:v>
                </c:pt>
                <c:pt idx="10">
                  <c:v>14.7</c:v>
                </c:pt>
                <c:pt idx="11">
                  <c:v>14.7</c:v>
                </c:pt>
                <c:pt idx="12">
                  <c:v>17.920000000000002</c:v>
                </c:pt>
                <c:pt idx="13">
                  <c:v>18.36</c:v>
                </c:pt>
                <c:pt idx="14">
                  <c:v>13.56</c:v>
                </c:pt>
                <c:pt idx="15">
                  <c:v>13</c:v>
                </c:pt>
                <c:pt idx="16">
                  <c:v>13</c:v>
                </c:pt>
                <c:pt idx="17">
                  <c:v>8.76</c:v>
                </c:pt>
                <c:pt idx="18">
                  <c:v>9.5</c:v>
                </c:pt>
                <c:pt idx="19">
                  <c:v>9.56</c:v>
                </c:pt>
                <c:pt idx="20">
                  <c:v>13.36</c:v>
                </c:pt>
                <c:pt idx="21">
                  <c:v>13.36</c:v>
                </c:pt>
                <c:pt idx="22">
                  <c:v>11.96</c:v>
                </c:pt>
                <c:pt idx="23">
                  <c:v>10.96</c:v>
                </c:pt>
                <c:pt idx="24">
                  <c:v>10.56</c:v>
                </c:pt>
                <c:pt idx="25">
                  <c:v>10.56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EB-4C4E-BC43-A3D36D2CBA9A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工作表1!$A$2:$A$27</c:f>
              <c:strCache>
                <c:ptCount val="2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</c:strCache>
            </c:strRef>
          </c:cat>
          <c:val>
            <c:numRef>
              <c:f>工作表1!$I$2:$I$27</c:f>
              <c:numCache>
                <c:formatCode>0.00_ </c:formatCode>
                <c:ptCount val="26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10.52</c:v>
                </c:pt>
                <c:pt idx="13">
                  <c:v>10.52</c:v>
                </c:pt>
                <c:pt idx="14">
                  <c:v>10.52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10.52</c:v>
                </c:pt>
                <c:pt idx="19">
                  <c:v>9.92</c:v>
                </c:pt>
                <c:pt idx="20">
                  <c:v>4.96</c:v>
                </c:pt>
                <c:pt idx="21">
                  <c:v>4.96</c:v>
                </c:pt>
                <c:pt idx="22">
                  <c:v>7.56</c:v>
                </c:pt>
                <c:pt idx="23">
                  <c:v>7.56</c:v>
                </c:pt>
                <c:pt idx="24">
                  <c:v>4.3600000000000003</c:v>
                </c:pt>
                <c:pt idx="25">
                  <c:v>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EB-4C4E-BC43-A3D36D2CB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311648"/>
        <c:axId val="1"/>
      </c:lineChart>
      <c:catAx>
        <c:axId val="46831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4683116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0188684655286196"/>
          <c:y val="0.94989030473388281"/>
          <c:w val="0.63386938671117743"/>
          <c:h val="3.5284292844464854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473529</xdr:colOff>
      <xdr:row>17</xdr:row>
      <xdr:rowOff>239486</xdr:rowOff>
    </xdr:from>
    <xdr:to>
      <xdr:col>27</xdr:col>
      <xdr:colOff>27214</xdr:colOff>
      <xdr:row>38</xdr:row>
      <xdr:rowOff>179614</xdr:rowOff>
    </xdr:to>
    <xdr:graphicFrame macro="">
      <xdr:nvGraphicFramePr>
        <xdr:cNvPr id="1127" name="图表 2">
          <a:extLst>
            <a:ext uri="{FF2B5EF4-FFF2-40B4-BE49-F238E27FC236}">
              <a16:creationId xmlns:a16="http://schemas.microsoft.com/office/drawing/2014/main" id="{F48BC57C-60E5-4663-A5D0-462F139B8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tabSelected="1" topLeftCell="A18" zoomScale="85" workbookViewId="0">
      <selection activeCell="A28" sqref="A28:IV28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35.700000000000003" customHeight="1">
      <c r="A9" s="6" t="s">
        <v>17</v>
      </c>
      <c r="B9" s="7">
        <v>4.9000000000000004</v>
      </c>
      <c r="C9" s="7">
        <v>2.2000000000000002</v>
      </c>
      <c r="D9" s="7">
        <v>2.2000000000000002</v>
      </c>
      <c r="E9" s="7">
        <v>3</v>
      </c>
      <c r="F9" s="7">
        <v>13</v>
      </c>
      <c r="G9" s="7">
        <v>8.8000000000000007</v>
      </c>
      <c r="H9" s="7">
        <v>7.2</v>
      </c>
      <c r="I9" s="7">
        <v>4</v>
      </c>
      <c r="J9" s="13"/>
    </row>
    <row r="10" spans="1:10" ht="27.75" customHeight="1">
      <c r="A10" s="6" t="s">
        <v>18</v>
      </c>
      <c r="B10" s="8">
        <v>5.8</v>
      </c>
      <c r="C10" s="8">
        <v>2.2000000000000002</v>
      </c>
      <c r="D10" s="8">
        <v>2.2000000000000002</v>
      </c>
      <c r="E10" s="8">
        <v>3.1</v>
      </c>
      <c r="F10" s="8">
        <v>13</v>
      </c>
      <c r="G10" s="8">
        <v>8.8000000000000007</v>
      </c>
      <c r="H10" s="8">
        <v>14.7</v>
      </c>
      <c r="I10" s="8">
        <v>8</v>
      </c>
      <c r="J10" s="8"/>
    </row>
    <row r="11" spans="1:10" ht="27.75" customHeight="1">
      <c r="A11" s="6" t="s">
        <v>19</v>
      </c>
      <c r="B11" s="8">
        <v>4.8</v>
      </c>
      <c r="C11" s="8">
        <v>1.8</v>
      </c>
      <c r="D11" s="8">
        <v>4.22</v>
      </c>
      <c r="E11" s="8">
        <v>2.79</v>
      </c>
      <c r="F11" s="8">
        <v>9</v>
      </c>
      <c r="G11" s="8">
        <v>9.4</v>
      </c>
      <c r="H11" s="8">
        <v>12.4</v>
      </c>
      <c r="I11" s="8">
        <v>8</v>
      </c>
      <c r="J11" s="8"/>
    </row>
    <row r="12" spans="1:10" ht="27.75" customHeight="1">
      <c r="A12" s="6" t="s">
        <v>20</v>
      </c>
      <c r="B12" s="8">
        <v>3.9</v>
      </c>
      <c r="C12" s="8">
        <v>1.8</v>
      </c>
      <c r="D12" s="8">
        <v>5.4</v>
      </c>
      <c r="E12" s="8">
        <v>4.7</v>
      </c>
      <c r="F12" s="8">
        <v>10.4</v>
      </c>
      <c r="G12" s="8">
        <v>8.8000000000000007</v>
      </c>
      <c r="H12" s="8">
        <v>14.7</v>
      </c>
      <c r="I12" s="8">
        <v>8</v>
      </c>
      <c r="J12" s="8"/>
    </row>
    <row r="13" spans="1:10" ht="27.75" customHeight="1">
      <c r="A13" s="6" t="s">
        <v>21</v>
      </c>
      <c r="B13" s="8">
        <v>3.9</v>
      </c>
      <c r="C13" s="8">
        <v>1.8</v>
      </c>
      <c r="D13" s="8">
        <v>5.4</v>
      </c>
      <c r="E13" s="8">
        <v>4.7</v>
      </c>
      <c r="F13" s="8">
        <v>10.4</v>
      </c>
      <c r="G13" s="8">
        <v>6</v>
      </c>
      <c r="H13" s="8">
        <v>14.7</v>
      </c>
      <c r="I13" s="8">
        <v>8</v>
      </c>
      <c r="J13" s="8"/>
    </row>
    <row r="14" spans="1:10" ht="27.75" customHeight="1">
      <c r="A14" s="6" t="s">
        <v>10</v>
      </c>
      <c r="B14" s="8">
        <v>4.76</v>
      </c>
      <c r="C14" s="8">
        <v>2.7</v>
      </c>
      <c r="D14" s="8">
        <v>6.56</v>
      </c>
      <c r="E14" s="8">
        <v>5.76</v>
      </c>
      <c r="F14" s="8">
        <v>13.96</v>
      </c>
      <c r="G14" s="8">
        <v>11.76</v>
      </c>
      <c r="H14" s="8">
        <v>17.920000000000002</v>
      </c>
      <c r="I14" s="8">
        <v>10.52</v>
      </c>
      <c r="J14" s="8"/>
    </row>
    <row r="15" spans="1:10" ht="27.75" customHeight="1">
      <c r="A15" s="6" t="s">
        <v>22</v>
      </c>
      <c r="B15" s="8">
        <v>4.76</v>
      </c>
      <c r="C15" s="8">
        <v>2.16</v>
      </c>
      <c r="D15" s="8">
        <v>6.76</v>
      </c>
      <c r="E15" s="8">
        <v>5.76</v>
      </c>
      <c r="F15" s="8">
        <v>12.96</v>
      </c>
      <c r="G15" s="8">
        <v>10.96</v>
      </c>
      <c r="H15" s="8">
        <v>18.36</v>
      </c>
      <c r="I15" s="8">
        <v>10.52</v>
      </c>
      <c r="J15" s="8"/>
    </row>
    <row r="16" spans="1:10" ht="27.75" customHeight="1">
      <c r="A16" s="6" t="s">
        <v>23</v>
      </c>
      <c r="B16" s="8">
        <v>4.76</v>
      </c>
      <c r="C16" s="8">
        <v>2.16</v>
      </c>
      <c r="D16" s="8">
        <v>6.76</v>
      </c>
      <c r="E16" s="8">
        <v>5.76</v>
      </c>
      <c r="F16" s="8">
        <v>10.56</v>
      </c>
      <c r="G16" s="8">
        <v>6.36</v>
      </c>
      <c r="H16" s="8">
        <v>13.56</v>
      </c>
      <c r="I16" s="8">
        <v>10.52</v>
      </c>
      <c r="J16" s="8"/>
    </row>
    <row r="17" spans="1:10" ht="27.75" customHeight="1">
      <c r="A17" s="6" t="s">
        <v>11</v>
      </c>
      <c r="B17" s="8">
        <v>4.9000000000000004</v>
      </c>
      <c r="C17" s="8">
        <v>2.4</v>
      </c>
      <c r="D17" s="8">
        <v>6.56</v>
      </c>
      <c r="E17" s="8">
        <v>5.8</v>
      </c>
      <c r="F17" s="8">
        <v>10.7</v>
      </c>
      <c r="G17" s="8">
        <v>7.96</v>
      </c>
      <c r="H17" s="8">
        <v>13</v>
      </c>
      <c r="I17" s="8">
        <v>10.52</v>
      </c>
      <c r="J17" s="8"/>
    </row>
    <row r="18" spans="1:10" ht="27.75" customHeight="1">
      <c r="A18" s="6" t="s">
        <v>24</v>
      </c>
      <c r="B18" s="8">
        <v>5.96</v>
      </c>
      <c r="C18" s="8">
        <v>2.4</v>
      </c>
      <c r="D18" s="8">
        <v>6.56</v>
      </c>
      <c r="E18" s="8">
        <v>5.8</v>
      </c>
      <c r="F18" s="8">
        <v>10.76</v>
      </c>
      <c r="G18" s="8">
        <v>7.96</v>
      </c>
      <c r="H18" s="8">
        <v>13</v>
      </c>
      <c r="I18" s="8">
        <v>10.52</v>
      </c>
      <c r="J18" s="8">
        <v>8</v>
      </c>
    </row>
    <row r="19" spans="1:10" ht="27.75" customHeight="1">
      <c r="A19" s="6" t="s">
        <v>25</v>
      </c>
      <c r="B19" s="8">
        <v>5.76</v>
      </c>
      <c r="C19" s="8">
        <v>3.05</v>
      </c>
      <c r="D19" s="8">
        <v>5.98</v>
      </c>
      <c r="E19" s="8">
        <v>5.8</v>
      </c>
      <c r="F19" s="8">
        <v>9.9600000000000009</v>
      </c>
      <c r="G19" s="8">
        <v>7.96</v>
      </c>
      <c r="H19" s="8">
        <v>8.76</v>
      </c>
      <c r="I19" s="8">
        <v>10.52</v>
      </c>
      <c r="J19" s="8"/>
    </row>
    <row r="20" spans="1:10" ht="27.75" customHeight="1">
      <c r="A20" s="6" t="s">
        <v>26</v>
      </c>
      <c r="B20" s="8">
        <v>6.6</v>
      </c>
      <c r="C20" s="8">
        <v>3.06</v>
      </c>
      <c r="D20" s="8">
        <v>3.16</v>
      </c>
      <c r="E20" s="8">
        <v>5.8</v>
      </c>
      <c r="F20" s="8">
        <v>10.199999999999999</v>
      </c>
      <c r="G20" s="8">
        <v>6.56</v>
      </c>
      <c r="H20" s="8">
        <v>9.5</v>
      </c>
      <c r="I20" s="8">
        <v>10.52</v>
      </c>
      <c r="J20" s="8"/>
    </row>
    <row r="21" spans="1:10" ht="27.75" customHeight="1">
      <c r="A21" s="6" t="s">
        <v>27</v>
      </c>
      <c r="B21" s="8">
        <v>6.76</v>
      </c>
      <c r="C21" s="8">
        <v>2.4</v>
      </c>
      <c r="D21" s="8">
        <v>3.16</v>
      </c>
      <c r="E21" s="8">
        <v>5.76</v>
      </c>
      <c r="F21" s="8">
        <v>10.56</v>
      </c>
      <c r="G21" s="8">
        <v>9.16</v>
      </c>
      <c r="H21" s="8">
        <v>9.56</v>
      </c>
      <c r="I21" s="8">
        <v>9.92</v>
      </c>
      <c r="J21" s="8"/>
    </row>
    <row r="22" spans="1:10" ht="27.75" customHeight="1">
      <c r="A22" s="6" t="s">
        <v>12</v>
      </c>
      <c r="B22" s="8">
        <v>6.76</v>
      </c>
      <c r="C22" s="8">
        <v>2.4</v>
      </c>
      <c r="D22" s="8">
        <v>3.16</v>
      </c>
      <c r="E22" s="8">
        <v>5.76</v>
      </c>
      <c r="F22" s="8">
        <v>11.36</v>
      </c>
      <c r="G22" s="8">
        <v>6.76</v>
      </c>
      <c r="H22" s="8">
        <v>13.36</v>
      </c>
      <c r="I22" s="8">
        <v>4.96</v>
      </c>
      <c r="J22" s="8"/>
    </row>
    <row r="23" spans="1:10" ht="27.75" customHeight="1">
      <c r="A23" s="6" t="s">
        <v>28</v>
      </c>
      <c r="B23" s="8">
        <v>6.76</v>
      </c>
      <c r="C23" s="8">
        <v>2.4</v>
      </c>
      <c r="D23" s="8">
        <v>3.16</v>
      </c>
      <c r="E23" s="8">
        <v>5.76</v>
      </c>
      <c r="F23" s="8">
        <v>11.56</v>
      </c>
      <c r="G23" s="8">
        <v>6.96</v>
      </c>
      <c r="H23" s="8">
        <v>13.36</v>
      </c>
      <c r="I23" s="8">
        <v>4.96</v>
      </c>
      <c r="J23" s="8"/>
    </row>
    <row r="24" spans="1:10" ht="27.75" customHeight="1">
      <c r="A24" s="6" t="s">
        <v>29</v>
      </c>
      <c r="B24" s="8">
        <v>6.76</v>
      </c>
      <c r="C24" s="8">
        <v>2.4</v>
      </c>
      <c r="D24" s="8">
        <v>3.16</v>
      </c>
      <c r="E24" s="8">
        <v>5.76</v>
      </c>
      <c r="F24" s="8">
        <v>12.96</v>
      </c>
      <c r="G24" s="8">
        <v>7.16</v>
      </c>
      <c r="H24" s="8">
        <v>11.96</v>
      </c>
      <c r="I24" s="8">
        <v>7.56</v>
      </c>
      <c r="J24" s="8"/>
    </row>
    <row r="25" spans="1:10" ht="27.75" customHeight="1">
      <c r="A25" s="6" t="s">
        <v>30</v>
      </c>
      <c r="B25" s="8">
        <v>4.5599999999999996</v>
      </c>
      <c r="C25" s="8">
        <v>2.7</v>
      </c>
      <c r="D25" s="8">
        <v>6.36</v>
      </c>
      <c r="E25" s="8">
        <v>5.76</v>
      </c>
      <c r="F25" s="8">
        <v>12.96</v>
      </c>
      <c r="G25" s="8">
        <v>7.16</v>
      </c>
      <c r="H25" s="8">
        <v>10.96</v>
      </c>
      <c r="I25" s="8">
        <v>7.56</v>
      </c>
      <c r="J25" s="8"/>
    </row>
    <row r="26" spans="1:10" ht="27.75" customHeight="1">
      <c r="A26" s="6" t="s">
        <v>31</v>
      </c>
      <c r="B26" s="8">
        <v>4.3600000000000003</v>
      </c>
      <c r="C26" s="8">
        <v>2.7</v>
      </c>
      <c r="D26" s="8">
        <v>6.36</v>
      </c>
      <c r="E26" s="8">
        <v>5.76</v>
      </c>
      <c r="F26" s="8">
        <v>12.96</v>
      </c>
      <c r="G26" s="8">
        <v>7.17</v>
      </c>
      <c r="H26" s="8">
        <v>10.56</v>
      </c>
      <c r="I26" s="8">
        <v>4.3600000000000003</v>
      </c>
      <c r="J26" s="8"/>
    </row>
    <row r="27" spans="1:10" ht="27.75" customHeight="1">
      <c r="A27" s="6" t="s">
        <v>13</v>
      </c>
      <c r="B27" s="8">
        <v>4.3600000000000003</v>
      </c>
      <c r="C27" s="8">
        <v>2.7</v>
      </c>
      <c r="D27" s="8">
        <v>6.36</v>
      </c>
      <c r="E27" s="8">
        <v>5.76</v>
      </c>
      <c r="F27" s="8">
        <v>12.96</v>
      </c>
      <c r="G27" s="8">
        <v>7.16</v>
      </c>
      <c r="H27" s="8">
        <v>10.56</v>
      </c>
      <c r="I27" s="8">
        <v>4.96</v>
      </c>
      <c r="J27" s="8"/>
    </row>
    <row r="28" spans="1:10" ht="27.75" customHeight="1">
      <c r="B28" s="8">
        <f>B27/2</f>
        <v>2.1800000000000002</v>
      </c>
      <c r="C28" s="8">
        <f t="shared" ref="C28:I28" si="0">C27/2</f>
        <v>1.35</v>
      </c>
      <c r="D28" s="8">
        <f t="shared" si="0"/>
        <v>3.18</v>
      </c>
      <c r="E28" s="8">
        <f t="shared" si="0"/>
        <v>2.88</v>
      </c>
      <c r="F28" s="8">
        <f t="shared" si="0"/>
        <v>6.48</v>
      </c>
      <c r="G28" s="8">
        <f t="shared" si="0"/>
        <v>3.58</v>
      </c>
      <c r="H28" s="8">
        <f t="shared" si="0"/>
        <v>5.28</v>
      </c>
      <c r="I28" s="8">
        <f t="shared" si="0"/>
        <v>2.48</v>
      </c>
      <c r="J28" s="8"/>
    </row>
    <row r="29" spans="1:10" ht="19.95" customHeight="1">
      <c r="A29" s="9" t="s">
        <v>32</v>
      </c>
      <c r="B29" s="10">
        <f>B27/B26-1</f>
        <v>0</v>
      </c>
      <c r="C29" s="10">
        <f t="shared" ref="C29:I29" si="1">C27/C26-1</f>
        <v>0</v>
      </c>
      <c r="D29" s="10">
        <f t="shared" si="1"/>
        <v>0</v>
      </c>
      <c r="E29" s="10">
        <f t="shared" si="1"/>
        <v>0</v>
      </c>
      <c r="F29" s="10">
        <f t="shared" si="1"/>
        <v>0</v>
      </c>
      <c r="G29" s="10">
        <f t="shared" si="1"/>
        <v>-1.3947001394699621E-3</v>
      </c>
      <c r="H29" s="10">
        <f t="shared" si="1"/>
        <v>0</v>
      </c>
      <c r="I29" s="10">
        <f t="shared" si="1"/>
        <v>0.13761467889908241</v>
      </c>
      <c r="J29" s="10"/>
    </row>
    <row r="30" spans="1:10" ht="25.2" customHeight="1">
      <c r="A30" s="9" t="s">
        <v>33</v>
      </c>
      <c r="B30" s="10">
        <f>B27/B2-1</f>
        <v>0.36250000000000004</v>
      </c>
      <c r="C30" s="10">
        <f t="shared" ref="C30:I30" si="2">C27/C2-1</f>
        <v>0.5</v>
      </c>
      <c r="D30" s="10">
        <f t="shared" si="2"/>
        <v>2.1800000000000002</v>
      </c>
      <c r="E30" s="10">
        <f t="shared" si="2"/>
        <v>1.88</v>
      </c>
      <c r="F30" s="10">
        <f t="shared" si="2"/>
        <v>0.11724137931034484</v>
      </c>
      <c r="G30" s="10">
        <f t="shared" si="2"/>
        <v>-5.5555555555555358E-3</v>
      </c>
      <c r="H30" s="10">
        <f t="shared" si="2"/>
        <v>0.60000000000000009</v>
      </c>
      <c r="I30" s="10">
        <f t="shared" si="2"/>
        <v>-8.1481481481481599E-2</v>
      </c>
      <c r="J30" s="10"/>
    </row>
    <row r="31" spans="1:10"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