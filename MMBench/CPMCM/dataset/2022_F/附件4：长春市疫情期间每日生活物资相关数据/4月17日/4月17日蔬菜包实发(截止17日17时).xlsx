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7日\"/>
    </mc:Choice>
  </mc:AlternateContent>
  <xr:revisionPtr revIDLastSave="0" documentId="8_{4E7F5388-94F9-4F4A-B5FC-D00A8032F417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F4" i="3"/>
  <c r="H4" i="3"/>
  <c r="I4" i="3"/>
  <c r="F14" i="3"/>
  <c r="F15" i="3"/>
  <c r="F16" i="3"/>
</calcChain>
</file>

<file path=xl/sharedStrings.xml><?xml version="1.0" encoding="utf-8"?>
<sst xmlns="http://schemas.openxmlformats.org/spreadsheetml/2006/main" count="40" uniqueCount="27">
  <si>
    <t>4月17日蔬菜包（箱）发放表</t>
  </si>
  <si>
    <t>序号</t>
  </si>
  <si>
    <t>城区、开发区</t>
  </si>
  <si>
    <r>
      <t>4月15</t>
    </r>
    <r>
      <rPr>
        <b/>
        <sz val="11"/>
        <rFont val="宋体"/>
        <charset val="134"/>
      </rPr>
      <t>日提报需求量</t>
    </r>
  </si>
  <si>
    <t>4月17日实际发放量</t>
  </si>
  <si>
    <t>备注</t>
  </si>
  <si>
    <r>
      <t>4月16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</si>
  <si>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</si>
  <si>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</si>
  <si>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</si>
  <si>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</si>
  <si>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</si>
  <si>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</si>
  <si>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</si>
  <si>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二道</t>
  </si>
  <si>
    <t>绿园</t>
  </si>
  <si>
    <t>新区</t>
  </si>
  <si>
    <t>经开</t>
  </si>
  <si>
    <t>省内市州供应。</t>
  </si>
  <si>
    <t>净月</t>
  </si>
  <si>
    <t>汽开</t>
  </si>
  <si>
    <t>长春职业技术学院</t>
  </si>
  <si>
    <t>免费赠予，清理库存</t>
  </si>
  <si>
    <t>长春市第一中等专业学校</t>
  </si>
  <si>
    <t>长春市第二中等专业学校</t>
  </si>
  <si>
    <r>
      <t>制表时间：4月1</t>
    </r>
    <r>
      <rPr>
        <sz val="11"/>
        <color indexed="8"/>
        <rFont val="宋体"/>
        <charset val="134"/>
      </rPr>
      <t>7</t>
    </r>
    <r>
      <rPr>
        <sz val="11"/>
        <color indexed="8"/>
        <rFont val="宋体"/>
        <charset val="134"/>
      </rPr>
      <t>日17时</t>
    </r>
  </si>
  <si>
    <t xml:space="preserve">    注：17日到货10314箱92.83吨（进入公主岭库存），发放给各区0箱0吨，发放给学校和团体的16200箱145.8吨（从双阳即将变质或部分轻微变质的库存蔬菜中调出），（16日到货6187箱55.68吨已临近保质期无法长期保存，已退货），截止17日库存21100箱189.9吨（其中，公主岭库存14312箱128.81吨，双阳库存6788箱61.09吨）。考虑库存蔬菜破损及腐烂情况，不定期清理库存，经研究决定将库存蔬菜免费赠予有需求的学校、医院、复工企业、特殊团体等单位。腐烂变质严重的蔬菜，无法食用，建议由属地对其进行销毁处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</si>
</sst>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.00_ "/>
    <numFmt numFmtId="179" formatCode="0_ "/>
  </numFmts>
  <fonts count="10" x14ac:knownFonts="1">
    <font>
      <sz val="11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11"/>
      <name val="等线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>
      <alignment vertical="center"/>
    </xf>
    <xf numFmtId="49" fontId="6" fillId="3" borderId="4" xfId="0" applyNumberFormat="1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/>
    </xf>
    <xf numFmtId="177" fontId="5" fillId="3" borderId="4" xfId="0" applyNumberFormat="1" applyFont="1" applyFill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176" fontId="6" fillId="0" borderId="4" xfId="0" applyNumberFormat="1" applyFont="1" applyFill="1" applyBorder="1" applyAlignment="1">
      <alignment horizontal="center" vertical="center"/>
    </xf>
    <xf numFmtId="178" fontId="5" fillId="0" borderId="4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178" fontId="0" fillId="0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7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178" fontId="5" fillId="0" borderId="6" xfId="0" applyNumberFormat="1" applyFont="1" applyFill="1" applyBorder="1" applyAlignment="1">
      <alignment horizontal="center" vertical="center"/>
    </xf>
    <xf numFmtId="49" fontId="5" fillId="0" borderId="0" xfId="0" applyNumberFormat="1" applyFont="1" applyFill="1">
      <alignment vertical="center"/>
    </xf>
    <xf numFmtId="49" fontId="6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9" fontId="5" fillId="5" borderId="4" xfId="0" applyNumberFormat="1" applyFont="1" applyFill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center" vertical="center"/>
    </xf>
    <xf numFmtId="178" fontId="5" fillId="3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176" fontId="0" fillId="3" borderId="4" xfId="0" applyNumberFormat="1" applyFont="1" applyFill="1" applyBorder="1" applyAlignment="1">
      <alignment horizontal="center" vertical="center"/>
    </xf>
    <xf numFmtId="178" fontId="0" fillId="3" borderId="4" xfId="0" applyNumberFormat="1" applyFont="1" applyFill="1" applyBorder="1" applyAlignment="1">
      <alignment horizontal="center" vertical="center"/>
    </xf>
    <xf numFmtId="176" fontId="0" fillId="3" borderId="6" xfId="0" applyNumberFormat="1" applyFont="1" applyFill="1" applyBorder="1" applyAlignment="1">
      <alignment horizontal="center" vertical="center"/>
    </xf>
    <xf numFmtId="178" fontId="5" fillId="3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176" fontId="6" fillId="0" borderId="6" xfId="0" applyNumberFormat="1" applyFont="1" applyFill="1" applyBorder="1" applyAlignment="1">
      <alignment horizontal="center" vertical="center"/>
    </xf>
    <xf numFmtId="176" fontId="0" fillId="4" borderId="4" xfId="0" applyNumberFormat="1" applyFont="1" applyFill="1" applyBorder="1" applyAlignment="1">
      <alignment horizontal="center" vertical="center"/>
    </xf>
    <xf numFmtId="178" fontId="5" fillId="4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right" vertical="center" indent="1"/>
    </xf>
    <xf numFmtId="176" fontId="0" fillId="4" borderId="6" xfId="0" applyNumberFormat="1" applyFont="1" applyFill="1" applyBorder="1" applyAlignment="1">
      <alignment horizontal="center" vertical="center"/>
    </xf>
    <xf numFmtId="178" fontId="5" fillId="4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right" vertical="center" indent="1"/>
    </xf>
    <xf numFmtId="177" fontId="0" fillId="0" borderId="0" xfId="0" applyNumberFormat="1">
      <alignment vertical="center"/>
    </xf>
    <xf numFmtId="49" fontId="4" fillId="2" borderId="8" xfId="0" applyNumberFormat="1" applyFont="1" applyFill="1" applyBorder="1" applyAlignment="1">
      <alignment horizontal="center" vertical="center"/>
    </xf>
    <xf numFmtId="178" fontId="5" fillId="5" borderId="8" xfId="0" applyNumberFormat="1" applyFont="1" applyFill="1" applyBorder="1" applyAlignment="1">
      <alignment horizontal="center" vertical="center"/>
    </xf>
    <xf numFmtId="178" fontId="5" fillId="0" borderId="8" xfId="0" applyNumberFormat="1" applyFont="1" applyFill="1" applyBorder="1" applyAlignment="1">
      <alignment horizontal="center" vertical="center"/>
    </xf>
    <xf numFmtId="178" fontId="5" fillId="0" borderId="9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4" borderId="0" xfId="0" applyNumberFormat="1" applyFont="1" applyFill="1" applyAlignment="1">
      <alignment horizontal="left" vertical="center" wrapText="1"/>
    </xf>
    <xf numFmtId="0" fontId="0" fillId="4" borderId="0" xfId="0" applyNumberForma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zoomScaleSheetLayoutView="100" workbookViewId="0">
      <selection activeCell="K8" sqref="K8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9" ht="40" customHeight="1" x14ac:dyDescent="0.3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9" ht="27" customHeight="1" x14ac:dyDescent="0.3">
      <c r="A2" s="52" t="s">
        <v>1</v>
      </c>
      <c r="B2" s="54" t="s">
        <v>2</v>
      </c>
      <c r="C2" s="49" t="s">
        <v>3</v>
      </c>
      <c r="D2" s="49"/>
      <c r="E2" s="49" t="s">
        <v>4</v>
      </c>
      <c r="F2" s="49"/>
      <c r="G2" s="56" t="s">
        <v>5</v>
      </c>
      <c r="H2" s="49" t="s">
        <v>6</v>
      </c>
      <c r="I2" s="50"/>
    </row>
    <row r="3" spans="1:9" ht="27" customHeight="1" x14ac:dyDescent="0.3">
      <c r="A3" s="53"/>
      <c r="B3" s="55"/>
      <c r="C3" s="1" t="s">
        <v>7</v>
      </c>
      <c r="D3" s="1" t="s">
        <v>8</v>
      </c>
      <c r="E3" s="1" t="s">
        <v>7</v>
      </c>
      <c r="F3" s="1" t="s">
        <v>8</v>
      </c>
      <c r="G3" s="57"/>
      <c r="H3" s="1" t="s">
        <v>7</v>
      </c>
      <c r="I3" s="44" t="s">
        <v>8</v>
      </c>
    </row>
    <row r="4" spans="1:9" ht="28" customHeight="1" x14ac:dyDescent="0.3">
      <c r="A4" s="2"/>
      <c r="B4" s="3" t="s">
        <v>9</v>
      </c>
      <c r="C4" s="4">
        <f>SUM(C5:C13)</f>
        <v>20000</v>
      </c>
      <c r="D4" s="5">
        <f>SUM(D5:D13)</f>
        <v>180</v>
      </c>
      <c r="E4" s="4">
        <f>SUM(E5:E16)</f>
        <v>16200</v>
      </c>
      <c r="F4" s="5">
        <f>SUM(F5:F16)</f>
        <v>145.80000000000001</v>
      </c>
      <c r="G4" s="24"/>
      <c r="H4" s="25">
        <f>SUM(H5:H13)</f>
        <v>2000</v>
      </c>
      <c r="I4" s="45">
        <f>SUM(I5:I13)</f>
        <v>18</v>
      </c>
    </row>
    <row r="5" spans="1:9" ht="28" customHeight="1" x14ac:dyDescent="0.3">
      <c r="A5" s="6">
        <v>1</v>
      </c>
      <c r="B5" s="7" t="s">
        <v>10</v>
      </c>
      <c r="C5" s="8">
        <v>0</v>
      </c>
      <c r="D5" s="9">
        <v>0</v>
      </c>
      <c r="E5" s="26">
        <v>0</v>
      </c>
      <c r="F5" s="27">
        <v>0</v>
      </c>
      <c r="G5" s="28" t="s">
        <v>11</v>
      </c>
      <c r="H5" s="8">
        <v>0</v>
      </c>
      <c r="I5" s="46">
        <v>0</v>
      </c>
    </row>
    <row r="6" spans="1:9" ht="28" customHeight="1" x14ac:dyDescent="0.3">
      <c r="A6" s="6">
        <v>2</v>
      </c>
      <c r="B6" s="7" t="s">
        <v>12</v>
      </c>
      <c r="C6" s="10">
        <v>0</v>
      </c>
      <c r="D6" s="9">
        <v>0</v>
      </c>
      <c r="E6" s="4">
        <v>0</v>
      </c>
      <c r="F6" s="27">
        <v>0</v>
      </c>
      <c r="G6" s="28" t="s">
        <v>11</v>
      </c>
      <c r="H6" s="8">
        <v>0</v>
      </c>
      <c r="I6" s="46">
        <v>0</v>
      </c>
    </row>
    <row r="7" spans="1:9" ht="28" customHeight="1" x14ac:dyDescent="0.3">
      <c r="A7" s="6">
        <v>3</v>
      </c>
      <c r="B7" s="7" t="s">
        <v>13</v>
      </c>
      <c r="C7" s="10">
        <v>0</v>
      </c>
      <c r="D7" s="9">
        <v>0</v>
      </c>
      <c r="E7" s="4">
        <v>0</v>
      </c>
      <c r="F7" s="27">
        <v>0</v>
      </c>
      <c r="G7" s="28" t="s">
        <v>11</v>
      </c>
      <c r="H7" s="8">
        <v>0</v>
      </c>
      <c r="I7" s="46">
        <v>0</v>
      </c>
    </row>
    <row r="8" spans="1:9" ht="28" customHeight="1" x14ac:dyDescent="0.3">
      <c r="A8" s="6">
        <v>4</v>
      </c>
      <c r="B8" s="7" t="s">
        <v>14</v>
      </c>
      <c r="C8" s="11">
        <v>0</v>
      </c>
      <c r="D8" s="12">
        <v>0</v>
      </c>
      <c r="E8" s="29">
        <v>0</v>
      </c>
      <c r="F8" s="30">
        <v>0</v>
      </c>
      <c r="G8" s="28" t="s">
        <v>11</v>
      </c>
      <c r="H8" s="8">
        <v>0</v>
      </c>
      <c r="I8" s="46">
        <v>0</v>
      </c>
    </row>
    <row r="9" spans="1:9" ht="28" customHeight="1" x14ac:dyDescent="0.3">
      <c r="A9" s="6">
        <v>5</v>
      </c>
      <c r="B9" s="13" t="s">
        <v>15</v>
      </c>
      <c r="C9" s="10">
        <v>0</v>
      </c>
      <c r="D9" s="9">
        <v>0</v>
      </c>
      <c r="E9" s="4">
        <v>0</v>
      </c>
      <c r="F9" s="27">
        <v>0</v>
      </c>
      <c r="G9" s="28" t="s">
        <v>11</v>
      </c>
      <c r="H9" s="8">
        <v>0</v>
      </c>
      <c r="I9" s="46">
        <v>0</v>
      </c>
    </row>
    <row r="10" spans="1:9" ht="28" customHeight="1" x14ac:dyDescent="0.3">
      <c r="A10" s="6">
        <v>6</v>
      </c>
      <c r="B10" s="13" t="s">
        <v>16</v>
      </c>
      <c r="C10" s="11">
        <v>0</v>
      </c>
      <c r="D10" s="9">
        <v>0</v>
      </c>
      <c r="E10" s="29">
        <v>0</v>
      </c>
      <c r="F10" s="27">
        <v>0</v>
      </c>
      <c r="G10" s="28" t="s">
        <v>11</v>
      </c>
      <c r="H10" s="8">
        <v>2000</v>
      </c>
      <c r="I10" s="46">
        <v>18</v>
      </c>
    </row>
    <row r="11" spans="1:9" ht="28" customHeight="1" x14ac:dyDescent="0.3">
      <c r="A11" s="6">
        <v>7</v>
      </c>
      <c r="B11" s="13" t="s">
        <v>17</v>
      </c>
      <c r="C11" s="14">
        <v>20000</v>
      </c>
      <c r="D11" s="9">
        <v>180</v>
      </c>
      <c r="E11" s="29">
        <v>0</v>
      </c>
      <c r="F11" s="27">
        <v>0</v>
      </c>
      <c r="G11" s="28" t="s">
        <v>18</v>
      </c>
      <c r="H11" s="8">
        <v>0</v>
      </c>
      <c r="I11" s="46">
        <v>0</v>
      </c>
    </row>
    <row r="12" spans="1:9" ht="28" customHeight="1" x14ac:dyDescent="0.3">
      <c r="A12" s="6">
        <v>8</v>
      </c>
      <c r="B12" s="13" t="s">
        <v>19</v>
      </c>
      <c r="C12" s="15">
        <v>0</v>
      </c>
      <c r="D12" s="9">
        <v>0</v>
      </c>
      <c r="E12" s="29">
        <v>0</v>
      </c>
      <c r="F12" s="27">
        <v>0</v>
      </c>
      <c r="G12" s="28" t="s">
        <v>11</v>
      </c>
      <c r="H12" s="8">
        <v>0</v>
      </c>
      <c r="I12" s="46">
        <v>0</v>
      </c>
    </row>
    <row r="13" spans="1:9" ht="28" customHeight="1" x14ac:dyDescent="0.3">
      <c r="A13" s="16">
        <v>9</v>
      </c>
      <c r="B13" s="17" t="s">
        <v>20</v>
      </c>
      <c r="C13" s="18">
        <v>0</v>
      </c>
      <c r="D13" s="19">
        <v>0</v>
      </c>
      <c r="E13" s="31">
        <v>0</v>
      </c>
      <c r="F13" s="32">
        <v>0</v>
      </c>
      <c r="G13" s="33" t="s">
        <v>11</v>
      </c>
      <c r="H13" s="34">
        <v>0</v>
      </c>
      <c r="I13" s="47">
        <v>0</v>
      </c>
    </row>
    <row r="14" spans="1:9" ht="30" customHeight="1" x14ac:dyDescent="0.3">
      <c r="A14" s="6">
        <v>10</v>
      </c>
      <c r="B14" s="13" t="s">
        <v>21</v>
      </c>
      <c r="C14" s="14"/>
      <c r="D14" s="9"/>
      <c r="E14" s="35">
        <v>16000</v>
      </c>
      <c r="F14" s="36">
        <f>E14*18/2000</f>
        <v>144</v>
      </c>
      <c r="G14" s="37" t="s">
        <v>22</v>
      </c>
      <c r="H14" s="38"/>
      <c r="I14" s="46"/>
    </row>
    <row r="15" spans="1:9" ht="30" customHeight="1" x14ac:dyDescent="0.3">
      <c r="A15" s="6">
        <v>11</v>
      </c>
      <c r="B15" s="13" t="s">
        <v>23</v>
      </c>
      <c r="C15" s="14"/>
      <c r="D15" s="9"/>
      <c r="E15" s="35">
        <v>83</v>
      </c>
      <c r="F15" s="36">
        <f>E15*18/2000</f>
        <v>0.747</v>
      </c>
      <c r="G15" s="37" t="s">
        <v>22</v>
      </c>
      <c r="H15" s="38"/>
      <c r="I15" s="46"/>
    </row>
    <row r="16" spans="1:9" ht="30" customHeight="1" x14ac:dyDescent="0.3">
      <c r="A16" s="16">
        <v>12</v>
      </c>
      <c r="B16" s="17" t="s">
        <v>24</v>
      </c>
      <c r="C16" s="18"/>
      <c r="D16" s="19"/>
      <c r="E16" s="39">
        <v>117</v>
      </c>
      <c r="F16" s="40">
        <f>E16*18/2000</f>
        <v>1.0529999999999999</v>
      </c>
      <c r="G16" s="41" t="s">
        <v>22</v>
      </c>
      <c r="H16" s="42"/>
      <c r="I16" s="47"/>
    </row>
    <row r="17" spans="1:9" ht="24" customHeight="1" x14ac:dyDescent="0.3">
      <c r="A17" s="20"/>
      <c r="B17" s="21"/>
      <c r="C17" s="22"/>
      <c r="D17" s="23"/>
      <c r="E17" s="22"/>
      <c r="F17" s="43"/>
      <c r="G17" s="51" t="s">
        <v>25</v>
      </c>
      <c r="H17" s="51"/>
      <c r="I17" s="51"/>
    </row>
    <row r="18" spans="1:9" x14ac:dyDescent="0.3">
      <c r="A18" s="58" t="s">
        <v>26</v>
      </c>
      <c r="B18" s="59"/>
      <c r="C18" s="59"/>
      <c r="D18" s="59"/>
      <c r="E18" s="59"/>
      <c r="F18" s="59"/>
      <c r="G18" s="59"/>
      <c r="H18" s="59"/>
      <c r="I18" s="59"/>
    </row>
    <row r="19" spans="1:9" ht="20.25" customHeight="1" x14ac:dyDescent="0.3">
      <c r="A19" s="59"/>
      <c r="B19" s="59"/>
      <c r="C19" s="59"/>
      <c r="D19" s="59"/>
      <c r="E19" s="59"/>
      <c r="F19" s="59"/>
      <c r="G19" s="59"/>
      <c r="H19" s="59"/>
      <c r="I19" s="59"/>
    </row>
    <row r="20" spans="1:9" ht="39" customHeight="1" x14ac:dyDescent="0.3">
      <c r="A20" s="59"/>
      <c r="B20" s="59"/>
      <c r="C20" s="59"/>
      <c r="D20" s="59"/>
      <c r="E20" s="59"/>
      <c r="F20" s="59"/>
      <c r="G20" s="59"/>
      <c r="H20" s="59"/>
      <c r="I20" s="59"/>
    </row>
  </sheetData>
  <mergeCells count="9">
    <mergeCell ref="A18:I20"/>
    <mergeCell ref="A1:I1"/>
    <mergeCell ref="C2:D2"/>
    <mergeCell ref="E2:F2"/>
    <mergeCell ref="H2:I2"/>
    <mergeCell ref="G17:I17"/>
    <mergeCell ref="A2:A3"/>
    <mergeCell ref="B2:B3"/>
    <mergeCell ref="G2:G3"/>
  </mergeCells>
  <phoneticPr fontId="9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2022-04-15T23:18:26Z</cp:lastPrinted>
  <dcterms:created xsi:type="dcterms:W3CDTF">2022-04-07T05:31:00Z</dcterms:created>
  <dcterms:modified xsi:type="dcterms:W3CDTF">2025-03-30T13:19:31Z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F96A2DCD627E4703ADF65E5B3ABF4A4D</vt:lpwstr>
  </property>
  <property fmtid="{D5CDD505-2E9C-101B-9397-08002B2CF9AE}" pid="3" name="KSOProductBuildVer">
    <vt:lpwstr>2052-11.8.2.9864</vt:lpwstr>
  </property>
</Properties>
</file>