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14日\"/>
    </mc:Choice>
  </mc:AlternateContent>
  <xr:revisionPtr revIDLastSave="0" documentId="8_{02B0C45E-E836-435E-B889-6F2DAEE7EA8C}" xr6:coauthVersionLast="36" xr6:coauthVersionMax="36" xr10:uidLastSave="{00000000-0000-0000-0000-000000000000}"/>
  <bookViews>
    <workbookView xWindow="32769" yWindow="32769" windowWidth="16920" windowHeight="3394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C30" i="1" l="1"/>
  <c r="D30" i="1"/>
  <c r="E30" i="1"/>
  <c r="F30" i="1"/>
  <c r="G30" i="1"/>
  <c r="H30" i="1"/>
  <c r="I30" i="1"/>
  <c r="B30" i="1"/>
  <c r="C29" i="1"/>
  <c r="D29" i="1"/>
  <c r="E29" i="1"/>
  <c r="F29" i="1"/>
  <c r="G29" i="1"/>
  <c r="H29" i="1"/>
  <c r="I29" i="1"/>
  <c r="B29" i="1"/>
  <c r="C28" i="1"/>
  <c r="D28" i="1"/>
  <c r="E28" i="1"/>
  <c r="F28" i="1"/>
  <c r="G28" i="1"/>
  <c r="H28" i="1"/>
  <c r="I28" i="1"/>
  <c r="B28" i="1"/>
</calcChain>
</file>

<file path=xl/sharedStrings.xml><?xml version="1.0" encoding="utf-8"?>
<sst xmlns="http://schemas.openxmlformats.org/spreadsheetml/2006/main" count="46" uniqueCount="36">
  <si>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</si>
  <si>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</si>
  <si>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</si>
  <si>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</si>
  <si>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</si>
  <si>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</si>
  <si>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</si>
  <si>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</si>
  <si>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</si>
  <si>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</si>
  <si>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</si>
  <si>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</si>
  <si>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</si>
  <si>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</si>
  <si>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</si>
  <si>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</si>
  <si>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</si>
  <si>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10日</t>
  </si>
  <si>
    <t>15日</t>
  </si>
  <si>
    <t>20日</t>
  </si>
  <si>
    <t>25日</t>
  </si>
  <si>
    <t>30日</t>
  </si>
  <si>
    <t>2日</t>
  </si>
  <si>
    <t>3日</t>
  </si>
  <si>
    <t>4日</t>
  </si>
  <si>
    <t>5日</t>
  </si>
  <si>
    <t>6日</t>
  </si>
  <si>
    <t>7日</t>
  </si>
  <si>
    <t>8日</t>
  </si>
  <si>
    <t>9日</t>
  </si>
  <si>
    <t>11日</t>
  </si>
  <si>
    <t>12日</t>
  </si>
  <si>
    <t>13日</t>
  </si>
  <si>
    <t>较昨日</t>
  </si>
  <si>
    <t>较疫情初期</t>
  </si>
  <si>
    <t>14日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</si>
</sst>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6">
    <font>
      <sz val="12"/>
      <name val="方正仿宋_GBK"/>
      <charset val="134"/>
    </font>
    <font>
      <sz val="9"/>
      <name val="方正仿宋_GBK"/>
      <charset val="134"/>
    </font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2" fillId="0" borderId="0" xfId="0" applyFont="1" applyProtection="1">
      <alignment vertical="center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/>
      <protection locked="0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176" fontId="4" fillId="0" borderId="2" xfId="0" applyNumberFormat="1" applyFont="1" applyBorder="1" applyAlignment="1" applyProtection="1">
      <alignment horizontal="center" vertical="center" wrapText="1"/>
      <protection locked="0"/>
    </xf>
    <xf numFmtId="176" fontId="3" fillId="0" borderId="0" xfId="0" applyNumberFormat="1" applyFont="1" applyAlignment="1" applyProtection="1">
      <alignment horizontal="center" vertical="center" wrapText="1"/>
      <protection locked="0"/>
    </xf>
    <xf numFmtId="176" fontId="4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Protection="1">
      <alignment vertical="center"/>
    </xf>
    <xf numFmtId="0" fontId="5" fillId="0" borderId="0" xfId="0" applyFont="1" applyProtection="1">
      <alignment vertical="center"/>
    </xf>
    <xf numFmtId="10" fontId="2" fillId="0" borderId="0" xfId="0" applyNumberFormat="1" applyFo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</a:p>
        </c:rich>
      </c:tx>
      <c:layout>
        <c:manualLayout>
          <c:xMode val="edge"/>
          <c:yMode val="edge"/>
          <c:x val="0.34939058959093527"/>
          <c:y val="1.12714182132726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9829110759946887E-2"/>
          <c:y val="0.202886728058916"/>
          <c:w val="0.89382446673295224"/>
          <c:h val="0.69883206331404402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</c:strCache>
            </c:strRef>
          </c:cat>
          <c:val>
            <c:numRef>
              <c:f>工作表1!$B$2:$B$27</c:f>
              <c:numCache>
                <c:formatCode>0.00_ </c:formatCode>
                <c:ptCount val="26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2.76</c:v>
                </c:pt>
                <c:pt idx="25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5-4B48-AE9A-C83F18300924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</c:strCache>
            </c:strRef>
          </c:cat>
          <c:val>
            <c:numRef>
              <c:f>工作表1!$C$2:$C$27</c:f>
              <c:numCache>
                <c:formatCode>0.00_ </c:formatCode>
                <c:ptCount val="26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  <c:pt idx="19">
                  <c:v>2.56</c:v>
                </c:pt>
                <c:pt idx="20">
                  <c:v>2.96</c:v>
                </c:pt>
                <c:pt idx="21">
                  <c:v>2.96</c:v>
                </c:pt>
                <c:pt idx="22">
                  <c:v>2.96</c:v>
                </c:pt>
                <c:pt idx="23">
                  <c:v>2.96</c:v>
                </c:pt>
                <c:pt idx="24">
                  <c:v>2.96</c:v>
                </c:pt>
                <c:pt idx="25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E5-4B48-AE9A-C83F18300924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</c:strCache>
            </c:strRef>
          </c:cat>
          <c:val>
            <c:numRef>
              <c:f>工作表1!$D$2:$D$27</c:f>
              <c:numCache>
                <c:formatCode>0.00_ </c:formatCode>
                <c:ptCount val="26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  <c:pt idx="21">
                  <c:v>3.76</c:v>
                </c:pt>
                <c:pt idx="22">
                  <c:v>3.76</c:v>
                </c:pt>
                <c:pt idx="23">
                  <c:v>3.76</c:v>
                </c:pt>
                <c:pt idx="24">
                  <c:v>3.76</c:v>
                </c:pt>
                <c:pt idx="25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E5-4B48-AE9A-C83F18300924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</c:strCache>
            </c:strRef>
          </c:cat>
          <c:val>
            <c:numRef>
              <c:f>工作表1!$E$2:$E$27</c:f>
              <c:numCache>
                <c:formatCode>0.00_ </c:formatCode>
                <c:ptCount val="26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3.96</c:v>
                </c:pt>
                <c:pt idx="22">
                  <c:v>3.96</c:v>
                </c:pt>
                <c:pt idx="23">
                  <c:v>3.96</c:v>
                </c:pt>
                <c:pt idx="24">
                  <c:v>3.96</c:v>
                </c:pt>
                <c:pt idx="25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E5-4B48-AE9A-C83F18300924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</c:strCache>
            </c:strRef>
          </c:cat>
          <c:val>
            <c:numRef>
              <c:f>工作表1!$F$2:$F$27</c:f>
              <c:numCache>
                <c:formatCode>0.00_ </c:formatCode>
                <c:ptCount val="26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  <c:pt idx="19">
                  <c:v>7.96</c:v>
                </c:pt>
                <c:pt idx="20">
                  <c:v>9.76</c:v>
                </c:pt>
                <c:pt idx="21">
                  <c:v>9.76</c:v>
                </c:pt>
                <c:pt idx="22">
                  <c:v>9.76</c:v>
                </c:pt>
                <c:pt idx="23">
                  <c:v>9.9600000000000009</c:v>
                </c:pt>
                <c:pt idx="24">
                  <c:v>9.9600000000000009</c:v>
                </c:pt>
                <c:pt idx="25">
                  <c:v>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E5-4B48-AE9A-C83F18300924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</c:strCache>
            </c:strRef>
          </c:cat>
          <c:val>
            <c:numRef>
              <c:f>工作表1!$G$2:$G$27</c:f>
              <c:numCache>
                <c:formatCode>0.00_ </c:formatCode>
                <c:ptCount val="26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  <c:pt idx="19">
                  <c:v>5.98</c:v>
                </c:pt>
                <c:pt idx="20">
                  <c:v>6.76</c:v>
                </c:pt>
                <c:pt idx="21">
                  <c:v>5.98</c:v>
                </c:pt>
                <c:pt idx="22">
                  <c:v>5.36</c:v>
                </c:pt>
                <c:pt idx="23">
                  <c:v>5.76</c:v>
                </c:pt>
                <c:pt idx="24">
                  <c:v>5.16</c:v>
                </c:pt>
                <c:pt idx="25">
                  <c:v>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E5-4B48-AE9A-C83F18300924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</c:strCache>
            </c:strRef>
          </c:cat>
          <c:val>
            <c:numRef>
              <c:f>工作表1!$H$2:$H$27</c:f>
              <c:numCache>
                <c:formatCode>0.00_ </c:formatCode>
                <c:ptCount val="26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4.96</c:v>
                </c:pt>
                <c:pt idx="25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E5-4B48-AE9A-C83F18300924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</c:strCache>
            </c:strRef>
          </c:cat>
          <c:val>
            <c:numRef>
              <c:f>工作表1!$I$2:$I$27</c:f>
              <c:numCache>
                <c:formatCode>0.00_ </c:formatCode>
                <c:ptCount val="26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  <c:pt idx="19">
                  <c:v>3.56</c:v>
                </c:pt>
                <c:pt idx="20">
                  <c:v>4.3600000000000003</c:v>
                </c:pt>
                <c:pt idx="21">
                  <c:v>3.96</c:v>
                </c:pt>
                <c:pt idx="22">
                  <c:v>3.76</c:v>
                </c:pt>
                <c:pt idx="23">
                  <c:v>3.56</c:v>
                </c:pt>
                <c:pt idx="24">
                  <c:v>3.56</c:v>
                </c:pt>
                <c:pt idx="25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E5-4B48-AE9A-C83F18300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903680"/>
        <c:axId val="1"/>
      </c:lineChart>
      <c:catAx>
        <c:axId val="170590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 anchor="t" anchorCtr="0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Lucida Sans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Lucida Sans"/>
                  </a:defRPr>
                </a:pPr>
                <a:r>
                  <a:rPr lang="zh-CN" altLang="en-US"/>
                  <a:t>价格（单位：元</a:t>
                </a:r>
                <a:r>
                  <a:rPr lang="en-US" altLang="zh-CN"/>
                  <a:t>/</a:t>
                </a:r>
                <a:r>
                  <a:rPr lang="zh-CN" altLang="en-US"/>
                  <a:t>公斤）</a:t>
                </a:r>
              </a:p>
            </c:rich>
          </c:tx>
          <c:layout>
            <c:manualLayout>
              <c:xMode val="edge"/>
              <c:yMode val="edge"/>
              <c:x val="5.4592151590807251E-3"/>
              <c:y val="0.47966434728776836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Lucida Sans"/>
              </a:defRPr>
            </a:pPr>
            <a:endParaRPr lang="zh-CN"/>
          </a:p>
        </c:txPr>
        <c:crossAx val="17059036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556460274682505"/>
          <c:y val="0.96682120072934319"/>
          <c:w val="0.49279339034325648"/>
          <c:h val="2.02958649008068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rtl="0">
            <a:defRPr sz="900" b="0" i="0" u="none" strike="noStrike" baseline="0">
              <a:solidFill>
                <a:srgbClr val="333333"/>
              </a:solidFill>
              <a:latin typeface="等线"/>
              <a:ea typeface="等线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4</xdr:row>
      <xdr:rowOff>76200</xdr:rowOff>
    </xdr:from>
    <xdr:to>
      <xdr:col>18</xdr:col>
      <xdr:colOff>283029</xdr:colOff>
      <xdr:row>19</xdr:row>
      <xdr:rowOff>326571</xdr:rowOff>
    </xdr:to>
    <xdr:graphicFrame macro="">
      <xdr:nvGraphicFramePr>
        <xdr:cNvPr id="1028" name="图表 1">
          <a:extLst>
            <a:ext uri="{FF2B5EF4-FFF2-40B4-BE49-F238E27FC236}">
              <a16:creationId xmlns:a16="http://schemas.microsoft.com/office/drawing/2014/main" id="{256F0AFD-3C02-47A5-BC71-45CA03786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tabSelected="1" topLeftCell="A5" zoomScale="85" zoomScaleNormal="85" workbookViewId="0">
      <selection activeCell="T18" sqref="T18"/>
    </sheetView>
  </sheetViews>
  <sheetFormatPr defaultColWidth="9" defaultRowHeight="15"/>
  <cols>
    <col min="1" max="1" width="8.640625" style="1" customWidth="1"/>
    <col min="2" max="2" width="8.5" style="1" customWidth="1"/>
    <col min="3" max="3" width="8.2109375" style="1" customWidth="1"/>
    <col min="4" max="5" width="8.35546875" style="1" customWidth="1"/>
    <col min="6" max="16384" width="9" style="1"/>
  </cols>
  <sheetData>
    <row r="1" spans="1:10" ht="2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6">
        <v>5.08</v>
      </c>
      <c r="J7" s="5">
        <v>7.2</v>
      </c>
    </row>
    <row r="8" spans="1:10" ht="35.700000000000003" customHeight="1">
      <c r="A8" s="7" t="s">
        <v>16</v>
      </c>
      <c r="B8" s="8">
        <v>4.9000000000000004</v>
      </c>
      <c r="C8" s="8">
        <v>2.2000000000000002</v>
      </c>
      <c r="D8" s="8">
        <v>2.2000000000000002</v>
      </c>
      <c r="E8" s="8">
        <v>3</v>
      </c>
      <c r="F8" s="8">
        <v>13</v>
      </c>
      <c r="G8" s="8">
        <v>8.8000000000000007</v>
      </c>
      <c r="H8" s="8">
        <v>7.2</v>
      </c>
      <c r="I8" s="8">
        <v>4</v>
      </c>
      <c r="J8" s="8"/>
    </row>
    <row r="9" spans="1:10" ht="28.1" customHeight="1">
      <c r="A9" s="7" t="s">
        <v>17</v>
      </c>
      <c r="B9" s="9">
        <v>4.9000000000000004</v>
      </c>
      <c r="C9" s="9">
        <v>2.4</v>
      </c>
      <c r="D9" s="9">
        <v>6.56</v>
      </c>
      <c r="E9" s="9">
        <v>5.8</v>
      </c>
      <c r="F9" s="9">
        <v>10.7</v>
      </c>
      <c r="G9" s="9">
        <v>7.96</v>
      </c>
      <c r="H9" s="9">
        <v>13</v>
      </c>
      <c r="I9" s="9">
        <v>10.52</v>
      </c>
      <c r="J9" s="9"/>
    </row>
    <row r="10" spans="1:10" ht="28.1" customHeight="1">
      <c r="A10" s="7" t="s">
        <v>18</v>
      </c>
      <c r="B10" s="9">
        <v>6.76</v>
      </c>
      <c r="C10" s="9">
        <v>2.4</v>
      </c>
      <c r="D10" s="9">
        <v>3.16</v>
      </c>
      <c r="E10" s="9">
        <v>5.76</v>
      </c>
      <c r="F10" s="9">
        <v>11.36</v>
      </c>
      <c r="G10" s="9">
        <v>6.76</v>
      </c>
      <c r="H10" s="9">
        <v>13.36</v>
      </c>
      <c r="I10" s="9">
        <v>4.96</v>
      </c>
      <c r="J10" s="9"/>
    </row>
    <row r="11" spans="1:10" ht="28.1" customHeight="1">
      <c r="A11" s="7" t="s">
        <v>19</v>
      </c>
      <c r="B11" s="9">
        <v>4.3600000000000003</v>
      </c>
      <c r="C11" s="9">
        <v>2.7</v>
      </c>
      <c r="D11" s="9">
        <v>6.36</v>
      </c>
      <c r="E11" s="9">
        <v>5.76</v>
      </c>
      <c r="F11" s="9">
        <v>12.96</v>
      </c>
      <c r="G11" s="9">
        <v>7.16</v>
      </c>
      <c r="H11" s="9">
        <v>10.56</v>
      </c>
      <c r="I11" s="9">
        <v>4.96</v>
      </c>
      <c r="J11" s="9"/>
    </row>
    <row r="12" spans="1:10" ht="28.1" customHeight="1">
      <c r="A12" s="7" t="s">
        <v>20</v>
      </c>
      <c r="B12" s="9">
        <v>4.3600000000000003</v>
      </c>
      <c r="C12" s="9">
        <v>2.7</v>
      </c>
      <c r="D12" s="9">
        <v>6.36</v>
      </c>
      <c r="E12" s="9">
        <v>5.76</v>
      </c>
      <c r="F12" s="9">
        <v>10.56</v>
      </c>
      <c r="G12" s="9">
        <v>6.96</v>
      </c>
      <c r="H12" s="9">
        <v>9.56</v>
      </c>
      <c r="I12" s="9">
        <v>4.5599999999999996</v>
      </c>
      <c r="J12" s="9"/>
    </row>
    <row r="13" spans="1:10" ht="28.1" customHeight="1">
      <c r="A13" s="7" t="s">
        <v>21</v>
      </c>
      <c r="B13" s="9">
        <v>3.16</v>
      </c>
      <c r="C13" s="9">
        <v>2.7</v>
      </c>
      <c r="D13" s="9">
        <v>5.98</v>
      </c>
      <c r="E13" s="9">
        <v>3.96</v>
      </c>
      <c r="F13" s="9">
        <v>9.76</v>
      </c>
      <c r="G13" s="9">
        <v>5.36</v>
      </c>
      <c r="H13" s="9">
        <v>7.56</v>
      </c>
      <c r="I13" s="9">
        <v>3.96</v>
      </c>
      <c r="J13" s="9"/>
    </row>
    <row r="14" spans="1:10" ht="28.1" customHeight="1">
      <c r="A14" s="7" t="s">
        <v>16</v>
      </c>
      <c r="B14" s="9">
        <v>3.16</v>
      </c>
      <c r="C14" s="9">
        <v>2.56</v>
      </c>
      <c r="D14" s="9">
        <v>5.96</v>
      </c>
      <c r="E14" s="9">
        <v>3.96</v>
      </c>
      <c r="F14" s="9">
        <v>10.36</v>
      </c>
      <c r="G14" s="9">
        <v>5.56</v>
      </c>
      <c r="H14" s="9">
        <v>8.16</v>
      </c>
      <c r="I14" s="9">
        <v>4.34</v>
      </c>
      <c r="J14" s="9"/>
    </row>
    <row r="15" spans="1:10" ht="28.1" customHeight="1">
      <c r="A15" s="7" t="s">
        <v>22</v>
      </c>
      <c r="B15" s="9">
        <v>3.5</v>
      </c>
      <c r="C15" s="9">
        <v>2.56</v>
      </c>
      <c r="D15" s="9">
        <v>5.96</v>
      </c>
      <c r="E15" s="9">
        <v>3.96</v>
      </c>
      <c r="F15" s="9">
        <v>10.76</v>
      </c>
      <c r="G15" s="9">
        <v>5.56</v>
      </c>
      <c r="H15" s="9">
        <v>8.56</v>
      </c>
      <c r="I15" s="9">
        <v>4.3600000000000003</v>
      </c>
      <c r="J15" s="9"/>
    </row>
    <row r="16" spans="1:10" ht="28.1" customHeight="1">
      <c r="A16" s="7" t="s">
        <v>23</v>
      </c>
      <c r="B16" s="9">
        <v>3.76</v>
      </c>
      <c r="C16" s="9">
        <v>2.56</v>
      </c>
      <c r="D16" s="9">
        <v>3.76</v>
      </c>
      <c r="E16" s="9">
        <v>3.96</v>
      </c>
      <c r="F16" s="9">
        <v>11.36</v>
      </c>
      <c r="G16" s="9">
        <v>5.56</v>
      </c>
      <c r="H16" s="9">
        <v>8.76</v>
      </c>
      <c r="I16" s="9">
        <v>4.16</v>
      </c>
      <c r="J16" s="9"/>
    </row>
    <row r="17" spans="1:10" ht="28.1" customHeight="1">
      <c r="A17" s="7" t="s">
        <v>24</v>
      </c>
      <c r="B17" s="9">
        <v>3.36</v>
      </c>
      <c r="C17" s="9">
        <v>2.56</v>
      </c>
      <c r="D17" s="9">
        <v>3.76</v>
      </c>
      <c r="E17" s="9">
        <v>3.96</v>
      </c>
      <c r="F17" s="9">
        <v>11.36</v>
      </c>
      <c r="G17" s="9">
        <v>8.56</v>
      </c>
      <c r="H17" s="9">
        <v>8.76</v>
      </c>
      <c r="I17" s="9">
        <v>3.76</v>
      </c>
      <c r="J17" s="9"/>
    </row>
    <row r="18" spans="1:10" ht="28.1" customHeight="1">
      <c r="A18" s="7" t="s">
        <v>25</v>
      </c>
      <c r="B18" s="9">
        <v>3.6</v>
      </c>
      <c r="C18" s="9">
        <v>2.56</v>
      </c>
      <c r="D18" s="9">
        <v>3.76</v>
      </c>
      <c r="E18" s="9">
        <v>3.96</v>
      </c>
      <c r="F18" s="9">
        <v>9.9600000000000009</v>
      </c>
      <c r="G18" s="9">
        <v>7.96</v>
      </c>
      <c r="H18" s="9">
        <v>8.76</v>
      </c>
      <c r="I18" s="9">
        <v>3.76</v>
      </c>
      <c r="J18" s="9"/>
    </row>
    <row r="19" spans="1:10" ht="28.1" customHeight="1">
      <c r="A19" s="7" t="s">
        <v>26</v>
      </c>
      <c r="B19" s="9">
        <v>3.56</v>
      </c>
      <c r="C19" s="9">
        <v>2.56</v>
      </c>
      <c r="D19" s="9">
        <v>3.76</v>
      </c>
      <c r="E19" s="9">
        <v>3.96</v>
      </c>
      <c r="F19" s="9">
        <v>9.36</v>
      </c>
      <c r="G19" s="9">
        <v>7.56</v>
      </c>
      <c r="H19" s="9">
        <v>6.36</v>
      </c>
      <c r="I19" s="9">
        <v>3.96</v>
      </c>
      <c r="J19" s="9"/>
    </row>
    <row r="20" spans="1:10" ht="28.1" customHeight="1">
      <c r="A20" s="7" t="s">
        <v>27</v>
      </c>
      <c r="B20" s="9">
        <v>3.56</v>
      </c>
      <c r="C20" s="9">
        <v>2.56</v>
      </c>
      <c r="D20" s="9">
        <v>3.76</v>
      </c>
      <c r="E20" s="9">
        <v>3.96</v>
      </c>
      <c r="F20" s="9">
        <v>7.96</v>
      </c>
      <c r="G20" s="9">
        <v>5.98</v>
      </c>
      <c r="H20" s="9">
        <v>6.36</v>
      </c>
      <c r="I20" s="9">
        <v>3.96</v>
      </c>
      <c r="J20" s="9"/>
    </row>
    <row r="21" spans="1:10" ht="28.1" customHeight="1">
      <c r="A21" s="7" t="s">
        <v>28</v>
      </c>
      <c r="B21" s="9">
        <v>3.56</v>
      </c>
      <c r="C21" s="9">
        <v>2.56</v>
      </c>
      <c r="D21" s="9">
        <v>3.76</v>
      </c>
      <c r="E21" s="9">
        <v>3.96</v>
      </c>
      <c r="F21" s="9">
        <v>7.96</v>
      </c>
      <c r="G21" s="9">
        <v>5.98</v>
      </c>
      <c r="H21" s="9">
        <v>6.36</v>
      </c>
      <c r="I21" s="9">
        <v>3.56</v>
      </c>
      <c r="J21" s="9"/>
    </row>
    <row r="22" spans="1:10" ht="28.1" customHeight="1">
      <c r="A22" s="7" t="s">
        <v>29</v>
      </c>
      <c r="B22" s="9">
        <v>3.56</v>
      </c>
      <c r="C22" s="9">
        <v>2.96</v>
      </c>
      <c r="D22" s="9">
        <v>3.76</v>
      </c>
      <c r="E22" s="9">
        <v>3.96</v>
      </c>
      <c r="F22" s="9">
        <v>9.76</v>
      </c>
      <c r="G22" s="9">
        <v>6.76</v>
      </c>
      <c r="H22" s="9">
        <v>5.76</v>
      </c>
      <c r="I22" s="9">
        <v>4.3600000000000003</v>
      </c>
      <c r="J22" s="9"/>
    </row>
    <row r="23" spans="1:10" ht="28.1" customHeight="1">
      <c r="A23" s="7" t="s">
        <v>17</v>
      </c>
      <c r="B23" s="9">
        <v>3.56</v>
      </c>
      <c r="C23" s="9">
        <v>2.96</v>
      </c>
      <c r="D23" s="9">
        <v>3.76</v>
      </c>
      <c r="E23" s="9">
        <v>3.96</v>
      </c>
      <c r="F23" s="9">
        <v>9.76</v>
      </c>
      <c r="G23" s="9">
        <v>5.98</v>
      </c>
      <c r="H23" s="9">
        <v>5.76</v>
      </c>
      <c r="I23" s="9">
        <v>3.96</v>
      </c>
      <c r="J23" s="9"/>
    </row>
    <row r="24" spans="1:10" ht="28.1" customHeight="1">
      <c r="A24" s="7" t="s">
        <v>30</v>
      </c>
      <c r="B24" s="9">
        <v>3.56</v>
      </c>
      <c r="C24" s="9">
        <v>2.96</v>
      </c>
      <c r="D24" s="9">
        <v>3.76</v>
      </c>
      <c r="E24" s="9">
        <v>3.96</v>
      </c>
      <c r="F24" s="9">
        <v>9.76</v>
      </c>
      <c r="G24" s="9">
        <v>5.36</v>
      </c>
      <c r="H24" s="9">
        <v>5.76</v>
      </c>
      <c r="I24" s="9">
        <v>3.76</v>
      </c>
      <c r="J24" s="9"/>
    </row>
    <row r="25" spans="1:10" ht="28.1" customHeight="1">
      <c r="A25" s="7" t="s">
        <v>31</v>
      </c>
      <c r="B25" s="9">
        <v>3.56</v>
      </c>
      <c r="C25" s="9">
        <v>2.96</v>
      </c>
      <c r="D25" s="9">
        <v>3.76</v>
      </c>
      <c r="E25" s="9">
        <v>3.96</v>
      </c>
      <c r="F25" s="9">
        <v>9.9600000000000009</v>
      </c>
      <c r="G25" s="9">
        <v>5.76</v>
      </c>
      <c r="H25" s="9">
        <v>5.76</v>
      </c>
      <c r="I25" s="9">
        <v>3.56</v>
      </c>
      <c r="J25" s="9"/>
    </row>
    <row r="26" spans="1:10" ht="28.1" customHeight="1">
      <c r="A26" s="7" t="s">
        <v>32</v>
      </c>
      <c r="B26" s="9">
        <v>2.76</v>
      </c>
      <c r="C26" s="9">
        <v>2.96</v>
      </c>
      <c r="D26" s="9">
        <v>3.76</v>
      </c>
      <c r="E26" s="9">
        <v>3.96</v>
      </c>
      <c r="F26" s="9">
        <v>9.9600000000000009</v>
      </c>
      <c r="G26" s="9">
        <v>5.16</v>
      </c>
      <c r="H26" s="9">
        <v>4.96</v>
      </c>
      <c r="I26" s="9">
        <v>3.56</v>
      </c>
      <c r="J26" s="9"/>
    </row>
    <row r="27" spans="1:10" ht="28.1" customHeight="1">
      <c r="A27" s="7" t="s">
        <v>35</v>
      </c>
      <c r="B27" s="9">
        <v>2.76</v>
      </c>
      <c r="C27" s="9">
        <v>2.96</v>
      </c>
      <c r="D27" s="9">
        <v>3.76</v>
      </c>
      <c r="E27" s="9">
        <v>3.96</v>
      </c>
      <c r="F27" s="9">
        <v>9.16</v>
      </c>
      <c r="G27" s="9">
        <v>5.36</v>
      </c>
      <c r="H27" s="9">
        <v>4.5599999999999996</v>
      </c>
      <c r="I27" s="9">
        <v>3.36</v>
      </c>
      <c r="J27" s="9"/>
    </row>
    <row r="28" spans="1:10" ht="28.1" customHeight="1">
      <c r="B28" s="9">
        <f>B27/2</f>
        <v>1.38</v>
      </c>
      <c r="C28" s="9">
        <f t="shared" ref="C28:I28" si="0">C27/2</f>
        <v>1.48</v>
      </c>
      <c r="D28" s="9">
        <f t="shared" si="0"/>
        <v>1.88</v>
      </c>
      <c r="E28" s="9">
        <f t="shared" si="0"/>
        <v>1.98</v>
      </c>
      <c r="F28" s="9">
        <f t="shared" si="0"/>
        <v>4.58</v>
      </c>
      <c r="G28" s="9">
        <f t="shared" si="0"/>
        <v>2.68</v>
      </c>
      <c r="H28" s="9">
        <f t="shared" si="0"/>
        <v>2.2799999999999998</v>
      </c>
      <c r="I28" s="9">
        <f t="shared" si="0"/>
        <v>1.68</v>
      </c>
      <c r="J28" s="9"/>
    </row>
    <row r="29" spans="1:10" ht="19.95" customHeight="1">
      <c r="A29" s="10" t="s">
        <v>33</v>
      </c>
      <c r="B29" s="11">
        <f>B27/B26-1</f>
        <v>0</v>
      </c>
      <c r="C29" s="11">
        <f t="shared" ref="C29:I29" si="1">C27/C26-1</f>
        <v>0</v>
      </c>
      <c r="D29" s="11">
        <f t="shared" si="1"/>
        <v>0</v>
      </c>
      <c r="E29" s="11">
        <f t="shared" si="1"/>
        <v>0</v>
      </c>
      <c r="F29" s="11">
        <f t="shared" si="1"/>
        <v>-8.032128514056236E-2</v>
      </c>
      <c r="G29" s="11">
        <f t="shared" si="1"/>
        <v>3.8759689922480689E-2</v>
      </c>
      <c r="H29" s="11">
        <f t="shared" si="1"/>
        <v>-8.064516129032262E-2</v>
      </c>
      <c r="I29" s="11">
        <f t="shared" si="1"/>
        <v>-5.6179775280898903E-2</v>
      </c>
      <c r="J29" s="11"/>
    </row>
    <row r="30" spans="1:10" ht="25.1" customHeight="1">
      <c r="A30" s="10" t="s">
        <v>34</v>
      </c>
      <c r="B30" s="11">
        <f>B27/B2-1</f>
        <v>-0.13750000000000007</v>
      </c>
      <c r="C30" s="11">
        <f t="shared" ref="C30:I30" si="2">C27/C2-1</f>
        <v>0.64444444444444438</v>
      </c>
      <c r="D30" s="11">
        <f t="shared" si="2"/>
        <v>0.87999999999999989</v>
      </c>
      <c r="E30" s="11">
        <f t="shared" si="2"/>
        <v>0.98</v>
      </c>
      <c r="F30" s="11">
        <f t="shared" si="2"/>
        <v>-0.21034482758620687</v>
      </c>
      <c r="G30" s="11">
        <f t="shared" si="2"/>
        <v>-0.25555555555555554</v>
      </c>
      <c r="H30" s="11">
        <f t="shared" si="2"/>
        <v>-0.30909090909090908</v>
      </c>
      <c r="I30" s="11">
        <f t="shared" si="2"/>
        <v>-0.37777777777777788</v>
      </c>
      <c r="J30" s="11"/>
    </row>
    <row r="31" spans="1:10" ht="26.7" customHeight="1"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</row>
  </sheetData>
  <phoneticPr fontId="1" type="noConversion"/>
  <pageMargins left="0.70060688679612526" right="0.70060688679612526" top="0.75198932895510218" bottom="0.75198932895510218" header="0.29926813962891347" footer="0.29926813962891347"/>
  <pageSetup paperSize="9" scale="79" firstPageNumber="429496729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2022-03-14T02:25:23Z</dcterms:created>
  <dcterms:modified xsi:type="dcterms:W3CDTF">2025-03-30T13:27:12Z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</Properties>
</file>