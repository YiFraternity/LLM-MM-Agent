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11日\"/>
    </mc:Choice>
  </mc:AlternateContent>
  <xr:revisionPtr revIDLastSave="0" documentId="8_{C0DD4F80-A733-470E-97D6-C60A8241A9F0}" xr6:coauthVersionLast="36" xr6:coauthVersionMax="36" xr10:uidLastSave="{00000000-0000-0000-0000-000000000000}"/>
  <bookViews>
    <workbookView xWindow="32769" yWindow="32769" windowWidth="28800" windowHeight="12317"/>
  </bookViews>
  <sheets>
    <sheet name="4.10" sheetId="6" r:id="rId1"/>
  </sheets>
  <definedNames>
    <definedName name="_xlnm.Print_Area" localSheetId="0">'4.10'!$A$1:$S$20</definedName>
    <definedName name="_xlnm.Print_Titles" localSheetId="0">'4.10'!$1:$6</definedName>
  </definedNames>
  <calcPr calcId="191029" fullCalcOnLoad="1"/>
</workbook>
</file>

<file path=xl/calcChain.xml><?xml version="1.0" encoding="utf-8"?>
<calcChain xmlns="http://schemas.openxmlformats.org/spreadsheetml/2006/main">
  <c r="P7" i="6" l="1"/>
  <c r="Q7" i="6"/>
  <c r="R7" i="6"/>
  <c r="S7" i="6"/>
  <c r="P8" i="6"/>
  <c r="Q8" i="6"/>
  <c r="R8" i="6"/>
  <c r="S8" i="6"/>
  <c r="P9" i="6"/>
  <c r="Q9" i="6"/>
  <c r="R9" i="6"/>
  <c r="S9" i="6"/>
  <c r="P10" i="6"/>
  <c r="Q10" i="6"/>
  <c r="R10" i="6"/>
  <c r="S10" i="6"/>
  <c r="P11" i="6"/>
  <c r="Q11" i="6"/>
  <c r="R11" i="6"/>
  <c r="S11" i="6"/>
  <c r="P12" i="6"/>
  <c r="Q12" i="6"/>
  <c r="R12" i="6"/>
  <c r="S12" i="6"/>
  <c r="P13" i="6"/>
  <c r="Q13" i="6"/>
  <c r="R13" i="6"/>
  <c r="S13" i="6"/>
  <c r="P14" i="6"/>
  <c r="Q14" i="6"/>
  <c r="R14" i="6"/>
  <c r="S14" i="6"/>
  <c r="P16" i="6"/>
  <c r="Q16" i="6"/>
  <c r="R16" i="6"/>
  <c r="S16" i="6"/>
  <c r="P17" i="6"/>
  <c r="Q17" i="6"/>
  <c r="R17" i="6"/>
  <c r="S17" i="6"/>
  <c r="P18" i="6"/>
  <c r="Q18" i="6"/>
  <c r="R18" i="6"/>
  <c r="S18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</calcChain>
</file>

<file path=xl/sharedStrings.xml><?xml version="1.0" encoding="utf-8"?>
<sst xmlns="http://schemas.openxmlformats.org/spreadsheetml/2006/main" count="54" uniqueCount="35">
  <si>
    <t>4月11日长春各区行政保供蔬菜包情况表</t>
  </si>
  <si>
    <t>统计时间段：11日0-18时</t>
  </si>
  <si>
    <t>上报时间：4月11日18时</t>
  </si>
  <si>
    <t>序号</t>
  </si>
  <si>
    <t>各城区、
开发区</t>
  </si>
  <si>
    <t>市州支援</t>
  </si>
  <si>
    <t>市级直采</t>
  </si>
  <si>
    <t>属地自保</t>
  </si>
  <si>
    <t>合计</t>
  </si>
  <si>
    <t>包保单位</t>
  </si>
  <si>
    <t>接收</t>
  </si>
  <si>
    <t>发放</t>
  </si>
  <si>
    <t>自采</t>
  </si>
  <si>
    <t>接收+自采</t>
  </si>
  <si>
    <t>蔬菜包
（箱/袋）</t>
  </si>
  <si>
    <t>蔬菜总量
（吨）</t>
  </si>
  <si>
    <t>朝阳区
（57.8万人）</t>
  </si>
  <si>
    <t>南关区
（48.9万人）</t>
  </si>
  <si>
    <t>二道区
（32.6万人）</t>
  </si>
  <si>
    <t>宽城区
（38.5万人）</t>
  </si>
  <si>
    <t>四平市</t>
  </si>
  <si>
    <t>绿园区
（42.6万人）</t>
  </si>
  <si>
    <t>通化市</t>
  </si>
  <si>
    <t>长春新区
（36.8万人）</t>
  </si>
  <si>
    <t>松原市</t>
  </si>
  <si>
    <t>经开区
（20.3万人）</t>
  </si>
  <si>
    <t>梅河口市</t>
  </si>
  <si>
    <t>净月区
（22.8万人）</t>
  </si>
  <si>
    <t>白山市</t>
  </si>
  <si>
    <t>白城市</t>
  </si>
  <si>
    <t>汽开区
（21.7万人）</t>
  </si>
  <si>
    <t>辽源市</t>
  </si>
  <si>
    <t>莲花山
（5.1万人）</t>
  </si>
  <si>
    <t>中韩示范区</t>
  </si>
  <si>
    <t>九台区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</si>
</sst>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0.00_ "/>
  </numFmts>
  <fonts count="11" x14ac:knownFonts="1">
    <font>
      <sz val="12"/>
      <name val="宋体"/>
      <charset val="134"/>
    </font>
    <font>
      <sz val="14"/>
      <name val="仿宋"/>
      <charset val="134"/>
    </font>
    <font>
      <b/>
      <sz val="20"/>
      <name val="仿宋"/>
      <charset val="134"/>
    </font>
    <font>
      <b/>
      <sz val="14"/>
      <name val="仿宋"/>
      <charset val="134"/>
    </font>
    <font>
      <b/>
      <sz val="12"/>
      <name val="仿宋"/>
      <charset val="134"/>
    </font>
    <font>
      <sz val="12"/>
      <name val="仿宋"/>
      <charset val="134"/>
    </font>
    <font>
      <b/>
      <sz val="12"/>
      <name val="宋体"/>
      <charset val="134"/>
    </font>
    <font>
      <sz val="11"/>
      <color theme="1"/>
      <name val="Tahoma"/>
    </font>
    <font>
      <sz val="12"/>
      <color theme="1"/>
      <name val="仿宋"/>
      <charset val="134"/>
    </font>
    <font>
      <b/>
      <sz val="12"/>
      <color theme="1"/>
      <name val="仿宋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7" fillId="0" borderId="0">
      <alignment vertical="center"/>
    </xf>
    <xf numFmtId="0" fontId="7" fillId="0" borderId="0">
      <alignment vertical="center"/>
    </xf>
  </cellStyleXfs>
  <cellXfs count="63">
    <xf numFmtId="0" fontId="0" fillId="0" borderId="0" xfId="0"/>
    <xf numFmtId="0" fontId="0" fillId="0" borderId="0" xfId="0" applyFill="1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177" fontId="8" fillId="0" borderId="1" xfId="0" applyNumberFormat="1" applyFont="1" applyFill="1" applyBorder="1" applyAlignment="1">
      <alignment horizontal="center" vertical="center" wrapText="1"/>
    </xf>
    <xf numFmtId="177" fontId="5" fillId="0" borderId="1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176" fontId="8" fillId="0" borderId="4" xfId="0" applyNumberFormat="1" applyFont="1" applyFill="1" applyBorder="1" applyAlignment="1">
      <alignment horizontal="center" vertical="center" wrapText="1"/>
    </xf>
    <xf numFmtId="176" fontId="5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176" fontId="8" fillId="0" borderId="4" xfId="0" applyNumberFormat="1" applyFont="1" applyFill="1" applyBorder="1" applyAlignment="1">
      <alignment horizontal="center" vertical="center" wrapText="1"/>
    </xf>
    <xf numFmtId="176" fontId="8" fillId="0" borderId="5" xfId="0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</cellXfs>
  <cellStyles count="3">
    <cellStyle name="常规" xfId="0" builtinId="0"/>
    <cellStyle name="常规 2" xfId="1"/>
    <cellStyle name="常规 2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0"/>
  <sheetViews>
    <sheetView tabSelected="1" view="pageBreakPreview" zoomScaleNormal="85" workbookViewId="0">
      <pane ySplit="6" topLeftCell="A7" activePane="bottomLeft" state="frozen"/>
      <selection pane="bottomLeft" activeCell="M17" sqref="M17"/>
    </sheetView>
  </sheetViews>
  <sheetFormatPr defaultColWidth="9" defaultRowHeight="15" x14ac:dyDescent="0.3"/>
  <cols>
    <col min="1" max="1" width="5.5" customWidth="1"/>
    <col min="2" max="2" width="13.85546875" customWidth="1"/>
    <col min="3" max="3" width="9" customWidth="1"/>
    <col min="4" max="4" width="10" customWidth="1"/>
    <col min="5" max="5" width="9.2109375" customWidth="1"/>
    <col min="6" max="6" width="10" customWidth="1"/>
    <col min="7" max="7" width="9.140625" customWidth="1"/>
    <col min="8" max="8" width="9.7109375" style="1" customWidth="1"/>
    <col min="9" max="9" width="9.7109375" customWidth="1"/>
    <col min="10" max="11" width="9.7109375" style="1" customWidth="1"/>
    <col min="12" max="12" width="10.5" style="1" customWidth="1"/>
    <col min="13" max="13" width="10.5" customWidth="1"/>
    <col min="14" max="15" width="10.5" style="2" customWidth="1"/>
    <col min="16" max="16" width="10.5" customWidth="1"/>
    <col min="17" max="17" width="10.140625" customWidth="1"/>
    <col min="18" max="18" width="10.2109375" customWidth="1"/>
    <col min="19" max="19" width="8.85546875" customWidth="1"/>
  </cols>
  <sheetData>
    <row r="1" spans="1:19" ht="18" customHeight="1" x14ac:dyDescent="0.3">
      <c r="A1" s="34"/>
      <c r="B1" s="34"/>
      <c r="C1" s="3"/>
    </row>
    <row r="2" spans="1:19" ht="28" customHeight="1" x14ac:dyDescent="0.3">
      <c r="A2" s="35" t="s">
        <v>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</row>
    <row r="3" spans="1:19" ht="23.05" customHeight="1" x14ac:dyDescent="0.3">
      <c r="A3" s="36" t="s">
        <v>1</v>
      </c>
      <c r="B3" s="36"/>
      <c r="C3" s="36"/>
      <c r="D3" s="36"/>
      <c r="E3" s="36"/>
      <c r="F3" s="16"/>
      <c r="G3" s="4"/>
      <c r="H3" s="4"/>
      <c r="I3" s="36"/>
      <c r="J3" s="36"/>
      <c r="K3" s="36"/>
      <c r="L3" s="24"/>
      <c r="M3" s="36"/>
      <c r="N3" s="36"/>
      <c r="O3" s="36"/>
      <c r="P3" s="36" t="s">
        <v>2</v>
      </c>
      <c r="Q3" s="36"/>
      <c r="R3" s="36"/>
    </row>
    <row r="4" spans="1:19" ht="33" customHeight="1" x14ac:dyDescent="0.3">
      <c r="A4" s="51" t="s">
        <v>3</v>
      </c>
      <c r="B4" s="49" t="s">
        <v>4</v>
      </c>
      <c r="C4" s="37" t="s">
        <v>5</v>
      </c>
      <c r="D4" s="38"/>
      <c r="E4" s="38"/>
      <c r="F4" s="38"/>
      <c r="G4" s="39"/>
      <c r="H4" s="40" t="s">
        <v>6</v>
      </c>
      <c r="I4" s="41"/>
      <c r="J4" s="41"/>
      <c r="K4" s="42"/>
      <c r="L4" s="43" t="s">
        <v>7</v>
      </c>
      <c r="M4" s="44"/>
      <c r="N4" s="44"/>
      <c r="O4" s="44"/>
      <c r="P4" s="45" t="s">
        <v>8</v>
      </c>
      <c r="Q4" s="45"/>
      <c r="R4" s="45"/>
      <c r="S4" s="45"/>
    </row>
    <row r="5" spans="1:19" ht="33" customHeight="1" x14ac:dyDescent="0.3">
      <c r="A5" s="51"/>
      <c r="B5" s="49"/>
      <c r="C5" s="56" t="s">
        <v>9</v>
      </c>
      <c r="D5" s="46" t="s">
        <v>10</v>
      </c>
      <c r="E5" s="46"/>
      <c r="F5" s="38" t="s">
        <v>11</v>
      </c>
      <c r="G5" s="39"/>
      <c r="H5" s="47" t="s">
        <v>10</v>
      </c>
      <c r="I5" s="47"/>
      <c r="J5" s="41" t="s">
        <v>11</v>
      </c>
      <c r="K5" s="42"/>
      <c r="L5" s="43" t="s">
        <v>12</v>
      </c>
      <c r="M5" s="48"/>
      <c r="N5" s="43" t="s">
        <v>11</v>
      </c>
      <c r="O5" s="44"/>
      <c r="P5" s="49" t="s">
        <v>13</v>
      </c>
      <c r="Q5" s="49"/>
      <c r="R5" s="45" t="s">
        <v>11</v>
      </c>
      <c r="S5" s="45"/>
    </row>
    <row r="6" spans="1:19" ht="45" customHeight="1" x14ac:dyDescent="0.3">
      <c r="A6" s="51"/>
      <c r="B6" s="49"/>
      <c r="C6" s="57"/>
      <c r="D6" s="5" t="s">
        <v>14</v>
      </c>
      <c r="E6" s="17" t="s">
        <v>15</v>
      </c>
      <c r="F6" s="5" t="s">
        <v>14</v>
      </c>
      <c r="G6" s="17" t="s">
        <v>15</v>
      </c>
      <c r="H6" s="18" t="s">
        <v>14</v>
      </c>
      <c r="I6" s="25" t="s">
        <v>15</v>
      </c>
      <c r="J6" s="18" t="s">
        <v>14</v>
      </c>
      <c r="K6" s="25" t="s">
        <v>15</v>
      </c>
      <c r="L6" s="26" t="s">
        <v>14</v>
      </c>
      <c r="M6" s="26" t="s">
        <v>15</v>
      </c>
      <c r="N6" s="26" t="s">
        <v>14</v>
      </c>
      <c r="O6" s="26" t="s">
        <v>15</v>
      </c>
      <c r="P6" s="31" t="s">
        <v>14</v>
      </c>
      <c r="Q6" s="31" t="s">
        <v>15</v>
      </c>
      <c r="R6" s="31" t="s">
        <v>14</v>
      </c>
      <c r="S6" s="31" t="s">
        <v>15</v>
      </c>
    </row>
    <row r="7" spans="1:19" ht="45" customHeight="1" x14ac:dyDescent="0.3">
      <c r="A7" s="6">
        <v>1</v>
      </c>
      <c r="B7" s="7" t="s">
        <v>16</v>
      </c>
      <c r="C7" s="7"/>
      <c r="D7" s="8">
        <v>0</v>
      </c>
      <c r="E7" s="19"/>
      <c r="F7" s="8">
        <v>0</v>
      </c>
      <c r="G7" s="19"/>
      <c r="H7" s="7">
        <v>12099</v>
      </c>
      <c r="I7" s="27">
        <v>108.89100000000001</v>
      </c>
      <c r="J7" s="7">
        <v>6049.5</v>
      </c>
      <c r="K7" s="27">
        <v>54.445500000000003</v>
      </c>
      <c r="L7" s="7">
        <v>26882</v>
      </c>
      <c r="M7" s="32">
        <v>268.8</v>
      </c>
      <c r="N7" s="7">
        <v>26882</v>
      </c>
      <c r="O7" s="32">
        <v>268.8</v>
      </c>
      <c r="P7" s="6">
        <f>H7+D7+L7</f>
        <v>38981</v>
      </c>
      <c r="Q7" s="21">
        <f>I7+E7+M7</f>
        <v>377.69100000000003</v>
      </c>
      <c r="R7" s="6">
        <f>J7+F7+N7</f>
        <v>32931.5</v>
      </c>
      <c r="S7" s="21">
        <f>K7+G7+O7</f>
        <v>323.24549999999999</v>
      </c>
    </row>
    <row r="8" spans="1:19" ht="45" customHeight="1" x14ac:dyDescent="0.3">
      <c r="A8" s="9">
        <v>2</v>
      </c>
      <c r="B8" s="10" t="s">
        <v>17</v>
      </c>
      <c r="C8" s="7"/>
      <c r="D8" s="8">
        <v>0</v>
      </c>
      <c r="E8" s="20"/>
      <c r="F8" s="8">
        <v>0</v>
      </c>
      <c r="G8" s="19"/>
      <c r="H8" s="7">
        <v>10773</v>
      </c>
      <c r="I8" s="27">
        <v>96.956999999999994</v>
      </c>
      <c r="J8" s="7">
        <v>7772.5</v>
      </c>
      <c r="K8" s="27">
        <v>59.378499999999995</v>
      </c>
      <c r="L8" s="7">
        <v>12240</v>
      </c>
      <c r="M8" s="32">
        <v>122.4</v>
      </c>
      <c r="N8" s="7">
        <v>12240</v>
      </c>
      <c r="O8" s="32">
        <v>122.4</v>
      </c>
      <c r="P8" s="6">
        <f t="shared" ref="P8:P14" si="0">H8+D8+L8</f>
        <v>23013</v>
      </c>
      <c r="Q8" s="21">
        <f>I8+E8+M8</f>
        <v>219.357</v>
      </c>
      <c r="R8" s="6">
        <f>J8+F8+N8</f>
        <v>20012.5</v>
      </c>
      <c r="S8" s="21">
        <f>K8+G8+O8</f>
        <v>181.77850000000001</v>
      </c>
    </row>
    <row r="9" spans="1:19" ht="45" customHeight="1" x14ac:dyDescent="0.3">
      <c r="A9" s="6">
        <v>3</v>
      </c>
      <c r="B9" s="7" t="s">
        <v>18</v>
      </c>
      <c r="C9" s="7"/>
      <c r="D9" s="8">
        <v>0</v>
      </c>
      <c r="E9" s="19"/>
      <c r="F9" s="8">
        <v>0</v>
      </c>
      <c r="G9" s="19"/>
      <c r="H9" s="7">
        <v>15586</v>
      </c>
      <c r="I9" s="27">
        <v>140.274</v>
      </c>
      <c r="J9" s="7">
        <v>11032</v>
      </c>
      <c r="K9" s="27">
        <v>90.137</v>
      </c>
      <c r="L9" s="7">
        <v>12371</v>
      </c>
      <c r="M9" s="32">
        <v>123</v>
      </c>
      <c r="N9" s="7">
        <v>12528</v>
      </c>
      <c r="O9" s="32">
        <v>125</v>
      </c>
      <c r="P9" s="6">
        <f t="shared" si="0"/>
        <v>27957</v>
      </c>
      <c r="Q9" s="21">
        <f t="shared" ref="Q9:Q18" si="1">I9+E9+M9</f>
        <v>263.274</v>
      </c>
      <c r="R9" s="6">
        <f t="shared" ref="R9:R18" si="2">J9+F9+N9</f>
        <v>23560</v>
      </c>
      <c r="S9" s="21">
        <f t="shared" ref="S9:S18" si="3">K9+G9+O9</f>
        <v>215.137</v>
      </c>
    </row>
    <row r="10" spans="1:19" ht="45" customHeight="1" x14ac:dyDescent="0.3">
      <c r="A10" s="9">
        <v>4</v>
      </c>
      <c r="B10" s="7" t="s">
        <v>19</v>
      </c>
      <c r="C10" s="7" t="s">
        <v>20</v>
      </c>
      <c r="D10" s="8">
        <v>0</v>
      </c>
      <c r="E10" s="20"/>
      <c r="F10" s="8">
        <v>0</v>
      </c>
      <c r="G10" s="20"/>
      <c r="H10" s="7">
        <v>10126</v>
      </c>
      <c r="I10" s="27">
        <v>91.134</v>
      </c>
      <c r="J10" s="8">
        <v>5063</v>
      </c>
      <c r="K10" s="28">
        <v>45.567</v>
      </c>
      <c r="L10" s="8">
        <v>0</v>
      </c>
      <c r="M10" s="32"/>
      <c r="N10" s="8">
        <v>0</v>
      </c>
      <c r="O10" s="32"/>
      <c r="P10" s="6">
        <f t="shared" si="0"/>
        <v>10126</v>
      </c>
      <c r="Q10" s="21">
        <f t="shared" si="1"/>
        <v>91.134</v>
      </c>
      <c r="R10" s="6">
        <f t="shared" si="2"/>
        <v>5063</v>
      </c>
      <c r="S10" s="21">
        <f t="shared" si="3"/>
        <v>45.567</v>
      </c>
    </row>
    <row r="11" spans="1:19" ht="45" customHeight="1" x14ac:dyDescent="0.3">
      <c r="A11" s="6">
        <v>5</v>
      </c>
      <c r="B11" s="11" t="s">
        <v>21</v>
      </c>
      <c r="C11" s="7" t="s">
        <v>22</v>
      </c>
      <c r="D11" s="8">
        <v>0</v>
      </c>
      <c r="E11" s="20"/>
      <c r="F11" s="8">
        <v>0</v>
      </c>
      <c r="G11" s="20"/>
      <c r="H11" s="7">
        <v>10082</v>
      </c>
      <c r="I11" s="27">
        <v>90.738</v>
      </c>
      <c r="J11" s="7">
        <v>6001</v>
      </c>
      <c r="K11" s="27">
        <v>62.069000000000003</v>
      </c>
      <c r="L11" s="8">
        <v>59746</v>
      </c>
      <c r="M11" s="32">
        <v>406.7</v>
      </c>
      <c r="N11" s="8">
        <v>47746</v>
      </c>
      <c r="O11" s="32">
        <v>310.7</v>
      </c>
      <c r="P11" s="6">
        <f t="shared" si="0"/>
        <v>69828</v>
      </c>
      <c r="Q11" s="21">
        <f t="shared" si="1"/>
        <v>497.43799999999999</v>
      </c>
      <c r="R11" s="6">
        <f t="shared" si="2"/>
        <v>53747</v>
      </c>
      <c r="S11" s="21">
        <f t="shared" si="3"/>
        <v>372.76900000000001</v>
      </c>
    </row>
    <row r="12" spans="1:19" ht="45" customHeight="1" x14ac:dyDescent="0.3">
      <c r="A12" s="9">
        <v>6</v>
      </c>
      <c r="B12" s="7" t="s">
        <v>23</v>
      </c>
      <c r="C12" s="7" t="s">
        <v>24</v>
      </c>
      <c r="D12" s="8">
        <v>5000</v>
      </c>
      <c r="E12" s="19">
        <v>50</v>
      </c>
      <c r="F12" s="8">
        <v>5000</v>
      </c>
      <c r="G12" s="19">
        <v>50</v>
      </c>
      <c r="H12" s="7">
        <v>10307</v>
      </c>
      <c r="I12" s="27">
        <v>92.763000000000005</v>
      </c>
      <c r="J12" s="7">
        <v>5153.5</v>
      </c>
      <c r="K12" s="27">
        <v>46.381500000000003</v>
      </c>
      <c r="L12" s="7">
        <v>18321</v>
      </c>
      <c r="M12" s="32">
        <v>183.21</v>
      </c>
      <c r="N12" s="7">
        <v>8321</v>
      </c>
      <c r="O12" s="32">
        <v>83.21</v>
      </c>
      <c r="P12" s="6">
        <f t="shared" si="0"/>
        <v>33628</v>
      </c>
      <c r="Q12" s="21">
        <f t="shared" si="1"/>
        <v>325.97300000000001</v>
      </c>
      <c r="R12" s="6">
        <f t="shared" si="2"/>
        <v>18474.5</v>
      </c>
      <c r="S12" s="21">
        <f t="shared" si="3"/>
        <v>179.5915</v>
      </c>
    </row>
    <row r="13" spans="1:19" ht="45" customHeight="1" x14ac:dyDescent="0.3">
      <c r="A13" s="6">
        <v>7</v>
      </c>
      <c r="B13" s="7" t="s">
        <v>25</v>
      </c>
      <c r="C13" s="7" t="s">
        <v>26</v>
      </c>
      <c r="D13" s="8">
        <v>20000</v>
      </c>
      <c r="E13" s="20">
        <v>300</v>
      </c>
      <c r="F13" s="8">
        <v>20000</v>
      </c>
      <c r="G13" s="20">
        <v>300</v>
      </c>
      <c r="H13" s="8">
        <v>10137</v>
      </c>
      <c r="I13" s="28">
        <v>91.233000000000004</v>
      </c>
      <c r="J13" s="8">
        <v>5115.5</v>
      </c>
      <c r="K13" s="28">
        <v>46.016500000000001</v>
      </c>
      <c r="L13" s="7">
        <v>11210</v>
      </c>
      <c r="M13" s="32">
        <v>134.5</v>
      </c>
      <c r="N13" s="7">
        <v>11210</v>
      </c>
      <c r="O13" s="32">
        <v>134.5</v>
      </c>
      <c r="P13" s="6">
        <f>D13+H13+L13</f>
        <v>41347</v>
      </c>
      <c r="Q13" s="21">
        <f>E13+I13+M13</f>
        <v>525.73299999999995</v>
      </c>
      <c r="R13" s="6">
        <f>F13+J13+N13</f>
        <v>36325.5</v>
      </c>
      <c r="S13" s="21">
        <f>G13+K13+O13</f>
        <v>480.51650000000001</v>
      </c>
    </row>
    <row r="14" spans="1:19" ht="45" customHeight="1" x14ac:dyDescent="0.3">
      <c r="A14" s="52">
        <v>8</v>
      </c>
      <c r="B14" s="54" t="s">
        <v>27</v>
      </c>
      <c r="C14" s="7" t="s">
        <v>28</v>
      </c>
      <c r="D14" s="8">
        <v>0</v>
      </c>
      <c r="E14" s="20"/>
      <c r="F14" s="8">
        <v>0</v>
      </c>
      <c r="G14" s="20"/>
      <c r="H14" s="7">
        <v>0</v>
      </c>
      <c r="I14" s="27"/>
      <c r="J14" s="7">
        <v>0</v>
      </c>
      <c r="K14" s="27"/>
      <c r="L14" s="54">
        <v>0</v>
      </c>
      <c r="M14" s="58"/>
      <c r="N14" s="54">
        <v>0</v>
      </c>
      <c r="O14" s="58"/>
      <c r="P14" s="52">
        <f t="shared" si="0"/>
        <v>0</v>
      </c>
      <c r="Q14" s="61">
        <f t="shared" si="1"/>
        <v>0</v>
      </c>
      <c r="R14" s="52">
        <f t="shared" si="2"/>
        <v>0</v>
      </c>
      <c r="S14" s="61">
        <f t="shared" si="3"/>
        <v>0</v>
      </c>
    </row>
    <row r="15" spans="1:19" ht="45" customHeight="1" x14ac:dyDescent="0.3">
      <c r="A15" s="53"/>
      <c r="B15" s="55"/>
      <c r="C15" s="7" t="s">
        <v>29</v>
      </c>
      <c r="D15" s="8">
        <v>0</v>
      </c>
      <c r="E15" s="19"/>
      <c r="F15" s="8">
        <v>0</v>
      </c>
      <c r="G15" s="19"/>
      <c r="H15" s="7">
        <v>0</v>
      </c>
      <c r="I15" s="27"/>
      <c r="J15" s="7">
        <v>0</v>
      </c>
      <c r="K15" s="27"/>
      <c r="L15" s="55"/>
      <c r="M15" s="59"/>
      <c r="N15" s="55"/>
      <c r="O15" s="59"/>
      <c r="P15" s="60"/>
      <c r="Q15" s="62"/>
      <c r="R15" s="60"/>
      <c r="S15" s="62"/>
    </row>
    <row r="16" spans="1:19" ht="45" customHeight="1" x14ac:dyDescent="0.3">
      <c r="A16" s="6">
        <v>9</v>
      </c>
      <c r="B16" s="11" t="s">
        <v>30</v>
      </c>
      <c r="C16" s="7" t="s">
        <v>31</v>
      </c>
      <c r="D16" s="12">
        <v>0</v>
      </c>
      <c r="E16" s="21"/>
      <c r="F16" s="12">
        <v>0</v>
      </c>
      <c r="G16" s="22"/>
      <c r="H16" s="7">
        <v>16376</v>
      </c>
      <c r="I16" s="27">
        <v>147.38399999999999</v>
      </c>
      <c r="J16" s="7">
        <v>8188</v>
      </c>
      <c r="K16" s="27">
        <v>73.691999999999993</v>
      </c>
      <c r="L16" s="29">
        <v>0</v>
      </c>
      <c r="M16" s="32"/>
      <c r="N16" s="9">
        <v>0</v>
      </c>
      <c r="O16" s="33"/>
      <c r="P16" s="6">
        <f>H16+D16+L16</f>
        <v>16376</v>
      </c>
      <c r="Q16" s="21">
        <f t="shared" si="1"/>
        <v>147.38399999999999</v>
      </c>
      <c r="R16" s="6">
        <f t="shared" si="2"/>
        <v>8188</v>
      </c>
      <c r="S16" s="21">
        <f t="shared" si="3"/>
        <v>73.691999999999993</v>
      </c>
    </row>
    <row r="17" spans="1:19" ht="45" customHeight="1" x14ac:dyDescent="0.3">
      <c r="A17" s="6">
        <v>10</v>
      </c>
      <c r="B17" s="7" t="s">
        <v>32</v>
      </c>
      <c r="C17" s="7"/>
      <c r="D17" s="12">
        <v>0</v>
      </c>
      <c r="E17" s="21"/>
      <c r="F17" s="12">
        <v>0</v>
      </c>
      <c r="G17" s="22"/>
      <c r="H17" s="7">
        <v>0</v>
      </c>
      <c r="I17" s="27"/>
      <c r="J17" s="7">
        <v>0</v>
      </c>
      <c r="K17" s="27"/>
      <c r="L17" s="29">
        <v>0</v>
      </c>
      <c r="M17" s="32"/>
      <c r="N17" s="9">
        <v>0</v>
      </c>
      <c r="O17" s="33"/>
      <c r="P17" s="6">
        <f>H17+D17+L17</f>
        <v>0</v>
      </c>
      <c r="Q17" s="21">
        <f t="shared" si="1"/>
        <v>0</v>
      </c>
      <c r="R17" s="6">
        <f t="shared" si="2"/>
        <v>0</v>
      </c>
      <c r="S17" s="21">
        <f t="shared" si="3"/>
        <v>0</v>
      </c>
    </row>
    <row r="18" spans="1:19" ht="45" customHeight="1" x14ac:dyDescent="0.3">
      <c r="A18" s="6">
        <v>11</v>
      </c>
      <c r="B18" s="7" t="s">
        <v>33</v>
      </c>
      <c r="C18" s="7"/>
      <c r="D18" s="12">
        <v>0</v>
      </c>
      <c r="E18" s="21"/>
      <c r="F18" s="12">
        <v>0</v>
      </c>
      <c r="G18" s="22"/>
      <c r="H18" s="7">
        <v>0</v>
      </c>
      <c r="I18" s="27"/>
      <c r="J18" s="7">
        <v>0</v>
      </c>
      <c r="K18" s="27"/>
      <c r="L18" s="29">
        <v>0</v>
      </c>
      <c r="M18" s="32"/>
      <c r="N18" s="9">
        <v>133</v>
      </c>
      <c r="O18" s="33">
        <v>1.1000000000000001</v>
      </c>
      <c r="P18" s="6">
        <f>H18+D18+L18</f>
        <v>0</v>
      </c>
      <c r="Q18" s="21">
        <f t="shared" si="1"/>
        <v>0</v>
      </c>
      <c r="R18" s="6">
        <f t="shared" si="2"/>
        <v>133</v>
      </c>
      <c r="S18" s="21">
        <f t="shared" si="3"/>
        <v>1.1000000000000001</v>
      </c>
    </row>
    <row r="19" spans="1:19" ht="45" customHeight="1" x14ac:dyDescent="0.3">
      <c r="A19" s="6">
        <v>12</v>
      </c>
      <c r="B19" s="7" t="s">
        <v>34</v>
      </c>
      <c r="C19" s="13"/>
      <c r="D19" s="12">
        <v>0</v>
      </c>
      <c r="E19" s="21"/>
      <c r="F19" s="12">
        <v>0</v>
      </c>
      <c r="G19" s="22"/>
      <c r="H19" s="7">
        <v>0</v>
      </c>
      <c r="I19" s="27"/>
      <c r="J19" s="7">
        <v>0</v>
      </c>
      <c r="K19" s="27"/>
      <c r="L19" s="29">
        <v>0</v>
      </c>
      <c r="M19" s="32"/>
      <c r="N19" s="9">
        <v>0</v>
      </c>
      <c r="O19" s="33"/>
      <c r="P19" s="6"/>
      <c r="Q19" s="21"/>
      <c r="R19" s="6"/>
      <c r="S19" s="21"/>
    </row>
    <row r="20" spans="1:19" ht="45" customHeight="1" x14ac:dyDescent="0.3">
      <c r="A20" s="50" t="s">
        <v>8</v>
      </c>
      <c r="B20" s="50"/>
      <c r="C20" s="15"/>
      <c r="D20" s="14">
        <f>SUM(D7:D18)</f>
        <v>25000</v>
      </c>
      <c r="E20" s="23">
        <f t="shared" ref="E20:S20" si="4">SUM(E7:E18)</f>
        <v>350</v>
      </c>
      <c r="F20" s="14">
        <f t="shared" si="4"/>
        <v>25000</v>
      </c>
      <c r="G20" s="23">
        <f t="shared" si="4"/>
        <v>350</v>
      </c>
      <c r="H20" s="14">
        <f t="shared" si="4"/>
        <v>95486</v>
      </c>
      <c r="I20" s="30">
        <f t="shared" si="4"/>
        <v>859.37400000000002</v>
      </c>
      <c r="J20" s="14">
        <f t="shared" si="4"/>
        <v>54375</v>
      </c>
      <c r="K20" s="30">
        <f t="shared" si="4"/>
        <v>477.68700000000007</v>
      </c>
      <c r="L20" s="14">
        <f t="shared" si="4"/>
        <v>140770</v>
      </c>
      <c r="M20" s="23">
        <f t="shared" si="4"/>
        <v>1238.6100000000001</v>
      </c>
      <c r="N20" s="14">
        <f t="shared" si="4"/>
        <v>119060</v>
      </c>
      <c r="O20" s="23">
        <f t="shared" si="4"/>
        <v>1045.71</v>
      </c>
      <c r="P20" s="14">
        <f t="shared" si="4"/>
        <v>261256</v>
      </c>
      <c r="Q20" s="23">
        <f t="shared" si="4"/>
        <v>2447.9839999999999</v>
      </c>
      <c r="R20" s="14">
        <f t="shared" si="4"/>
        <v>198435</v>
      </c>
      <c r="S20" s="23">
        <f t="shared" si="4"/>
        <v>1873.3969999999999</v>
      </c>
    </row>
  </sheetData>
  <mergeCells count="32">
    <mergeCell ref="N14:N15"/>
    <mergeCell ref="O14:O15"/>
    <mergeCell ref="P14:P15"/>
    <mergeCell ref="Q14:Q15"/>
    <mergeCell ref="R14:R15"/>
    <mergeCell ref="S14:S15"/>
    <mergeCell ref="P5:Q5"/>
    <mergeCell ref="R5:S5"/>
    <mergeCell ref="A20:B20"/>
    <mergeCell ref="A4:A6"/>
    <mergeCell ref="A14:A15"/>
    <mergeCell ref="B4:B6"/>
    <mergeCell ref="B14:B15"/>
    <mergeCell ref="C5:C6"/>
    <mergeCell ref="L14:L15"/>
    <mergeCell ref="M14:M15"/>
    <mergeCell ref="C4:G4"/>
    <mergeCell ref="H4:K4"/>
    <mergeCell ref="L4:O4"/>
    <mergeCell ref="P4:S4"/>
    <mergeCell ref="D5:E5"/>
    <mergeCell ref="F5:G5"/>
    <mergeCell ref="H5:I5"/>
    <mergeCell ref="J5:K5"/>
    <mergeCell ref="L5:M5"/>
    <mergeCell ref="N5:O5"/>
    <mergeCell ref="A1:B1"/>
    <mergeCell ref="A2:S2"/>
    <mergeCell ref="A3:E3"/>
    <mergeCell ref="I3:K3"/>
    <mergeCell ref="M3:O3"/>
    <mergeCell ref="P3:R3"/>
  </mergeCells>
  <phoneticPr fontId="10" type="noConversion"/>
  <printOptions horizontalCentered="1"/>
  <pageMargins left="0.11805555555555555" right="0.11805555555555555" top="0.39305555555555555" bottom="0.2361111111111111" header="0.11805555555555555" footer="3.888888888888889E-2"/>
  <pageSetup paperSize="9" scale="72" fitToHeight="0" orientation="landscape" r:id="rId1"/>
  <headerFooter alignWithMargins="0"/>
  <rowBreaks count="1" manualBreakCount="1">
    <brk id="2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4.10</vt:lpstr>
      <vt:lpstr>'4.10'!Print_Area</vt:lpstr>
      <vt:lpstr>'4.10'!Print_Titles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亦哲君</cp:lastModifiedBy>
  <dcterms:created xsi:type="dcterms:W3CDTF">1997-01-04T09:32:42Z</dcterms:created>
  <dcterms:modified xsi:type="dcterms:W3CDTF">2025-03-30T13:17:34Z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2052-11.8.2.9339</vt:lpwstr>
  </property>
</Properties>
</file>