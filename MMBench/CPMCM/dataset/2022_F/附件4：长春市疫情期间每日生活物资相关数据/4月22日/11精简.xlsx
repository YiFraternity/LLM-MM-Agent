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4月22日\"/>
    </mc:Choice>
  </mc:AlternateContent>
  <xr:revisionPtr revIDLastSave="0" documentId="8_{9314D82A-422D-4B6C-9C0F-6D7BE51B02CB}" xr6:coauthVersionLast="36" xr6:coauthVersionMax="36" xr10:uidLastSave="{00000000-0000-0000-0000-000000000000}"/>
  <bookViews>
    <workbookView xWindow="32769" yWindow="32769" windowWidth="28800" windowHeight="12463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B30" i="1" l="1"/>
  <c r="C30" i="1"/>
  <c r="D30" i="1"/>
  <c r="E30" i="1"/>
  <c r="F30" i="1"/>
  <c r="G30" i="1"/>
  <c r="H30" i="1"/>
  <c r="I30" i="1"/>
  <c r="B31" i="1"/>
  <c r="C31" i="1"/>
  <c r="D31" i="1"/>
  <c r="E31" i="1"/>
  <c r="F31" i="1"/>
  <c r="G31" i="1"/>
  <c r="H31" i="1"/>
  <c r="I31" i="1"/>
  <c r="B32" i="1"/>
  <c r="C32" i="1"/>
  <c r="D32" i="1"/>
  <c r="E32" i="1"/>
  <c r="F32" i="1"/>
  <c r="G32" i="1"/>
  <c r="H32" i="1"/>
  <c r="I32" i="1"/>
</calcChain>
</file>

<file path=xl/sharedStrings.xml><?xml version="1.0" encoding="utf-8"?>
<sst xmlns="http://schemas.openxmlformats.org/spreadsheetml/2006/main" count="48" uniqueCount="36">
  <si>
    <t>日期</t>
  </si>
  <si>
    <t>大白菜</t>
  </si>
  <si>
    <t>土豆</t>
  </si>
  <si>
    <t>白萝卜</t>
  </si>
  <si>
    <t>圆葱</t>
  </si>
  <si>
    <t>西红柿</t>
  </si>
  <si>
    <t>黄瓜</t>
  </si>
  <si>
    <t>青椒</t>
  </si>
  <si>
    <t>生菜</t>
  </si>
  <si>
    <t>水果（平均）</t>
  </si>
  <si>
    <t>7日</t>
  </si>
  <si>
    <t>10日</t>
  </si>
  <si>
    <t>15日</t>
  </si>
  <si>
    <t>20日</t>
  </si>
  <si>
    <t>25日</t>
  </si>
  <si>
    <t>30日</t>
  </si>
  <si>
    <t>1日</t>
  </si>
  <si>
    <t>2日</t>
  </si>
  <si>
    <t>3日</t>
  </si>
  <si>
    <t>4日</t>
  </si>
  <si>
    <t>5日</t>
  </si>
  <si>
    <t>6日</t>
  </si>
  <si>
    <t>8日</t>
  </si>
  <si>
    <t>9日</t>
  </si>
  <si>
    <t>11日</t>
  </si>
  <si>
    <t>12日</t>
  </si>
  <si>
    <t>13日</t>
  </si>
  <si>
    <t>14日</t>
  </si>
  <si>
    <t>16日</t>
  </si>
  <si>
    <t>17日</t>
  </si>
  <si>
    <t>18日</t>
  </si>
  <si>
    <t>19日</t>
  </si>
  <si>
    <t>21日</t>
  </si>
  <si>
    <t>22日</t>
  </si>
  <si>
    <t>较昨日</t>
  </si>
  <si>
    <t>较疫情初期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</si>
</sst>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5"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9"/>
      <name val="方正仿宋_GBK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4">
    <xf numFmtId="0" fontId="0" fillId="0" borderId="0" xfId="0" applyProtection="1">
      <alignment vertical="center"/>
    </xf>
    <xf numFmtId="0" fontId="0" fillId="0" borderId="0" xfId="0" applyFont="1" applyProtection="1">
      <alignment vertical="center"/>
    </xf>
    <xf numFmtId="176" fontId="1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1" xfId="0" applyNumberFormat="1" applyFont="1" applyBorder="1" applyAlignment="1" applyProtection="1">
      <alignment horizontal="center" vertical="center"/>
      <protection locked="0"/>
    </xf>
    <xf numFmtId="176" fontId="2" fillId="0" borderId="1" xfId="0" applyNumberFormat="1" applyFont="1" applyBorder="1" applyAlignment="1" applyProtection="1">
      <alignment horizontal="center" vertical="center" wrapText="1"/>
      <protection locked="0"/>
    </xf>
    <xf numFmtId="176" fontId="1" fillId="0" borderId="0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Border="1" applyAlignment="1" applyProtection="1">
      <alignment horizontal="center" vertical="center" wrapText="1"/>
      <protection locked="0"/>
    </xf>
    <xf numFmtId="176" fontId="0" fillId="0" borderId="0" xfId="0" applyNumberFormat="1" applyFont="1" applyProtection="1">
      <alignment vertical="center"/>
    </xf>
    <xf numFmtId="0" fontId="3" fillId="0" borderId="0" xfId="0" applyFont="1" applyProtection="1">
      <alignment vertical="center"/>
    </xf>
    <xf numFmtId="10" fontId="0" fillId="0" borderId="0" xfId="0" applyNumberFormat="1" applyFont="1" applyProtection="1">
      <alignment vertical="center"/>
    </xf>
    <xf numFmtId="176" fontId="2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2" xfId="0" applyNumberFormat="1" applyFont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600" b="1" i="0" u="none" strike="noStrike" baseline="0">
                <a:solidFill>
                  <a:srgbClr val="000000"/>
                </a:solidFill>
                <a:latin typeface="宋体"/>
                <a:ea typeface="宋体"/>
              </a:rPr>
              <a:t>点调重点企业蔬菜价格变化图表</a:t>
            </a:r>
          </a:p>
          <a:p>
            <a:pPr>
              <a:defRPr sz="14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r>
              <a:rPr lang="zh-CN" altLang="en-US" sz="1000" b="1" i="0" u="none" strike="noStrike" baseline="0">
                <a:solidFill>
                  <a:srgbClr val="000000"/>
                </a:solidFill>
                <a:latin typeface="楷体"/>
                <a:ea typeface="楷体"/>
              </a:rPr>
              <a:t>（数据来源：市商务局点调的51家欧亚连锁超市）</a:t>
            </a:r>
            <a:endParaRPr lang="zh-CN" altLang="en-US"/>
          </a:p>
        </c:rich>
      </c:tx>
      <c:layout>
        <c:manualLayout>
          <c:xMode val="edge"/>
          <c:yMode val="edge"/>
          <c:x val="0.36488062438028229"/>
          <c:y val="1.4529819078963672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4405901964957101E-2"/>
          <c:y val="9.7945381596246869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 cmpd="sng" algn="ctr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工作表1!$A$2:$A$29</c:f>
              <c:strCache>
                <c:ptCount val="2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</c:strCache>
            </c:strRef>
          </c:cat>
          <c:val>
            <c:numRef>
              <c:f>工作表1!$B$2:$B$29</c:f>
              <c:numCache>
                <c:formatCode>0.00_ </c:formatCode>
                <c:ptCount val="28"/>
                <c:pt idx="0">
                  <c:v>3.2</c:v>
                </c:pt>
                <c:pt idx="1">
                  <c:v>3.2</c:v>
                </c:pt>
                <c:pt idx="2">
                  <c:v>3.68</c:v>
                </c:pt>
                <c:pt idx="3">
                  <c:v>3.32</c:v>
                </c:pt>
                <c:pt idx="4">
                  <c:v>3.32</c:v>
                </c:pt>
                <c:pt idx="5">
                  <c:v>4.5999999999999996</c:v>
                </c:pt>
                <c:pt idx="6">
                  <c:v>4.9000000000000004</c:v>
                </c:pt>
                <c:pt idx="7">
                  <c:v>4.9000000000000004</c:v>
                </c:pt>
                <c:pt idx="8">
                  <c:v>5.8</c:v>
                </c:pt>
                <c:pt idx="9">
                  <c:v>4.8</c:v>
                </c:pt>
                <c:pt idx="10">
                  <c:v>3.9</c:v>
                </c:pt>
                <c:pt idx="11">
                  <c:v>3.9</c:v>
                </c:pt>
                <c:pt idx="12">
                  <c:v>4.76</c:v>
                </c:pt>
                <c:pt idx="13">
                  <c:v>4.76</c:v>
                </c:pt>
                <c:pt idx="14">
                  <c:v>4.76</c:v>
                </c:pt>
                <c:pt idx="15">
                  <c:v>4.9000000000000004</c:v>
                </c:pt>
                <c:pt idx="16">
                  <c:v>5.96</c:v>
                </c:pt>
                <c:pt idx="17">
                  <c:v>5.76</c:v>
                </c:pt>
                <c:pt idx="18">
                  <c:v>6.6</c:v>
                </c:pt>
                <c:pt idx="19">
                  <c:v>6.76</c:v>
                </c:pt>
                <c:pt idx="20">
                  <c:v>6.76</c:v>
                </c:pt>
                <c:pt idx="21">
                  <c:v>6.76</c:v>
                </c:pt>
                <c:pt idx="22">
                  <c:v>6.76</c:v>
                </c:pt>
                <c:pt idx="23">
                  <c:v>4.5599999999999996</c:v>
                </c:pt>
                <c:pt idx="24">
                  <c:v>4.3600000000000003</c:v>
                </c:pt>
                <c:pt idx="25">
                  <c:v>4.3600000000000003</c:v>
                </c:pt>
                <c:pt idx="26">
                  <c:v>4.5599999999999996</c:v>
                </c:pt>
                <c:pt idx="27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EF-43F7-84B1-1B421548E7A4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 cmpd="sng" algn="ctr">
              <a:solidFill>
                <a:schemeClr val="accent2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 cap="flat" cmpd="sng" algn="ctr">
                <a:solidFill>
                  <a:schemeClr val="accent2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工作表1!$A$2:$A$29</c:f>
              <c:strCache>
                <c:ptCount val="2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</c:strCache>
            </c:strRef>
          </c:cat>
          <c:val>
            <c:numRef>
              <c:f>工作表1!$C$2:$C$29</c:f>
              <c:numCache>
                <c:formatCode>0.00_ </c:formatCode>
                <c:ptCount val="28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2.4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2.7</c:v>
                </c:pt>
                <c:pt idx="13">
                  <c:v>2.16</c:v>
                </c:pt>
                <c:pt idx="14">
                  <c:v>2.16</c:v>
                </c:pt>
                <c:pt idx="15">
                  <c:v>2.4</c:v>
                </c:pt>
                <c:pt idx="16">
                  <c:v>2.4</c:v>
                </c:pt>
                <c:pt idx="17">
                  <c:v>3.05</c:v>
                </c:pt>
                <c:pt idx="18">
                  <c:v>3.06</c:v>
                </c:pt>
                <c:pt idx="19">
                  <c:v>2.4</c:v>
                </c:pt>
                <c:pt idx="20">
                  <c:v>2.4</c:v>
                </c:pt>
                <c:pt idx="21">
                  <c:v>2.4</c:v>
                </c:pt>
                <c:pt idx="22">
                  <c:v>2.4</c:v>
                </c:pt>
                <c:pt idx="23">
                  <c:v>2.7</c:v>
                </c:pt>
                <c:pt idx="24">
                  <c:v>2.7</c:v>
                </c:pt>
                <c:pt idx="25">
                  <c:v>2.7</c:v>
                </c:pt>
                <c:pt idx="26">
                  <c:v>2.7</c:v>
                </c:pt>
                <c:pt idx="27">
                  <c:v>2.7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5EF-43F7-84B1-1B421548E7A4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 cmpd="sng" algn="ctr">
              <a:solidFill>
                <a:schemeClr val="accent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 cap="flat" cmpd="sng" algn="ctr">
                <a:solidFill>
                  <a:schemeClr val="accent3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工作表1!$A$2:$A$29</c:f>
              <c:strCache>
                <c:ptCount val="2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</c:strCache>
            </c:strRef>
          </c:cat>
          <c:val>
            <c:numRef>
              <c:f>工作表1!$D$2:$D$29</c:f>
              <c:numCache>
                <c:formatCode>0.00_ </c:formatCode>
                <c:ptCount val="28"/>
                <c:pt idx="0">
                  <c:v>2</c:v>
                </c:pt>
                <c:pt idx="1">
                  <c:v>2</c:v>
                </c:pt>
                <c:pt idx="2">
                  <c:v>2.12</c:v>
                </c:pt>
                <c:pt idx="3">
                  <c:v>2.12</c:v>
                </c:pt>
                <c:pt idx="4">
                  <c:v>1.92</c:v>
                </c:pt>
                <c:pt idx="5">
                  <c:v>3</c:v>
                </c:pt>
                <c:pt idx="6">
                  <c:v>2.2000000000000002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4.22</c:v>
                </c:pt>
                <c:pt idx="10">
                  <c:v>5.4</c:v>
                </c:pt>
                <c:pt idx="11">
                  <c:v>5.4</c:v>
                </c:pt>
                <c:pt idx="12">
                  <c:v>6.56</c:v>
                </c:pt>
                <c:pt idx="13">
                  <c:v>6.76</c:v>
                </c:pt>
                <c:pt idx="14">
                  <c:v>6.76</c:v>
                </c:pt>
                <c:pt idx="15">
                  <c:v>6.56</c:v>
                </c:pt>
                <c:pt idx="16">
                  <c:v>6.56</c:v>
                </c:pt>
                <c:pt idx="17">
                  <c:v>5.98</c:v>
                </c:pt>
                <c:pt idx="18">
                  <c:v>3.16</c:v>
                </c:pt>
                <c:pt idx="19">
                  <c:v>3.16</c:v>
                </c:pt>
                <c:pt idx="20">
                  <c:v>3.16</c:v>
                </c:pt>
                <c:pt idx="21">
                  <c:v>3.16</c:v>
                </c:pt>
                <c:pt idx="22">
                  <c:v>3.16</c:v>
                </c:pt>
                <c:pt idx="23">
                  <c:v>6.36</c:v>
                </c:pt>
                <c:pt idx="24">
                  <c:v>6.36</c:v>
                </c:pt>
                <c:pt idx="25">
                  <c:v>6.36</c:v>
                </c:pt>
                <c:pt idx="26">
                  <c:v>6.36</c:v>
                </c:pt>
                <c:pt idx="27">
                  <c:v>6.36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5EF-43F7-84B1-1B421548E7A4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 cmpd="sng" algn="ctr">
              <a:solidFill>
                <a:schemeClr val="accent4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工作表1!$A$2:$A$29</c:f>
              <c:strCache>
                <c:ptCount val="2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</c:strCache>
            </c:strRef>
          </c:cat>
          <c:val>
            <c:numRef>
              <c:f>工作表1!$E$2:$E$29</c:f>
              <c:numCache>
                <c:formatCode>0.00_ </c:formatCode>
                <c:ptCount val="28"/>
                <c:pt idx="0">
                  <c:v>2</c:v>
                </c:pt>
                <c:pt idx="1">
                  <c:v>2</c:v>
                </c:pt>
                <c:pt idx="2">
                  <c:v>2.5</c:v>
                </c:pt>
                <c:pt idx="3">
                  <c:v>2.1</c:v>
                </c:pt>
                <c:pt idx="4">
                  <c:v>2.2000000000000002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3.1</c:v>
                </c:pt>
                <c:pt idx="9">
                  <c:v>2.79</c:v>
                </c:pt>
                <c:pt idx="10">
                  <c:v>4.7</c:v>
                </c:pt>
                <c:pt idx="11">
                  <c:v>4.7</c:v>
                </c:pt>
                <c:pt idx="12">
                  <c:v>5.76</c:v>
                </c:pt>
                <c:pt idx="13">
                  <c:v>5.76</c:v>
                </c:pt>
                <c:pt idx="14">
                  <c:v>5.76</c:v>
                </c:pt>
                <c:pt idx="15">
                  <c:v>5.8</c:v>
                </c:pt>
                <c:pt idx="16">
                  <c:v>5.8</c:v>
                </c:pt>
                <c:pt idx="17">
                  <c:v>5.8</c:v>
                </c:pt>
                <c:pt idx="18">
                  <c:v>5.8</c:v>
                </c:pt>
                <c:pt idx="19">
                  <c:v>5.76</c:v>
                </c:pt>
                <c:pt idx="20">
                  <c:v>5.76</c:v>
                </c:pt>
                <c:pt idx="21">
                  <c:v>5.76</c:v>
                </c:pt>
                <c:pt idx="22">
                  <c:v>5.76</c:v>
                </c:pt>
                <c:pt idx="23">
                  <c:v>5.76</c:v>
                </c:pt>
                <c:pt idx="24">
                  <c:v>5.76</c:v>
                </c:pt>
                <c:pt idx="25">
                  <c:v>5.76</c:v>
                </c:pt>
                <c:pt idx="26">
                  <c:v>5.76</c:v>
                </c:pt>
                <c:pt idx="27">
                  <c:v>5.76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5EF-43F7-84B1-1B421548E7A4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 cmpd="sng" algn="ctr">
              <a:solidFill>
                <a:schemeClr val="accent5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工作表1!$A$2:$A$29</c:f>
              <c:strCache>
                <c:ptCount val="2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</c:strCache>
            </c:strRef>
          </c:cat>
          <c:val>
            <c:numRef>
              <c:f>工作表1!$F$2:$F$29</c:f>
              <c:numCache>
                <c:formatCode>0.00_ </c:formatCode>
                <c:ptCount val="28"/>
                <c:pt idx="0">
                  <c:v>11.6</c:v>
                </c:pt>
                <c:pt idx="1">
                  <c:v>11.6</c:v>
                </c:pt>
                <c:pt idx="2">
                  <c:v>9.8000000000000007</c:v>
                </c:pt>
                <c:pt idx="3">
                  <c:v>9.4</c:v>
                </c:pt>
                <c:pt idx="4">
                  <c:v>9.6999999999999993</c:v>
                </c:pt>
                <c:pt idx="5">
                  <c:v>12</c:v>
                </c:pt>
                <c:pt idx="6">
                  <c:v>13</c:v>
                </c:pt>
                <c:pt idx="7">
                  <c:v>13</c:v>
                </c:pt>
                <c:pt idx="8">
                  <c:v>13</c:v>
                </c:pt>
                <c:pt idx="9">
                  <c:v>9</c:v>
                </c:pt>
                <c:pt idx="10">
                  <c:v>10.4</c:v>
                </c:pt>
                <c:pt idx="11">
                  <c:v>10.4</c:v>
                </c:pt>
                <c:pt idx="12">
                  <c:v>13.96</c:v>
                </c:pt>
                <c:pt idx="13">
                  <c:v>12.96</c:v>
                </c:pt>
                <c:pt idx="14">
                  <c:v>10.56</c:v>
                </c:pt>
                <c:pt idx="15">
                  <c:v>10.7</c:v>
                </c:pt>
                <c:pt idx="16">
                  <c:v>10.76</c:v>
                </c:pt>
                <c:pt idx="17">
                  <c:v>9.9600000000000009</c:v>
                </c:pt>
                <c:pt idx="18">
                  <c:v>10.199999999999999</c:v>
                </c:pt>
                <c:pt idx="19">
                  <c:v>10.56</c:v>
                </c:pt>
                <c:pt idx="20">
                  <c:v>11.36</c:v>
                </c:pt>
                <c:pt idx="21">
                  <c:v>11.56</c:v>
                </c:pt>
                <c:pt idx="22">
                  <c:v>12.96</c:v>
                </c:pt>
                <c:pt idx="23">
                  <c:v>12.96</c:v>
                </c:pt>
                <c:pt idx="24">
                  <c:v>12.96</c:v>
                </c:pt>
                <c:pt idx="25">
                  <c:v>12.96</c:v>
                </c:pt>
                <c:pt idx="26">
                  <c:v>12.96</c:v>
                </c:pt>
                <c:pt idx="27">
                  <c:v>12.76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5EF-43F7-84B1-1B421548E7A4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 cmpd="sng" algn="ctr">
              <a:solidFill>
                <a:schemeClr val="accent6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 cap="flat" cmpd="sng" algn="ctr">
                <a:solidFill>
                  <a:schemeClr val="accent6"/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工作表1!$A$2:$A$29</c:f>
              <c:strCache>
                <c:ptCount val="2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</c:strCache>
            </c:strRef>
          </c:cat>
          <c:val>
            <c:numRef>
              <c:f>工作表1!$G$2:$G$29</c:f>
              <c:numCache>
                <c:formatCode>0.00_ </c:formatCode>
                <c:ptCount val="28"/>
                <c:pt idx="0">
                  <c:v>7.2</c:v>
                </c:pt>
                <c:pt idx="1">
                  <c:v>7.2</c:v>
                </c:pt>
                <c:pt idx="2">
                  <c:v>6.56</c:v>
                </c:pt>
                <c:pt idx="3">
                  <c:v>6.56</c:v>
                </c:pt>
                <c:pt idx="4">
                  <c:v>6.32</c:v>
                </c:pt>
                <c:pt idx="5">
                  <c:v>10.1</c:v>
                </c:pt>
                <c:pt idx="6">
                  <c:v>8.8000000000000007</c:v>
                </c:pt>
                <c:pt idx="7">
                  <c:v>8.8000000000000007</c:v>
                </c:pt>
                <c:pt idx="8">
                  <c:v>8.8000000000000007</c:v>
                </c:pt>
                <c:pt idx="9">
                  <c:v>9.4</c:v>
                </c:pt>
                <c:pt idx="10">
                  <c:v>8.8000000000000007</c:v>
                </c:pt>
                <c:pt idx="11">
                  <c:v>6</c:v>
                </c:pt>
                <c:pt idx="12">
                  <c:v>11.76</c:v>
                </c:pt>
                <c:pt idx="13">
                  <c:v>10.96</c:v>
                </c:pt>
                <c:pt idx="14">
                  <c:v>6.36</c:v>
                </c:pt>
                <c:pt idx="15">
                  <c:v>7.96</c:v>
                </c:pt>
                <c:pt idx="16">
                  <c:v>7.96</c:v>
                </c:pt>
                <c:pt idx="17">
                  <c:v>7.96</c:v>
                </c:pt>
                <c:pt idx="18">
                  <c:v>6.56</c:v>
                </c:pt>
                <c:pt idx="19">
                  <c:v>9.16</c:v>
                </c:pt>
                <c:pt idx="20">
                  <c:v>6.76</c:v>
                </c:pt>
                <c:pt idx="21">
                  <c:v>6.96</c:v>
                </c:pt>
                <c:pt idx="22">
                  <c:v>7.16</c:v>
                </c:pt>
                <c:pt idx="23">
                  <c:v>7.16</c:v>
                </c:pt>
                <c:pt idx="24">
                  <c:v>7.17</c:v>
                </c:pt>
                <c:pt idx="25">
                  <c:v>7.16</c:v>
                </c:pt>
                <c:pt idx="26">
                  <c:v>6.96</c:v>
                </c:pt>
                <c:pt idx="27">
                  <c:v>6.96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5EF-43F7-84B1-1B421548E7A4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 cmpd="sng" algn="ctr">
              <a:solidFill>
                <a:schemeClr val="accent1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 cap="flat" cmpd="sng" algn="ctr">
                <a:solidFill>
                  <a:schemeClr val="accent1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工作表1!$A$2:$A$29</c:f>
              <c:strCache>
                <c:ptCount val="2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</c:strCache>
            </c:strRef>
          </c:cat>
          <c:val>
            <c:numRef>
              <c:f>工作表1!$H$2:$H$29</c:f>
              <c:numCache>
                <c:formatCode>0.00_ </c:formatCode>
                <c:ptCount val="28"/>
                <c:pt idx="0">
                  <c:v>6.6</c:v>
                </c:pt>
                <c:pt idx="1">
                  <c:v>6.6</c:v>
                </c:pt>
                <c:pt idx="2">
                  <c:v>7.6</c:v>
                </c:pt>
                <c:pt idx="3">
                  <c:v>10.4</c:v>
                </c:pt>
                <c:pt idx="4">
                  <c:v>9.68</c:v>
                </c:pt>
                <c:pt idx="5">
                  <c:v>11</c:v>
                </c:pt>
                <c:pt idx="6">
                  <c:v>7.2</c:v>
                </c:pt>
                <c:pt idx="7">
                  <c:v>7.2</c:v>
                </c:pt>
                <c:pt idx="8">
                  <c:v>14.7</c:v>
                </c:pt>
                <c:pt idx="9">
                  <c:v>12.4</c:v>
                </c:pt>
                <c:pt idx="10">
                  <c:v>14.7</c:v>
                </c:pt>
                <c:pt idx="11">
                  <c:v>14.7</c:v>
                </c:pt>
                <c:pt idx="12">
                  <c:v>17.920000000000002</c:v>
                </c:pt>
                <c:pt idx="13">
                  <c:v>18.36</c:v>
                </c:pt>
                <c:pt idx="14">
                  <c:v>13.56</c:v>
                </c:pt>
                <c:pt idx="15">
                  <c:v>13</c:v>
                </c:pt>
                <c:pt idx="16">
                  <c:v>13</c:v>
                </c:pt>
                <c:pt idx="17">
                  <c:v>8.76</c:v>
                </c:pt>
                <c:pt idx="18">
                  <c:v>9.5</c:v>
                </c:pt>
                <c:pt idx="19">
                  <c:v>9.56</c:v>
                </c:pt>
                <c:pt idx="20">
                  <c:v>13.36</c:v>
                </c:pt>
                <c:pt idx="21">
                  <c:v>13.36</c:v>
                </c:pt>
                <c:pt idx="22">
                  <c:v>11.96</c:v>
                </c:pt>
                <c:pt idx="23">
                  <c:v>10.96</c:v>
                </c:pt>
                <c:pt idx="24">
                  <c:v>10.56</c:v>
                </c:pt>
                <c:pt idx="25">
                  <c:v>10.56</c:v>
                </c:pt>
                <c:pt idx="26">
                  <c:v>11.16</c:v>
                </c:pt>
                <c:pt idx="27">
                  <c:v>9.9600000000000009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5EF-43F7-84B1-1B421548E7A4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 cmpd="sng" algn="ctr">
              <a:solidFill>
                <a:schemeClr val="accent2">
                  <a:lumMod val="60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 cap="flat" cmpd="sng" algn="ctr">
                <a:solidFill>
                  <a:schemeClr val="accent2">
                    <a:lumMod val="60000"/>
                  </a:schemeClr>
                </a:solidFill>
                <a:prstDash val="solid"/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工作表1!$A$2:$A$29</c:f>
              <c:strCache>
                <c:ptCount val="28"/>
                <c:pt idx="0">
                  <c:v>7日</c:v>
                </c:pt>
                <c:pt idx="1">
                  <c:v>10日</c:v>
                </c:pt>
                <c:pt idx="2">
                  <c:v>15日</c:v>
                </c:pt>
                <c:pt idx="3">
                  <c:v>20日</c:v>
                </c:pt>
                <c:pt idx="4">
                  <c:v>25日</c:v>
                </c:pt>
                <c:pt idx="5">
                  <c:v>30日</c:v>
                </c:pt>
                <c:pt idx="6">
                  <c:v>1日</c:v>
                </c:pt>
                <c:pt idx="7">
                  <c:v>2日</c:v>
                </c:pt>
                <c:pt idx="8">
                  <c:v>3日</c:v>
                </c:pt>
                <c:pt idx="9">
                  <c:v>4日</c:v>
                </c:pt>
                <c:pt idx="10">
                  <c:v>5日</c:v>
                </c:pt>
                <c:pt idx="11">
                  <c:v>6日</c:v>
                </c:pt>
                <c:pt idx="12">
                  <c:v>7日</c:v>
                </c:pt>
                <c:pt idx="13">
                  <c:v>8日</c:v>
                </c:pt>
                <c:pt idx="14">
                  <c:v>9日</c:v>
                </c:pt>
                <c:pt idx="15">
                  <c:v>10日</c:v>
                </c:pt>
                <c:pt idx="16">
                  <c:v>11日</c:v>
                </c:pt>
                <c:pt idx="17">
                  <c:v>12日</c:v>
                </c:pt>
                <c:pt idx="18">
                  <c:v>13日</c:v>
                </c:pt>
                <c:pt idx="19">
                  <c:v>14日</c:v>
                </c:pt>
                <c:pt idx="20">
                  <c:v>15日</c:v>
                </c:pt>
                <c:pt idx="21">
                  <c:v>16日</c:v>
                </c:pt>
                <c:pt idx="22">
                  <c:v>17日</c:v>
                </c:pt>
                <c:pt idx="23">
                  <c:v>18日</c:v>
                </c:pt>
                <c:pt idx="24">
                  <c:v>19日</c:v>
                </c:pt>
                <c:pt idx="25">
                  <c:v>20日</c:v>
                </c:pt>
                <c:pt idx="26">
                  <c:v>21日</c:v>
                </c:pt>
                <c:pt idx="27">
                  <c:v>22日</c:v>
                </c:pt>
              </c:strCache>
            </c:strRef>
          </c:cat>
          <c:val>
            <c:numRef>
              <c:f>工作表1!$I$2:$I$29</c:f>
              <c:numCache>
                <c:formatCode>0.00_ </c:formatCode>
                <c:ptCount val="28"/>
                <c:pt idx="0">
                  <c:v>5.4</c:v>
                </c:pt>
                <c:pt idx="1">
                  <c:v>5.4</c:v>
                </c:pt>
                <c:pt idx="2">
                  <c:v>4.9400000000000004</c:v>
                </c:pt>
                <c:pt idx="3">
                  <c:v>4.3600000000000003</c:v>
                </c:pt>
                <c:pt idx="4">
                  <c:v>5.08</c:v>
                </c:pt>
                <c:pt idx="5">
                  <c:v>5.08</c:v>
                </c:pt>
                <c:pt idx="6">
                  <c:v>4</c:v>
                </c:pt>
                <c:pt idx="7">
                  <c:v>4</c:v>
                </c:pt>
                <c:pt idx="8">
                  <c:v>8</c:v>
                </c:pt>
                <c:pt idx="9">
                  <c:v>8</c:v>
                </c:pt>
                <c:pt idx="10">
                  <c:v>8</c:v>
                </c:pt>
                <c:pt idx="11">
                  <c:v>8</c:v>
                </c:pt>
                <c:pt idx="12">
                  <c:v>10.52</c:v>
                </c:pt>
                <c:pt idx="13">
                  <c:v>10.52</c:v>
                </c:pt>
                <c:pt idx="14">
                  <c:v>10.52</c:v>
                </c:pt>
                <c:pt idx="15">
                  <c:v>10.52</c:v>
                </c:pt>
                <c:pt idx="16">
                  <c:v>10.52</c:v>
                </c:pt>
                <c:pt idx="17">
                  <c:v>10.52</c:v>
                </c:pt>
                <c:pt idx="18">
                  <c:v>10.52</c:v>
                </c:pt>
                <c:pt idx="19">
                  <c:v>9.92</c:v>
                </c:pt>
                <c:pt idx="20">
                  <c:v>4.96</c:v>
                </c:pt>
                <c:pt idx="21">
                  <c:v>4.96</c:v>
                </c:pt>
                <c:pt idx="22">
                  <c:v>7.56</c:v>
                </c:pt>
                <c:pt idx="23">
                  <c:v>7.56</c:v>
                </c:pt>
                <c:pt idx="24">
                  <c:v>4.3600000000000003</c:v>
                </c:pt>
                <c:pt idx="25">
                  <c:v>4.96</c:v>
                </c:pt>
                <c:pt idx="26">
                  <c:v>4.5599999999999996</c:v>
                </c:pt>
                <c:pt idx="27">
                  <c:v>4.5599999999999996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5EF-43F7-84B1-1B421548E7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28463487"/>
        <c:axId val="1"/>
      </c:lineChart>
      <c:catAx>
        <c:axId val="92846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等线"/>
                    <a:ea typeface="等线"/>
                    <a:cs typeface="等线"/>
                  </a:defRPr>
                </a:pPr>
                <a:r>
                  <a:rPr lang="zh-CN" altLang="en-US" sz="1000" b="0" i="0" u="none" strike="noStrike" baseline="0">
                    <a:solidFill>
                      <a:srgbClr val="000000"/>
                    </a:solidFill>
                    <a:latin typeface="宋体"/>
                    <a:ea typeface="宋体"/>
                  </a:rPr>
                  <a:t>价格（单位：元/公斤）</a:t>
                </a:r>
                <a:endParaRPr lang="zh-CN" altLang="en-US"/>
              </a:p>
            </c:rich>
          </c:tx>
          <c:overlay val="0"/>
        </c:title>
        <c:numFmt formatCode="0.00_ " sourceLinked="1"/>
        <c:majorTickMark val="none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等线"/>
                <a:ea typeface="等线"/>
                <a:cs typeface="等线"/>
              </a:defRPr>
            </a:pPr>
            <a:endParaRPr lang="zh-CN"/>
          </a:p>
        </c:txPr>
        <c:crossAx val="9284634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20210468586968403"/>
          <c:y val="0.95048868022544752"/>
          <c:w val="0.6328195901821253"/>
          <c:h val="3.4863484409813711E-2"/>
        </c:manualLayout>
      </c:layout>
      <c:overlay val="0"/>
      <c:spPr>
        <a:noFill/>
        <a:ln w="3175">
          <a:noFill/>
        </a:ln>
      </c:spPr>
      <c:txPr>
        <a:bodyPr/>
        <a:lstStyle/>
        <a:p>
          <a:pPr>
            <a:defRPr sz="825" b="0" i="0" u="none" strike="noStrike" baseline="0">
              <a:solidFill>
                <a:srgbClr val="333333"/>
              </a:solidFill>
              <a:latin typeface="等线"/>
              <a:ea typeface="等线"/>
              <a:cs typeface="等线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等线"/>
          <a:ea typeface="等线"/>
          <a:cs typeface="等线"/>
        </a:defRPr>
      </a:pPr>
      <a:endParaRPr lang="zh-CN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495300</xdr:colOff>
      <xdr:row>17</xdr:row>
      <xdr:rowOff>48986</xdr:rowOff>
    </xdr:from>
    <xdr:to>
      <xdr:col>24</xdr:col>
      <xdr:colOff>65314</xdr:colOff>
      <xdr:row>36</xdr:row>
      <xdr:rowOff>125186</xdr:rowOff>
    </xdr:to>
    <xdr:graphicFrame macro="">
      <xdr:nvGraphicFramePr>
        <xdr:cNvPr id="1129" name="图表 2">
          <a:extLst>
            <a:ext uri="{FF2B5EF4-FFF2-40B4-BE49-F238E27FC236}">
              <a16:creationId xmlns:a16="http://schemas.microsoft.com/office/drawing/2014/main" id="{B184DC97-FCA7-4116-8896-8D4800FDF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3"/>
  <sheetViews>
    <sheetView tabSelected="1" topLeftCell="A18" zoomScale="85" workbookViewId="0">
      <selection activeCell="A30" sqref="A30:IV30"/>
    </sheetView>
  </sheetViews>
  <sheetFormatPr defaultColWidth="9" defaultRowHeight="15"/>
  <cols>
    <col min="1" max="1" width="8.5703125" style="1" customWidth="1"/>
    <col min="2" max="2" width="8.5" style="1" customWidth="1"/>
    <col min="3" max="3" width="8.2109375" style="1" customWidth="1"/>
    <col min="4" max="4" width="8.35546875" style="1" customWidth="1"/>
    <col min="5" max="5" width="8.28515625" style="1" customWidth="1"/>
    <col min="6" max="6" width="9" style="1" bestFit="1"/>
    <col min="7" max="16384" width="9" style="1"/>
  </cols>
  <sheetData>
    <row r="1" spans="1:10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7" customHeight="1">
      <c r="A2" s="3" t="s">
        <v>10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11">
        <v>3.6</v>
      </c>
    </row>
    <row r="3" spans="1:10" ht="27" customHeight="1">
      <c r="A3" s="3" t="s">
        <v>11</v>
      </c>
      <c r="B3" s="4">
        <v>3.2</v>
      </c>
      <c r="C3" s="4">
        <v>1.8</v>
      </c>
      <c r="D3" s="4">
        <v>2</v>
      </c>
      <c r="E3" s="4">
        <v>2</v>
      </c>
      <c r="F3" s="4">
        <v>11.6</v>
      </c>
      <c r="G3" s="5">
        <v>7.2</v>
      </c>
      <c r="H3" s="5">
        <v>6.6</v>
      </c>
      <c r="I3" s="5">
        <v>5.4</v>
      </c>
      <c r="J3" s="11">
        <v>3.6</v>
      </c>
    </row>
    <row r="4" spans="1:10" ht="28.5" customHeight="1">
      <c r="A4" s="3" t="s">
        <v>12</v>
      </c>
      <c r="B4" s="5">
        <v>3.68</v>
      </c>
      <c r="C4" s="5">
        <v>1.8</v>
      </c>
      <c r="D4" s="5">
        <v>2.12</v>
      </c>
      <c r="E4" s="5">
        <v>2.5</v>
      </c>
      <c r="F4" s="5">
        <v>9.8000000000000007</v>
      </c>
      <c r="G4" s="5">
        <v>6.56</v>
      </c>
      <c r="H4" s="5">
        <v>7.6</v>
      </c>
      <c r="I4" s="5">
        <v>4.9400000000000004</v>
      </c>
      <c r="J4" s="11">
        <v>3.5</v>
      </c>
    </row>
    <row r="5" spans="1:10" ht="31.95" customHeight="1">
      <c r="A5" s="2" t="s">
        <v>13</v>
      </c>
      <c r="B5" s="5">
        <v>3.32</v>
      </c>
      <c r="C5" s="5">
        <v>1.8</v>
      </c>
      <c r="D5" s="5">
        <v>2.12</v>
      </c>
      <c r="E5" s="5">
        <v>2.1</v>
      </c>
      <c r="F5" s="5">
        <v>9.4</v>
      </c>
      <c r="G5" s="5">
        <v>6.56</v>
      </c>
      <c r="H5" s="5">
        <v>10.4</v>
      </c>
      <c r="I5" s="5">
        <v>4.3600000000000003</v>
      </c>
      <c r="J5" s="11">
        <v>7.2</v>
      </c>
    </row>
    <row r="6" spans="1:10" ht="35.700000000000003" customHeight="1">
      <c r="A6" s="2" t="s">
        <v>14</v>
      </c>
      <c r="B6" s="5">
        <v>3.32</v>
      </c>
      <c r="C6" s="5">
        <v>1.8</v>
      </c>
      <c r="D6" s="5">
        <v>1.92</v>
      </c>
      <c r="E6" s="5">
        <v>2.2000000000000002</v>
      </c>
      <c r="F6" s="5">
        <v>9.6999999999999993</v>
      </c>
      <c r="G6" s="5">
        <v>6.32</v>
      </c>
      <c r="H6" s="5">
        <v>9.68</v>
      </c>
      <c r="I6" s="5">
        <v>5.08</v>
      </c>
      <c r="J6" s="11">
        <v>7.2</v>
      </c>
    </row>
    <row r="7" spans="1:10" ht="35.700000000000003" customHeight="1">
      <c r="A7" s="2" t="s">
        <v>15</v>
      </c>
      <c r="B7" s="5">
        <v>4.5999999999999996</v>
      </c>
      <c r="C7" s="5">
        <v>2.4</v>
      </c>
      <c r="D7" s="5">
        <v>3</v>
      </c>
      <c r="E7" s="5">
        <v>3</v>
      </c>
      <c r="F7" s="5">
        <v>12</v>
      </c>
      <c r="G7" s="5">
        <v>10.1</v>
      </c>
      <c r="H7" s="5">
        <v>11</v>
      </c>
      <c r="I7" s="12">
        <v>5.08</v>
      </c>
      <c r="J7" s="11">
        <v>7.2</v>
      </c>
    </row>
    <row r="8" spans="1:10" ht="35.700000000000003" customHeight="1">
      <c r="A8" s="6" t="s">
        <v>16</v>
      </c>
      <c r="B8" s="7">
        <v>4.9000000000000004</v>
      </c>
      <c r="C8" s="7">
        <v>2.2000000000000002</v>
      </c>
      <c r="D8" s="7">
        <v>2.2000000000000002</v>
      </c>
      <c r="E8" s="7">
        <v>3</v>
      </c>
      <c r="F8" s="7">
        <v>13</v>
      </c>
      <c r="G8" s="7">
        <v>8.8000000000000007</v>
      </c>
      <c r="H8" s="7">
        <v>7.2</v>
      </c>
      <c r="I8" s="7">
        <v>4</v>
      </c>
      <c r="J8" s="13"/>
    </row>
    <row r="9" spans="1:10" ht="35.700000000000003" customHeight="1">
      <c r="A9" s="6" t="s">
        <v>17</v>
      </c>
      <c r="B9" s="7">
        <v>4.9000000000000004</v>
      </c>
      <c r="C9" s="7">
        <v>2.2000000000000002</v>
      </c>
      <c r="D9" s="7">
        <v>2.2000000000000002</v>
      </c>
      <c r="E9" s="7">
        <v>3</v>
      </c>
      <c r="F9" s="7">
        <v>13</v>
      </c>
      <c r="G9" s="7">
        <v>8.8000000000000007</v>
      </c>
      <c r="H9" s="7">
        <v>7.2</v>
      </c>
      <c r="I9" s="7">
        <v>4</v>
      </c>
      <c r="J9" s="13"/>
    </row>
    <row r="10" spans="1:10" ht="27.75" customHeight="1">
      <c r="A10" s="6" t="s">
        <v>18</v>
      </c>
      <c r="B10" s="8">
        <v>5.8</v>
      </c>
      <c r="C10" s="8">
        <v>2.2000000000000002</v>
      </c>
      <c r="D10" s="8">
        <v>2.2000000000000002</v>
      </c>
      <c r="E10" s="8">
        <v>3.1</v>
      </c>
      <c r="F10" s="8">
        <v>13</v>
      </c>
      <c r="G10" s="8">
        <v>8.8000000000000007</v>
      </c>
      <c r="H10" s="8">
        <v>14.7</v>
      </c>
      <c r="I10" s="8">
        <v>8</v>
      </c>
      <c r="J10" s="8"/>
    </row>
    <row r="11" spans="1:10" ht="27.75" customHeight="1">
      <c r="A11" s="6" t="s">
        <v>19</v>
      </c>
      <c r="B11" s="8">
        <v>4.8</v>
      </c>
      <c r="C11" s="8">
        <v>1.8</v>
      </c>
      <c r="D11" s="8">
        <v>4.22</v>
      </c>
      <c r="E11" s="8">
        <v>2.79</v>
      </c>
      <c r="F11" s="8">
        <v>9</v>
      </c>
      <c r="G11" s="8">
        <v>9.4</v>
      </c>
      <c r="H11" s="8">
        <v>12.4</v>
      </c>
      <c r="I11" s="8">
        <v>8</v>
      </c>
      <c r="J11" s="8"/>
    </row>
    <row r="12" spans="1:10" ht="27.75" customHeight="1">
      <c r="A12" s="6" t="s">
        <v>20</v>
      </c>
      <c r="B12" s="8">
        <v>3.9</v>
      </c>
      <c r="C12" s="8">
        <v>1.8</v>
      </c>
      <c r="D12" s="8">
        <v>5.4</v>
      </c>
      <c r="E12" s="8">
        <v>4.7</v>
      </c>
      <c r="F12" s="8">
        <v>10.4</v>
      </c>
      <c r="G12" s="8">
        <v>8.8000000000000007</v>
      </c>
      <c r="H12" s="8">
        <v>14.7</v>
      </c>
      <c r="I12" s="8">
        <v>8</v>
      </c>
      <c r="J12" s="8"/>
    </row>
    <row r="13" spans="1:10" ht="27.75" customHeight="1">
      <c r="A13" s="6" t="s">
        <v>21</v>
      </c>
      <c r="B13" s="8">
        <v>3.9</v>
      </c>
      <c r="C13" s="8">
        <v>1.8</v>
      </c>
      <c r="D13" s="8">
        <v>5.4</v>
      </c>
      <c r="E13" s="8">
        <v>4.7</v>
      </c>
      <c r="F13" s="8">
        <v>10.4</v>
      </c>
      <c r="G13" s="8">
        <v>6</v>
      </c>
      <c r="H13" s="8">
        <v>14.7</v>
      </c>
      <c r="I13" s="8">
        <v>8</v>
      </c>
      <c r="J13" s="8"/>
    </row>
    <row r="14" spans="1:10" ht="27.75" customHeight="1">
      <c r="A14" s="6" t="s">
        <v>10</v>
      </c>
      <c r="B14" s="8">
        <v>4.76</v>
      </c>
      <c r="C14" s="8">
        <v>2.7</v>
      </c>
      <c r="D14" s="8">
        <v>6.56</v>
      </c>
      <c r="E14" s="8">
        <v>5.76</v>
      </c>
      <c r="F14" s="8">
        <v>13.96</v>
      </c>
      <c r="G14" s="8">
        <v>11.76</v>
      </c>
      <c r="H14" s="8">
        <v>17.920000000000002</v>
      </c>
      <c r="I14" s="8">
        <v>10.52</v>
      </c>
      <c r="J14" s="8"/>
    </row>
    <row r="15" spans="1:10" ht="27.75" customHeight="1">
      <c r="A15" s="6" t="s">
        <v>22</v>
      </c>
      <c r="B15" s="8">
        <v>4.76</v>
      </c>
      <c r="C15" s="8">
        <v>2.16</v>
      </c>
      <c r="D15" s="8">
        <v>6.76</v>
      </c>
      <c r="E15" s="8">
        <v>5.76</v>
      </c>
      <c r="F15" s="8">
        <v>12.96</v>
      </c>
      <c r="G15" s="8">
        <v>10.96</v>
      </c>
      <c r="H15" s="8">
        <v>18.36</v>
      </c>
      <c r="I15" s="8">
        <v>10.52</v>
      </c>
      <c r="J15" s="8"/>
    </row>
    <row r="16" spans="1:10" ht="27.75" customHeight="1">
      <c r="A16" s="6" t="s">
        <v>23</v>
      </c>
      <c r="B16" s="8">
        <v>4.76</v>
      </c>
      <c r="C16" s="8">
        <v>2.16</v>
      </c>
      <c r="D16" s="8">
        <v>6.76</v>
      </c>
      <c r="E16" s="8">
        <v>5.76</v>
      </c>
      <c r="F16" s="8">
        <v>10.56</v>
      </c>
      <c r="G16" s="8">
        <v>6.36</v>
      </c>
      <c r="H16" s="8">
        <v>13.56</v>
      </c>
      <c r="I16" s="8">
        <v>10.52</v>
      </c>
      <c r="J16" s="8"/>
    </row>
    <row r="17" spans="1:10" ht="27.75" customHeight="1">
      <c r="A17" s="6" t="s">
        <v>11</v>
      </c>
      <c r="B17" s="8">
        <v>4.9000000000000004</v>
      </c>
      <c r="C17" s="8">
        <v>2.4</v>
      </c>
      <c r="D17" s="8">
        <v>6.56</v>
      </c>
      <c r="E17" s="8">
        <v>5.8</v>
      </c>
      <c r="F17" s="8">
        <v>10.7</v>
      </c>
      <c r="G17" s="8">
        <v>7.96</v>
      </c>
      <c r="H17" s="8">
        <v>13</v>
      </c>
      <c r="I17" s="8">
        <v>10.52</v>
      </c>
      <c r="J17" s="8"/>
    </row>
    <row r="18" spans="1:10" ht="27.75" customHeight="1">
      <c r="A18" s="6" t="s">
        <v>24</v>
      </c>
      <c r="B18" s="8">
        <v>5.96</v>
      </c>
      <c r="C18" s="8">
        <v>2.4</v>
      </c>
      <c r="D18" s="8">
        <v>6.56</v>
      </c>
      <c r="E18" s="8">
        <v>5.8</v>
      </c>
      <c r="F18" s="8">
        <v>10.76</v>
      </c>
      <c r="G18" s="8">
        <v>7.96</v>
      </c>
      <c r="H18" s="8">
        <v>13</v>
      </c>
      <c r="I18" s="8">
        <v>10.52</v>
      </c>
      <c r="J18" s="8">
        <v>8</v>
      </c>
    </row>
    <row r="19" spans="1:10" ht="27.75" customHeight="1">
      <c r="A19" s="6" t="s">
        <v>25</v>
      </c>
      <c r="B19" s="8">
        <v>5.76</v>
      </c>
      <c r="C19" s="8">
        <v>3.05</v>
      </c>
      <c r="D19" s="8">
        <v>5.98</v>
      </c>
      <c r="E19" s="8">
        <v>5.8</v>
      </c>
      <c r="F19" s="8">
        <v>9.9600000000000009</v>
      </c>
      <c r="G19" s="8">
        <v>7.96</v>
      </c>
      <c r="H19" s="8">
        <v>8.76</v>
      </c>
      <c r="I19" s="8">
        <v>10.52</v>
      </c>
      <c r="J19" s="8"/>
    </row>
    <row r="20" spans="1:10" ht="27.75" customHeight="1">
      <c r="A20" s="6" t="s">
        <v>26</v>
      </c>
      <c r="B20" s="8">
        <v>6.6</v>
      </c>
      <c r="C20" s="8">
        <v>3.06</v>
      </c>
      <c r="D20" s="8">
        <v>3.16</v>
      </c>
      <c r="E20" s="8">
        <v>5.8</v>
      </c>
      <c r="F20" s="8">
        <v>10.199999999999999</v>
      </c>
      <c r="G20" s="8">
        <v>6.56</v>
      </c>
      <c r="H20" s="8">
        <v>9.5</v>
      </c>
      <c r="I20" s="8">
        <v>10.52</v>
      </c>
      <c r="J20" s="8"/>
    </row>
    <row r="21" spans="1:10" ht="27.75" customHeight="1">
      <c r="A21" s="6" t="s">
        <v>27</v>
      </c>
      <c r="B21" s="8">
        <v>6.76</v>
      </c>
      <c r="C21" s="8">
        <v>2.4</v>
      </c>
      <c r="D21" s="8">
        <v>3.16</v>
      </c>
      <c r="E21" s="8">
        <v>5.76</v>
      </c>
      <c r="F21" s="8">
        <v>10.56</v>
      </c>
      <c r="G21" s="8">
        <v>9.16</v>
      </c>
      <c r="H21" s="8">
        <v>9.56</v>
      </c>
      <c r="I21" s="8">
        <v>9.92</v>
      </c>
      <c r="J21" s="8"/>
    </row>
    <row r="22" spans="1:10" ht="27.75" customHeight="1">
      <c r="A22" s="6" t="s">
        <v>12</v>
      </c>
      <c r="B22" s="8">
        <v>6.76</v>
      </c>
      <c r="C22" s="8">
        <v>2.4</v>
      </c>
      <c r="D22" s="8">
        <v>3.16</v>
      </c>
      <c r="E22" s="8">
        <v>5.76</v>
      </c>
      <c r="F22" s="8">
        <v>11.36</v>
      </c>
      <c r="G22" s="8">
        <v>6.76</v>
      </c>
      <c r="H22" s="8">
        <v>13.36</v>
      </c>
      <c r="I22" s="8">
        <v>4.96</v>
      </c>
      <c r="J22" s="8"/>
    </row>
    <row r="23" spans="1:10" ht="27.75" customHeight="1">
      <c r="A23" s="6" t="s">
        <v>28</v>
      </c>
      <c r="B23" s="8">
        <v>6.76</v>
      </c>
      <c r="C23" s="8">
        <v>2.4</v>
      </c>
      <c r="D23" s="8">
        <v>3.16</v>
      </c>
      <c r="E23" s="8">
        <v>5.76</v>
      </c>
      <c r="F23" s="8">
        <v>11.56</v>
      </c>
      <c r="G23" s="8">
        <v>6.96</v>
      </c>
      <c r="H23" s="8">
        <v>13.36</v>
      </c>
      <c r="I23" s="8">
        <v>4.96</v>
      </c>
      <c r="J23" s="8"/>
    </row>
    <row r="24" spans="1:10" ht="27.75" customHeight="1">
      <c r="A24" s="6" t="s">
        <v>29</v>
      </c>
      <c r="B24" s="8">
        <v>6.76</v>
      </c>
      <c r="C24" s="8">
        <v>2.4</v>
      </c>
      <c r="D24" s="8">
        <v>3.16</v>
      </c>
      <c r="E24" s="8">
        <v>5.76</v>
      </c>
      <c r="F24" s="8">
        <v>12.96</v>
      </c>
      <c r="G24" s="8">
        <v>7.16</v>
      </c>
      <c r="H24" s="8">
        <v>11.96</v>
      </c>
      <c r="I24" s="8">
        <v>7.56</v>
      </c>
      <c r="J24" s="8"/>
    </row>
    <row r="25" spans="1:10" ht="27.75" customHeight="1">
      <c r="A25" s="6" t="s">
        <v>30</v>
      </c>
      <c r="B25" s="8">
        <v>4.5599999999999996</v>
      </c>
      <c r="C25" s="8">
        <v>2.7</v>
      </c>
      <c r="D25" s="8">
        <v>6.36</v>
      </c>
      <c r="E25" s="8">
        <v>5.76</v>
      </c>
      <c r="F25" s="8">
        <v>12.96</v>
      </c>
      <c r="G25" s="8">
        <v>7.16</v>
      </c>
      <c r="H25" s="8">
        <v>10.96</v>
      </c>
      <c r="I25" s="8">
        <v>7.56</v>
      </c>
      <c r="J25" s="8"/>
    </row>
    <row r="26" spans="1:10" ht="27.75" customHeight="1">
      <c r="A26" s="6" t="s">
        <v>31</v>
      </c>
      <c r="B26" s="8">
        <v>4.3600000000000003</v>
      </c>
      <c r="C26" s="8">
        <v>2.7</v>
      </c>
      <c r="D26" s="8">
        <v>6.36</v>
      </c>
      <c r="E26" s="8">
        <v>5.76</v>
      </c>
      <c r="F26" s="8">
        <v>12.96</v>
      </c>
      <c r="G26" s="8">
        <v>7.17</v>
      </c>
      <c r="H26" s="8">
        <v>10.56</v>
      </c>
      <c r="I26" s="8">
        <v>4.3600000000000003</v>
      </c>
      <c r="J26" s="8"/>
    </row>
    <row r="27" spans="1:10" ht="27.75" customHeight="1">
      <c r="A27" s="6" t="s">
        <v>13</v>
      </c>
      <c r="B27" s="8">
        <v>4.3600000000000003</v>
      </c>
      <c r="C27" s="8">
        <v>2.7</v>
      </c>
      <c r="D27" s="8">
        <v>6.36</v>
      </c>
      <c r="E27" s="8">
        <v>5.76</v>
      </c>
      <c r="F27" s="8">
        <v>12.96</v>
      </c>
      <c r="G27" s="8">
        <v>7.16</v>
      </c>
      <c r="H27" s="8">
        <v>10.56</v>
      </c>
      <c r="I27" s="8">
        <v>4.96</v>
      </c>
      <c r="J27" s="8"/>
    </row>
    <row r="28" spans="1:10" ht="27.75" customHeight="1">
      <c r="A28" s="6" t="s">
        <v>32</v>
      </c>
      <c r="B28" s="8">
        <v>4.5599999999999996</v>
      </c>
      <c r="C28" s="8">
        <v>2.7</v>
      </c>
      <c r="D28" s="8">
        <v>6.36</v>
      </c>
      <c r="E28" s="8">
        <v>5.76</v>
      </c>
      <c r="F28" s="8">
        <v>12.96</v>
      </c>
      <c r="G28" s="8">
        <v>6.96</v>
      </c>
      <c r="H28" s="8">
        <v>11.16</v>
      </c>
      <c r="I28" s="8">
        <v>4.5599999999999996</v>
      </c>
      <c r="J28" s="8"/>
    </row>
    <row r="29" spans="1:10" ht="27.75" customHeight="1">
      <c r="A29" s="6" t="s">
        <v>33</v>
      </c>
      <c r="B29" s="8">
        <v>4.5599999999999996</v>
      </c>
      <c r="C29" s="8">
        <v>2.7</v>
      </c>
      <c r="D29" s="8">
        <v>6.36</v>
      </c>
      <c r="E29" s="8">
        <v>5.76</v>
      </c>
      <c r="F29" s="8">
        <v>12.76</v>
      </c>
      <c r="G29" s="8">
        <v>6.96</v>
      </c>
      <c r="H29" s="8">
        <v>9.9600000000000009</v>
      </c>
      <c r="I29" s="8">
        <v>4.5599999999999996</v>
      </c>
      <c r="J29" s="8"/>
    </row>
    <row r="30" spans="1:10" ht="27.75" customHeight="1">
      <c r="B30" s="8">
        <f>B29/2</f>
        <v>2.2799999999999998</v>
      </c>
      <c r="C30" s="8">
        <f t="shared" ref="C30:I30" si="0">C29/2</f>
        <v>1.35</v>
      </c>
      <c r="D30" s="8">
        <f t="shared" si="0"/>
        <v>3.18</v>
      </c>
      <c r="E30" s="8">
        <f t="shared" si="0"/>
        <v>2.88</v>
      </c>
      <c r="F30" s="8">
        <f t="shared" si="0"/>
        <v>6.38</v>
      </c>
      <c r="G30" s="8">
        <f t="shared" si="0"/>
        <v>3.48</v>
      </c>
      <c r="H30" s="8">
        <f t="shared" si="0"/>
        <v>4.9800000000000004</v>
      </c>
      <c r="I30" s="8">
        <f t="shared" si="0"/>
        <v>2.2799999999999998</v>
      </c>
      <c r="J30" s="8"/>
    </row>
    <row r="31" spans="1:10" ht="19.95" customHeight="1">
      <c r="A31" s="9" t="s">
        <v>34</v>
      </c>
      <c r="B31" s="10">
        <f>B29/B28-1</f>
        <v>0</v>
      </c>
      <c r="C31" s="10">
        <f t="shared" ref="C31:I31" si="1">C29/C28-1</f>
        <v>0</v>
      </c>
      <c r="D31" s="10">
        <f t="shared" si="1"/>
        <v>0</v>
      </c>
      <c r="E31" s="10">
        <f t="shared" si="1"/>
        <v>0</v>
      </c>
      <c r="F31" s="10">
        <f t="shared" si="1"/>
        <v>-1.5432098765432167E-2</v>
      </c>
      <c r="G31" s="10">
        <f t="shared" si="1"/>
        <v>0</v>
      </c>
      <c r="H31" s="10">
        <f t="shared" si="1"/>
        <v>-0.10752688172043001</v>
      </c>
      <c r="I31" s="10">
        <f t="shared" si="1"/>
        <v>0</v>
      </c>
      <c r="J31" s="10"/>
    </row>
    <row r="32" spans="1:10" ht="25.2" customHeight="1">
      <c r="A32" s="9" t="s">
        <v>35</v>
      </c>
      <c r="B32" s="10">
        <f>B29/B2-1</f>
        <v>0.42499999999999982</v>
      </c>
      <c r="C32" s="10">
        <f t="shared" ref="C32:I32" si="2">C29/C2-1</f>
        <v>0.5</v>
      </c>
      <c r="D32" s="10">
        <f t="shared" si="2"/>
        <v>2.1800000000000002</v>
      </c>
      <c r="E32" s="10">
        <f t="shared" si="2"/>
        <v>1.88</v>
      </c>
      <c r="F32" s="10">
        <f t="shared" si="2"/>
        <v>0.10000000000000009</v>
      </c>
      <c r="G32" s="10">
        <f t="shared" si="2"/>
        <v>-3.3333333333333326E-2</v>
      </c>
      <c r="H32" s="10">
        <f t="shared" si="2"/>
        <v>0.50909090909090926</v>
      </c>
      <c r="I32" s="10">
        <f t="shared" si="2"/>
        <v>-0.15555555555555567</v>
      </c>
      <c r="J32" s="10"/>
    </row>
    <row r="33" spans="2:9">
      <c r="B33" s="2" t="s">
        <v>1</v>
      </c>
      <c r="C33" s="2" t="s">
        <v>2</v>
      </c>
      <c r="D33" s="2" t="s">
        <v>3</v>
      </c>
      <c r="E33" s="2" t="s">
        <v>4</v>
      </c>
      <c r="F33" s="2" t="s">
        <v>5</v>
      </c>
      <c r="G33" s="2" t="s">
        <v>6</v>
      </c>
      <c r="H33" s="2" t="s">
        <v>7</v>
      </c>
      <c r="I33" s="2" t="s">
        <v>8</v>
      </c>
    </row>
  </sheetData>
  <phoneticPr fontId="4" type="noConversion"/>
  <pageMargins left="0.70060688679612526" right="0.70060688679612526" top="0.75198932895510207" bottom="0.75198932895510207" header="0.29926813962891347" footer="0.29926813962891347"/>
  <pageSetup paperSize="9" scale="79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5"/>
  <cols>
    <col min="1" max="1" width="9" style="1" bestFit="1"/>
    <col min="2" max="16384" width="9" style="1"/>
  </cols>
  <sheetData/>
  <phoneticPr fontId="4" type="noConversion"/>
  <pageMargins left="0.70060688679612526" right="0.70060688679612526" top="0.75198932895510207" bottom="0.75198932895510207" header="0.29926813962891347" footer="0.29926813962891347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2022-03-14T10:25:23Z</dcterms:created>
  <dcterms:modified xsi:type="dcterms:W3CDTF">2025-03-30T13:21:13Z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</Properties>
</file>