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9日\"/>
    </mc:Choice>
  </mc:AlternateContent>
  <xr:revisionPtr revIDLastSave="0" documentId="8_{57EE91CA-E60B-4C2C-A340-37D71FDEEEF7}" xr6:coauthVersionLast="36" xr6:coauthVersionMax="36" xr10:uidLastSave="{00000000-0000-0000-0000-000000000000}"/>
  <bookViews>
    <workbookView xWindow="32769" yWindow="32769" windowWidth="28800" windowHeight="12317"/>
  </bookViews>
  <sheets>
    <sheet name="蔬菜包情况表" sheetId="6" r:id="rId1"/>
  </sheets>
  <definedNames>
    <definedName name="_xlnm.Print_Area" localSheetId="0">蔬菜包情况表!$A$1:$O$29</definedName>
    <definedName name="_xlnm.Print_Titles" localSheetId="0">蔬菜包情况表!$1:$6</definedName>
  </definedNames>
  <calcPr calcId="191029" fullCalcOnLoad="1"/>
</workbook>
</file>

<file path=xl/calcChain.xml><?xml version="1.0" encoding="utf-8"?>
<calcChain xmlns="http://schemas.openxmlformats.org/spreadsheetml/2006/main">
  <c r="L7" i="6" l="1"/>
  <c r="M7" i="6"/>
  <c r="N7" i="6"/>
  <c r="N15" i="6" s="1"/>
  <c r="N29" i="6" s="1"/>
  <c r="O7" i="6"/>
  <c r="O15" i="6" s="1"/>
  <c r="O29" i="6" s="1"/>
  <c r="L8" i="6"/>
  <c r="M8" i="6"/>
  <c r="N8" i="6"/>
  <c r="O8" i="6"/>
  <c r="L9" i="6"/>
  <c r="L15" i="6" s="1"/>
  <c r="L29" i="6" s="1"/>
  <c r="M9" i="6"/>
  <c r="M15" i="6" s="1"/>
  <c r="M29" i="6" s="1"/>
  <c r="N9" i="6"/>
  <c r="O9" i="6"/>
  <c r="L10" i="6"/>
  <c r="M10" i="6"/>
  <c r="N10" i="6"/>
  <c r="O10" i="6"/>
  <c r="L11" i="6"/>
  <c r="M11" i="6"/>
  <c r="N11" i="6"/>
  <c r="O11" i="6"/>
  <c r="L12" i="6"/>
  <c r="M12" i="6"/>
  <c r="N12" i="6"/>
  <c r="O12" i="6"/>
  <c r="L13" i="6"/>
  <c r="M13" i="6"/>
  <c r="N13" i="6"/>
  <c r="O13" i="6"/>
  <c r="L14" i="6"/>
  <c r="M14" i="6"/>
  <c r="N14" i="6"/>
  <c r="O14" i="6"/>
  <c r="D15" i="6"/>
  <c r="E15" i="6"/>
  <c r="F15" i="6"/>
  <c r="G15" i="6"/>
  <c r="H15" i="6"/>
  <c r="I15" i="6"/>
  <c r="J15" i="6"/>
  <c r="K15" i="6"/>
  <c r="L16" i="6"/>
  <c r="L28" i="6" s="1"/>
  <c r="M16" i="6"/>
  <c r="M28" i="6" s="1"/>
  <c r="N16" i="6"/>
  <c r="N28" i="6" s="1"/>
  <c r="O16" i="6"/>
  <c r="O28" i="6" s="1"/>
  <c r="L17" i="6"/>
  <c r="M17" i="6"/>
  <c r="N17" i="6"/>
  <c r="O17" i="6"/>
  <c r="L18" i="6"/>
  <c r="M18" i="6"/>
  <c r="N18" i="6"/>
  <c r="O18" i="6"/>
  <c r="L19" i="6"/>
  <c r="M19" i="6"/>
  <c r="N19" i="6"/>
  <c r="O19" i="6"/>
  <c r="L20" i="6"/>
  <c r="M20" i="6"/>
  <c r="N20" i="6"/>
  <c r="O20" i="6"/>
  <c r="L23" i="6"/>
  <c r="M23" i="6"/>
  <c r="N23" i="6"/>
  <c r="O23" i="6"/>
  <c r="L24" i="6"/>
  <c r="M24" i="6"/>
  <c r="N24" i="6"/>
  <c r="O24" i="6"/>
  <c r="L25" i="6"/>
  <c r="M25" i="6"/>
  <c r="N25" i="6"/>
  <c r="O25" i="6"/>
  <c r="L27" i="6"/>
  <c r="M27" i="6"/>
  <c r="N27" i="6"/>
  <c r="O27" i="6"/>
  <c r="D28" i="6"/>
  <c r="D29" i="6" s="1"/>
  <c r="E28" i="6"/>
  <c r="F28" i="6"/>
  <c r="F29" i="6" s="1"/>
  <c r="G28" i="6"/>
  <c r="H28" i="6"/>
  <c r="I28" i="6"/>
  <c r="J28" i="6"/>
  <c r="K28" i="6"/>
  <c r="K29" i="6" s="1"/>
  <c r="E29" i="6"/>
  <c r="G29" i="6"/>
  <c r="H29" i="6"/>
  <c r="I29" i="6"/>
  <c r="J29" i="6"/>
</calcChain>
</file>

<file path=xl/sharedStrings.xml><?xml version="1.0" encoding="utf-8"?>
<sst xmlns="http://schemas.openxmlformats.org/spreadsheetml/2006/main" count="66" uniqueCount="39">
  <si>
    <t>4月9日长春各区行政保供蔬菜包情况表</t>
  </si>
  <si>
    <t>统计时间段：9日0-18时</t>
  </si>
  <si>
    <t>上报时间：4月9日18时</t>
  </si>
  <si>
    <t>序号</t>
  </si>
  <si>
    <t>被包保单位</t>
  </si>
  <si>
    <t>包保单位
/政府直采</t>
  </si>
  <si>
    <t>市级统筹</t>
  </si>
  <si>
    <t>属地自保</t>
  </si>
  <si>
    <t>合计</t>
  </si>
  <si>
    <t>接收</t>
  </si>
  <si>
    <t>发放</t>
  </si>
  <si>
    <t>自采</t>
  </si>
  <si>
    <t>市级统筹+属地自保</t>
  </si>
  <si>
    <t>蔬菜包
（箱/袋）</t>
  </si>
  <si>
    <t>蔬菜总量
（吨）</t>
  </si>
  <si>
    <t>朝阳区
（57.8万人）</t>
  </si>
  <si>
    <t>政府直采</t>
  </si>
  <si>
    <t>南关区
（48.9万人）</t>
  </si>
  <si>
    <t>绿园区
（42.6万人）</t>
  </si>
  <si>
    <t>二道区
（32.6万人）</t>
  </si>
  <si>
    <t>宽城区
（38.5万人）</t>
  </si>
  <si>
    <t>长春新区
（36.8万人）</t>
  </si>
  <si>
    <t>汽开区
（21.7万人）</t>
  </si>
  <si>
    <t>经开区
（20.3万人）</t>
  </si>
  <si>
    <t>市级统筹小计</t>
  </si>
  <si>
    <r>
      <t xml:space="preserve">四平市
</t>
    </r>
    <r>
      <rPr>
        <b/>
        <sz val="12"/>
        <color indexed="10"/>
        <rFont val="仿宋"/>
        <charset val="134"/>
      </rPr>
      <t>（调剂）</t>
    </r>
  </si>
  <si>
    <t>通化市</t>
  </si>
  <si>
    <t>松原市</t>
  </si>
  <si>
    <t>中韩示范区</t>
  </si>
  <si>
    <r>
      <t xml:space="preserve">通化地区
</t>
    </r>
    <r>
      <rPr>
        <b/>
        <sz val="12"/>
        <color indexed="10"/>
        <rFont val="仿宋"/>
        <charset val="134"/>
      </rPr>
      <t>（调剂）</t>
    </r>
  </si>
  <si>
    <t>白山市</t>
  </si>
  <si>
    <t>白城市</t>
  </si>
  <si>
    <t>净月区
（22.8万人）</t>
  </si>
  <si>
    <t>辽源市</t>
  </si>
  <si>
    <t>莲花山
（5.1万人）</t>
  </si>
  <si>
    <t>四平市</t>
  </si>
  <si>
    <t>梅河口市</t>
  </si>
  <si>
    <t>九台区
（71.2万人）</t>
  </si>
  <si>
    <t>市州支援小计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</si>
</sst>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3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b/>
      <sz val="12"/>
      <color indexed="10"/>
      <name val="仿宋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12"/>
      <color theme="1"/>
      <name val="等线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>
      <alignment vertical="center"/>
    </xf>
    <xf numFmtId="0" fontId="8" fillId="0" borderId="0">
      <alignment vertical="center"/>
    </xf>
  </cellStyleXfs>
  <cellXfs count="58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4" fillId="0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6" fontId="9" fillId="0" borderId="3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76" fontId="9" fillId="0" borderId="3" xfId="0" applyNumberFormat="1" applyFont="1" applyFill="1" applyBorder="1" applyAlignment="1">
      <alignment horizontal="center" vertical="center" wrapText="1"/>
    </xf>
    <xf numFmtId="176" fontId="9" fillId="0" borderId="6" xfId="0" applyNumberFormat="1" applyFont="1" applyFill="1" applyBorder="1" applyAlignment="1">
      <alignment horizontal="center" vertical="center" wrapText="1"/>
    </xf>
    <xf numFmtId="176" fontId="9" fillId="0" borderId="7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9"/>
  <sheetViews>
    <sheetView tabSelected="1" view="pageBreakPreview" zoomScaleNormal="85" workbookViewId="0">
      <pane ySplit="6" topLeftCell="A9" activePane="bottomLeft" state="frozen"/>
      <selection pane="bottomLeft" activeCell="L3" sqref="L3:N3"/>
    </sheetView>
  </sheetViews>
  <sheetFormatPr defaultColWidth="9" defaultRowHeight="15" x14ac:dyDescent="0.3"/>
  <cols>
    <col min="1" max="1" width="5.5" customWidth="1"/>
    <col min="2" max="2" width="13.140625" customWidth="1"/>
    <col min="3" max="3" width="11.140625" customWidth="1"/>
    <col min="4" max="4" width="11.85546875" style="1" customWidth="1"/>
    <col min="5" max="5" width="11.85546875" customWidth="1"/>
    <col min="6" max="8" width="11.85546875" style="1" customWidth="1"/>
    <col min="9" max="9" width="11.85546875" customWidth="1"/>
    <col min="10" max="11" width="11.85546875" style="2" customWidth="1"/>
    <col min="12" max="15" width="11.85546875" customWidth="1"/>
  </cols>
  <sheetData>
    <row r="1" spans="1:15" ht="18" customHeight="1" x14ac:dyDescent="0.3">
      <c r="A1" s="23"/>
      <c r="B1" s="23"/>
    </row>
    <row r="2" spans="1:15" ht="28" customHeight="1" x14ac:dyDescent="0.3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23.05" customHeight="1" x14ac:dyDescent="0.3">
      <c r="A3" s="25" t="s">
        <v>1</v>
      </c>
      <c r="B3" s="25"/>
      <c r="C3" s="25"/>
      <c r="D3" s="25"/>
      <c r="E3" s="25"/>
      <c r="F3" s="25"/>
      <c r="G3" s="25"/>
      <c r="H3" s="13"/>
      <c r="I3" s="25"/>
      <c r="J3" s="25"/>
      <c r="K3" s="25"/>
      <c r="L3" s="25" t="s">
        <v>2</v>
      </c>
      <c r="M3" s="25"/>
      <c r="N3" s="25"/>
    </row>
    <row r="4" spans="1:15" ht="24" customHeight="1" x14ac:dyDescent="0.3">
      <c r="A4" s="43" t="s">
        <v>3</v>
      </c>
      <c r="B4" s="43" t="s">
        <v>4</v>
      </c>
      <c r="C4" s="26" t="s">
        <v>5</v>
      </c>
      <c r="D4" s="26" t="s">
        <v>6</v>
      </c>
      <c r="E4" s="26"/>
      <c r="F4" s="26"/>
      <c r="G4" s="26"/>
      <c r="H4" s="27" t="s">
        <v>7</v>
      </c>
      <c r="I4" s="28"/>
      <c r="J4" s="28"/>
      <c r="K4" s="28"/>
      <c r="L4" s="29" t="s">
        <v>8</v>
      </c>
      <c r="M4" s="29"/>
      <c r="N4" s="29"/>
      <c r="O4" s="29"/>
    </row>
    <row r="5" spans="1:15" ht="24" customHeight="1" x14ac:dyDescent="0.3">
      <c r="A5" s="43"/>
      <c r="B5" s="43"/>
      <c r="C5" s="43"/>
      <c r="D5" s="26" t="s">
        <v>9</v>
      </c>
      <c r="E5" s="26"/>
      <c r="F5" s="30" t="s">
        <v>10</v>
      </c>
      <c r="G5" s="31"/>
      <c r="H5" s="27" t="s">
        <v>11</v>
      </c>
      <c r="I5" s="32"/>
      <c r="J5" s="33" t="s">
        <v>10</v>
      </c>
      <c r="K5" s="30"/>
      <c r="L5" s="26" t="s">
        <v>12</v>
      </c>
      <c r="M5" s="26"/>
      <c r="N5" s="29" t="s">
        <v>10</v>
      </c>
      <c r="O5" s="29"/>
    </row>
    <row r="6" spans="1:15" ht="37" customHeight="1" x14ac:dyDescent="0.3">
      <c r="A6" s="43"/>
      <c r="B6" s="43"/>
      <c r="C6" s="43"/>
      <c r="D6" s="3" t="s">
        <v>13</v>
      </c>
      <c r="E6" s="14" t="s">
        <v>14</v>
      </c>
      <c r="F6" s="3" t="s">
        <v>13</v>
      </c>
      <c r="G6" s="14" t="s">
        <v>14</v>
      </c>
      <c r="H6" s="15" t="s">
        <v>13</v>
      </c>
      <c r="I6" s="15" t="s">
        <v>14</v>
      </c>
      <c r="J6" s="15" t="s">
        <v>13</v>
      </c>
      <c r="K6" s="15" t="s">
        <v>14</v>
      </c>
      <c r="L6" s="15" t="s">
        <v>13</v>
      </c>
      <c r="M6" s="15" t="s">
        <v>14</v>
      </c>
      <c r="N6" s="15" t="s">
        <v>13</v>
      </c>
      <c r="O6" s="15" t="s">
        <v>14</v>
      </c>
    </row>
    <row r="7" spans="1:15" ht="45" customHeight="1" x14ac:dyDescent="0.3">
      <c r="A7" s="4">
        <v>1</v>
      </c>
      <c r="B7" s="5" t="s">
        <v>15</v>
      </c>
      <c r="C7" s="5" t="s">
        <v>16</v>
      </c>
      <c r="D7" s="6">
        <v>5000</v>
      </c>
      <c r="E7" s="16">
        <v>45</v>
      </c>
      <c r="F7" s="6">
        <v>3089</v>
      </c>
      <c r="G7" s="16">
        <v>27.8</v>
      </c>
      <c r="H7" s="5">
        <v>15851</v>
      </c>
      <c r="I7" s="5">
        <v>158.5</v>
      </c>
      <c r="J7" s="5">
        <v>15351</v>
      </c>
      <c r="K7" s="18">
        <v>153.5</v>
      </c>
      <c r="L7" s="4">
        <f t="shared" ref="L7:M10" si="0">D7+H7</f>
        <v>20851</v>
      </c>
      <c r="M7" s="4">
        <f t="shared" si="0"/>
        <v>203.5</v>
      </c>
      <c r="N7" s="4">
        <f t="shared" ref="N7:N14" si="1">F7+J7</f>
        <v>18440</v>
      </c>
      <c r="O7" s="4">
        <f t="shared" ref="O7:O14" si="2">G7+K7</f>
        <v>181.3</v>
      </c>
    </row>
    <row r="8" spans="1:15" ht="45" customHeight="1" x14ac:dyDescent="0.3">
      <c r="A8" s="7">
        <v>2</v>
      </c>
      <c r="B8" s="8" t="s">
        <v>17</v>
      </c>
      <c r="C8" s="5" t="s">
        <v>16</v>
      </c>
      <c r="D8" s="6">
        <v>10000</v>
      </c>
      <c r="E8" s="6">
        <v>90</v>
      </c>
      <c r="F8" s="6">
        <v>6171</v>
      </c>
      <c r="G8" s="16">
        <v>55.5</v>
      </c>
      <c r="H8" s="5">
        <v>8600</v>
      </c>
      <c r="I8" s="5">
        <v>86</v>
      </c>
      <c r="J8" s="5">
        <v>8600</v>
      </c>
      <c r="K8" s="18">
        <v>86</v>
      </c>
      <c r="L8" s="4">
        <f t="shared" si="0"/>
        <v>18600</v>
      </c>
      <c r="M8" s="4">
        <f t="shared" si="0"/>
        <v>176</v>
      </c>
      <c r="N8" s="4">
        <f t="shared" si="1"/>
        <v>14771</v>
      </c>
      <c r="O8" s="4">
        <f t="shared" si="2"/>
        <v>141.5</v>
      </c>
    </row>
    <row r="9" spans="1:15" ht="45" customHeight="1" x14ac:dyDescent="0.3">
      <c r="A9" s="7">
        <v>3</v>
      </c>
      <c r="B9" s="9" t="s">
        <v>18</v>
      </c>
      <c r="C9" s="5" t="s">
        <v>16</v>
      </c>
      <c r="D9" s="6">
        <v>15000</v>
      </c>
      <c r="E9" s="16">
        <v>135</v>
      </c>
      <c r="F9" s="6">
        <v>0</v>
      </c>
      <c r="G9" s="16"/>
      <c r="H9" s="9">
        <v>9900</v>
      </c>
      <c r="I9" s="19">
        <v>79.2</v>
      </c>
      <c r="J9" s="9">
        <v>9900</v>
      </c>
      <c r="K9" s="19">
        <v>79.2</v>
      </c>
      <c r="L9" s="4">
        <f t="shared" si="0"/>
        <v>24900</v>
      </c>
      <c r="M9" s="4">
        <f t="shared" si="0"/>
        <v>214.2</v>
      </c>
      <c r="N9" s="4">
        <f t="shared" si="1"/>
        <v>9900</v>
      </c>
      <c r="O9" s="4">
        <f t="shared" si="2"/>
        <v>79.2</v>
      </c>
    </row>
    <row r="10" spans="1:15" ht="45" customHeight="1" x14ac:dyDescent="0.3">
      <c r="A10" s="4">
        <v>4</v>
      </c>
      <c r="B10" s="5" t="s">
        <v>19</v>
      </c>
      <c r="C10" s="5" t="s">
        <v>16</v>
      </c>
      <c r="D10" s="6">
        <v>5000</v>
      </c>
      <c r="E10" s="16">
        <v>45</v>
      </c>
      <c r="F10" s="6">
        <v>3000</v>
      </c>
      <c r="G10" s="16">
        <v>30</v>
      </c>
      <c r="H10" s="5">
        <v>13000</v>
      </c>
      <c r="I10" s="5">
        <v>130</v>
      </c>
      <c r="J10" s="5">
        <v>15000</v>
      </c>
      <c r="K10" s="18">
        <v>150</v>
      </c>
      <c r="L10" s="4">
        <f t="shared" si="0"/>
        <v>18000</v>
      </c>
      <c r="M10" s="4">
        <f t="shared" si="0"/>
        <v>175</v>
      </c>
      <c r="N10" s="4">
        <f t="shared" si="1"/>
        <v>18000</v>
      </c>
      <c r="O10" s="4">
        <f t="shared" si="2"/>
        <v>180</v>
      </c>
    </row>
    <row r="11" spans="1:15" ht="45" customHeight="1" x14ac:dyDescent="0.3">
      <c r="A11" s="4">
        <v>5</v>
      </c>
      <c r="B11" s="5" t="s">
        <v>20</v>
      </c>
      <c r="C11" s="5" t="s">
        <v>16</v>
      </c>
      <c r="D11" s="6">
        <v>30000</v>
      </c>
      <c r="E11" s="6">
        <v>270</v>
      </c>
      <c r="F11" s="6">
        <v>4427</v>
      </c>
      <c r="G11" s="6">
        <v>23</v>
      </c>
      <c r="H11" s="5">
        <v>0</v>
      </c>
      <c r="I11" s="5"/>
      <c r="J11" s="5">
        <v>0</v>
      </c>
      <c r="K11" s="18"/>
      <c r="L11" s="4">
        <f>D11</f>
        <v>30000</v>
      </c>
      <c r="M11" s="4">
        <f>E11</f>
        <v>270</v>
      </c>
      <c r="N11" s="4">
        <f t="shared" si="1"/>
        <v>4427</v>
      </c>
      <c r="O11" s="4">
        <f t="shared" si="2"/>
        <v>23</v>
      </c>
    </row>
    <row r="12" spans="1:15" ht="45" customHeight="1" x14ac:dyDescent="0.3">
      <c r="A12" s="4">
        <v>6</v>
      </c>
      <c r="B12" s="5" t="s">
        <v>21</v>
      </c>
      <c r="C12" s="5" t="s">
        <v>16</v>
      </c>
      <c r="D12" s="6">
        <v>0</v>
      </c>
      <c r="E12" s="16"/>
      <c r="F12" s="6">
        <v>0</v>
      </c>
      <c r="G12" s="16"/>
      <c r="H12" s="5">
        <v>0</v>
      </c>
      <c r="I12" s="18"/>
      <c r="J12" s="5">
        <v>0</v>
      </c>
      <c r="K12" s="18"/>
      <c r="L12" s="4">
        <f t="shared" ref="L12:M14" si="3">D12+H12</f>
        <v>0</v>
      </c>
      <c r="M12" s="4">
        <f t="shared" si="3"/>
        <v>0</v>
      </c>
      <c r="N12" s="4">
        <f t="shared" si="1"/>
        <v>0</v>
      </c>
      <c r="O12" s="4">
        <f t="shared" si="2"/>
        <v>0</v>
      </c>
    </row>
    <row r="13" spans="1:15" ht="45" customHeight="1" x14ac:dyDescent="0.3">
      <c r="A13" s="4">
        <v>7</v>
      </c>
      <c r="B13" s="5" t="s">
        <v>22</v>
      </c>
      <c r="C13" s="5" t="s">
        <v>16</v>
      </c>
      <c r="D13" s="6">
        <v>0</v>
      </c>
      <c r="E13" s="16"/>
      <c r="F13" s="6">
        <v>0</v>
      </c>
      <c r="G13" s="16"/>
      <c r="H13" s="5">
        <v>0</v>
      </c>
      <c r="I13" s="5"/>
      <c r="J13" s="5">
        <v>0</v>
      </c>
      <c r="K13" s="18"/>
      <c r="L13" s="4">
        <f t="shared" si="3"/>
        <v>0</v>
      </c>
      <c r="M13" s="4">
        <f t="shared" si="3"/>
        <v>0</v>
      </c>
      <c r="N13" s="4">
        <f t="shared" si="1"/>
        <v>0</v>
      </c>
      <c r="O13" s="4">
        <f t="shared" si="2"/>
        <v>0</v>
      </c>
    </row>
    <row r="14" spans="1:15" ht="45" customHeight="1" x14ac:dyDescent="0.3">
      <c r="A14" s="4">
        <v>8</v>
      </c>
      <c r="B14" s="5" t="s">
        <v>23</v>
      </c>
      <c r="C14" s="5" t="s">
        <v>16</v>
      </c>
      <c r="D14" s="6">
        <v>5000</v>
      </c>
      <c r="E14" s="6">
        <v>45</v>
      </c>
      <c r="F14" s="6">
        <v>2936</v>
      </c>
      <c r="G14" s="6">
        <v>39</v>
      </c>
      <c r="H14" s="5">
        <v>5250</v>
      </c>
      <c r="I14" s="5">
        <v>73.5</v>
      </c>
      <c r="J14" s="5">
        <v>5250</v>
      </c>
      <c r="K14" s="5">
        <v>73.5</v>
      </c>
      <c r="L14" s="4">
        <f t="shared" si="3"/>
        <v>10250</v>
      </c>
      <c r="M14" s="4">
        <f t="shared" si="3"/>
        <v>118.5</v>
      </c>
      <c r="N14" s="4">
        <f t="shared" si="1"/>
        <v>8186</v>
      </c>
      <c r="O14" s="4">
        <f t="shared" si="2"/>
        <v>112.5</v>
      </c>
    </row>
    <row r="15" spans="1:15" ht="45" customHeight="1" x14ac:dyDescent="0.3">
      <c r="A15" s="34" t="s">
        <v>24</v>
      </c>
      <c r="B15" s="35"/>
      <c r="C15" s="36"/>
      <c r="D15" s="10">
        <f>SUM(D7:D14)</f>
        <v>70000</v>
      </c>
      <c r="E15" s="10">
        <f t="shared" ref="E15:O15" si="4">SUM(E7:E14)</f>
        <v>630</v>
      </c>
      <c r="F15" s="10">
        <f t="shared" si="4"/>
        <v>19623</v>
      </c>
      <c r="G15" s="10">
        <f t="shared" si="4"/>
        <v>175.3</v>
      </c>
      <c r="H15" s="10">
        <f t="shared" si="4"/>
        <v>52601</v>
      </c>
      <c r="I15" s="10">
        <f t="shared" si="4"/>
        <v>527.20000000000005</v>
      </c>
      <c r="J15" s="10">
        <f t="shared" si="4"/>
        <v>54101</v>
      </c>
      <c r="K15" s="10">
        <f t="shared" si="4"/>
        <v>542.20000000000005</v>
      </c>
      <c r="L15" s="10">
        <f t="shared" si="4"/>
        <v>122601</v>
      </c>
      <c r="M15" s="10">
        <f t="shared" si="4"/>
        <v>1157.2</v>
      </c>
      <c r="N15" s="10">
        <f t="shared" si="4"/>
        <v>73724</v>
      </c>
      <c r="O15" s="10">
        <f t="shared" si="4"/>
        <v>717.5</v>
      </c>
    </row>
    <row r="16" spans="1:15" ht="45" customHeight="1" x14ac:dyDescent="0.3">
      <c r="A16" s="44">
        <v>9</v>
      </c>
      <c r="B16" s="47" t="s">
        <v>20</v>
      </c>
      <c r="C16" s="5" t="s">
        <v>25</v>
      </c>
      <c r="D16" s="6">
        <v>28230</v>
      </c>
      <c r="E16" s="16">
        <v>169</v>
      </c>
      <c r="F16" s="6">
        <v>22130</v>
      </c>
      <c r="G16" s="16">
        <v>132.80000000000001</v>
      </c>
      <c r="H16" s="6">
        <v>0</v>
      </c>
      <c r="I16" s="18"/>
      <c r="J16" s="5">
        <v>0</v>
      </c>
      <c r="K16" s="18"/>
      <c r="L16" s="4">
        <f t="shared" ref="L16:O19" si="5">D16+H16</f>
        <v>28230</v>
      </c>
      <c r="M16" s="4">
        <f t="shared" si="5"/>
        <v>169</v>
      </c>
      <c r="N16" s="4">
        <f t="shared" si="5"/>
        <v>22130</v>
      </c>
      <c r="O16" s="4">
        <f t="shared" si="5"/>
        <v>132.80000000000001</v>
      </c>
    </row>
    <row r="17" spans="1:15" ht="45" customHeight="1" x14ac:dyDescent="0.3">
      <c r="A17" s="45"/>
      <c r="B17" s="48"/>
      <c r="C17" s="5" t="s">
        <v>26</v>
      </c>
      <c r="D17" s="6">
        <v>0</v>
      </c>
      <c r="E17" s="16"/>
      <c r="F17" s="6">
        <v>0</v>
      </c>
      <c r="G17" s="16"/>
      <c r="H17" s="6">
        <v>0</v>
      </c>
      <c r="I17" s="18"/>
      <c r="J17" s="5">
        <v>0</v>
      </c>
      <c r="K17" s="18"/>
      <c r="L17" s="4">
        <f t="shared" si="5"/>
        <v>0</v>
      </c>
      <c r="M17" s="4">
        <f t="shared" si="5"/>
        <v>0</v>
      </c>
      <c r="N17" s="4">
        <f t="shared" si="5"/>
        <v>0</v>
      </c>
      <c r="O17" s="4">
        <f t="shared" si="5"/>
        <v>0</v>
      </c>
    </row>
    <row r="18" spans="1:15" ht="45" customHeight="1" x14ac:dyDescent="0.3">
      <c r="A18" s="4">
        <v>10</v>
      </c>
      <c r="B18" s="5" t="s">
        <v>21</v>
      </c>
      <c r="C18" s="5" t="s">
        <v>27</v>
      </c>
      <c r="D18" s="11">
        <v>0</v>
      </c>
      <c r="E18" s="4"/>
      <c r="F18" s="11">
        <v>0</v>
      </c>
      <c r="G18" s="11"/>
      <c r="H18" s="17">
        <v>0</v>
      </c>
      <c r="I18" s="20"/>
      <c r="J18" s="4">
        <v>1651</v>
      </c>
      <c r="K18" s="21">
        <v>19.5</v>
      </c>
      <c r="L18" s="4">
        <f t="shared" si="5"/>
        <v>0</v>
      </c>
      <c r="M18" s="4">
        <f t="shared" si="5"/>
        <v>0</v>
      </c>
      <c r="N18" s="4">
        <f t="shared" si="5"/>
        <v>1651</v>
      </c>
      <c r="O18" s="4">
        <f t="shared" si="5"/>
        <v>19.5</v>
      </c>
    </row>
    <row r="19" spans="1:15" ht="45" customHeight="1" x14ac:dyDescent="0.3">
      <c r="A19" s="4">
        <v>11</v>
      </c>
      <c r="B19" s="5" t="s">
        <v>28</v>
      </c>
      <c r="C19" s="5" t="s">
        <v>27</v>
      </c>
      <c r="D19" s="6">
        <v>0</v>
      </c>
      <c r="E19" s="16"/>
      <c r="F19" s="6">
        <v>0</v>
      </c>
      <c r="G19" s="16"/>
      <c r="H19" s="5">
        <v>0</v>
      </c>
      <c r="I19" s="18"/>
      <c r="J19" s="6">
        <v>291</v>
      </c>
      <c r="K19" s="22">
        <v>2.2999999999999998</v>
      </c>
      <c r="L19" s="4">
        <f t="shared" si="5"/>
        <v>0</v>
      </c>
      <c r="M19" s="4">
        <f t="shared" si="5"/>
        <v>0</v>
      </c>
      <c r="N19" s="4">
        <f t="shared" si="5"/>
        <v>291</v>
      </c>
      <c r="O19" s="4">
        <f t="shared" si="5"/>
        <v>2.2999999999999998</v>
      </c>
    </row>
    <row r="20" spans="1:15" ht="45" customHeight="1" x14ac:dyDescent="0.3">
      <c r="A20" s="44">
        <v>12</v>
      </c>
      <c r="B20" s="49" t="s">
        <v>23</v>
      </c>
      <c r="C20" s="5" t="s">
        <v>29</v>
      </c>
      <c r="D20" s="6">
        <v>4745</v>
      </c>
      <c r="E20" s="16">
        <v>60</v>
      </c>
      <c r="F20" s="6">
        <v>4745</v>
      </c>
      <c r="G20" s="16">
        <v>60</v>
      </c>
      <c r="H20" s="47">
        <v>0</v>
      </c>
      <c r="I20" s="53"/>
      <c r="J20" s="47">
        <v>0</v>
      </c>
      <c r="K20" s="53"/>
      <c r="L20" s="44">
        <f>D20+D22+H20</f>
        <v>7840</v>
      </c>
      <c r="M20" s="44">
        <f>E20+E22+I20</f>
        <v>100.2</v>
      </c>
      <c r="N20" s="44">
        <f>F20+F22+J20</f>
        <v>7840</v>
      </c>
      <c r="O20" s="44">
        <f>G20+G22+K20</f>
        <v>100.2</v>
      </c>
    </row>
    <row r="21" spans="1:15" ht="45" customHeight="1" x14ac:dyDescent="0.3">
      <c r="A21" s="45"/>
      <c r="B21" s="49"/>
      <c r="C21" s="5" t="s">
        <v>30</v>
      </c>
      <c r="D21" s="6">
        <v>0</v>
      </c>
      <c r="E21" s="16"/>
      <c r="F21" s="6">
        <v>0</v>
      </c>
      <c r="G21" s="16"/>
      <c r="H21" s="48"/>
      <c r="I21" s="54"/>
      <c r="J21" s="48"/>
      <c r="K21" s="54"/>
      <c r="L21" s="45"/>
      <c r="M21" s="45"/>
      <c r="N21" s="45"/>
      <c r="O21" s="45"/>
    </row>
    <row r="22" spans="1:15" ht="45" customHeight="1" x14ac:dyDescent="0.3">
      <c r="A22" s="46"/>
      <c r="B22" s="49"/>
      <c r="C22" s="5" t="s">
        <v>31</v>
      </c>
      <c r="D22" s="6">
        <v>3095</v>
      </c>
      <c r="E22" s="16">
        <v>40.200000000000003</v>
      </c>
      <c r="F22" s="6">
        <v>3095</v>
      </c>
      <c r="G22" s="16">
        <v>40.200000000000003</v>
      </c>
      <c r="H22" s="50"/>
      <c r="I22" s="55"/>
      <c r="J22" s="50"/>
      <c r="K22" s="55"/>
      <c r="L22" s="46"/>
      <c r="M22" s="46"/>
      <c r="N22" s="46"/>
      <c r="O22" s="46"/>
    </row>
    <row r="23" spans="1:15" ht="45" customHeight="1" x14ac:dyDescent="0.3">
      <c r="A23" s="4">
        <v>13</v>
      </c>
      <c r="B23" s="5" t="s">
        <v>32</v>
      </c>
      <c r="C23" s="5" t="s">
        <v>33</v>
      </c>
      <c r="D23" s="6">
        <v>0</v>
      </c>
      <c r="E23" s="16"/>
      <c r="F23" s="6">
        <v>0</v>
      </c>
      <c r="G23" s="16"/>
      <c r="H23" s="5">
        <v>5094</v>
      </c>
      <c r="I23" s="18">
        <v>50</v>
      </c>
      <c r="J23" s="5">
        <v>5094</v>
      </c>
      <c r="K23" s="18">
        <v>50</v>
      </c>
      <c r="L23" s="4">
        <f t="shared" ref="L23:O24" si="6">D23+H23</f>
        <v>5094</v>
      </c>
      <c r="M23" s="4">
        <f t="shared" si="6"/>
        <v>50</v>
      </c>
      <c r="N23" s="4">
        <f t="shared" si="6"/>
        <v>5094</v>
      </c>
      <c r="O23" s="4">
        <f t="shared" si="6"/>
        <v>50</v>
      </c>
    </row>
    <row r="24" spans="1:15" ht="45" customHeight="1" x14ac:dyDescent="0.3">
      <c r="A24" s="4">
        <v>14</v>
      </c>
      <c r="B24" s="5" t="s">
        <v>34</v>
      </c>
      <c r="C24" s="5" t="s">
        <v>33</v>
      </c>
      <c r="D24" s="6">
        <v>0</v>
      </c>
      <c r="E24" s="16"/>
      <c r="F24" s="6">
        <v>0</v>
      </c>
      <c r="G24" s="16"/>
      <c r="H24" s="5">
        <v>0</v>
      </c>
      <c r="I24" s="5"/>
      <c r="J24" s="5">
        <v>0</v>
      </c>
      <c r="K24" s="18"/>
      <c r="L24" s="4">
        <f t="shared" si="6"/>
        <v>0</v>
      </c>
      <c r="M24" s="4">
        <f t="shared" si="6"/>
        <v>0</v>
      </c>
      <c r="N24" s="4">
        <f t="shared" si="6"/>
        <v>0</v>
      </c>
      <c r="O24" s="4">
        <f t="shared" si="6"/>
        <v>0</v>
      </c>
    </row>
    <row r="25" spans="1:15" ht="45" customHeight="1" x14ac:dyDescent="0.3">
      <c r="A25" s="44">
        <v>15</v>
      </c>
      <c r="B25" s="47" t="s">
        <v>22</v>
      </c>
      <c r="C25" s="5" t="s">
        <v>35</v>
      </c>
      <c r="D25" s="11">
        <v>0</v>
      </c>
      <c r="E25" s="4"/>
      <c r="F25" s="11">
        <v>0</v>
      </c>
      <c r="G25" s="11"/>
      <c r="H25" s="51">
        <v>3603</v>
      </c>
      <c r="I25" s="47">
        <v>100</v>
      </c>
      <c r="J25" s="44">
        <v>3603</v>
      </c>
      <c r="K25" s="56">
        <v>100</v>
      </c>
      <c r="L25" s="44">
        <f>D25+D26+H25</f>
        <v>3603</v>
      </c>
      <c r="M25" s="44">
        <f>E25+E26+I25</f>
        <v>100</v>
      </c>
      <c r="N25" s="44">
        <f>F25+F26+J25</f>
        <v>3603</v>
      </c>
      <c r="O25" s="44">
        <f>G25+G26+K25</f>
        <v>100</v>
      </c>
    </row>
    <row r="26" spans="1:15" ht="45" customHeight="1" x14ac:dyDescent="0.3">
      <c r="A26" s="45"/>
      <c r="B26" s="48"/>
      <c r="C26" s="5" t="s">
        <v>36</v>
      </c>
      <c r="D26" s="11">
        <v>0</v>
      </c>
      <c r="E26" s="4"/>
      <c r="F26" s="11">
        <v>0</v>
      </c>
      <c r="G26" s="11"/>
      <c r="H26" s="52"/>
      <c r="I26" s="48"/>
      <c r="J26" s="45"/>
      <c r="K26" s="57"/>
      <c r="L26" s="45"/>
      <c r="M26" s="45"/>
      <c r="N26" s="45"/>
      <c r="O26" s="45"/>
    </row>
    <row r="27" spans="1:15" ht="45" customHeight="1" x14ac:dyDescent="0.3">
      <c r="A27" s="4">
        <v>16</v>
      </c>
      <c r="B27" s="6" t="s">
        <v>37</v>
      </c>
      <c r="C27" s="5" t="s">
        <v>36</v>
      </c>
      <c r="D27" s="11">
        <v>0</v>
      </c>
      <c r="E27" s="4"/>
      <c r="F27" s="11">
        <v>0</v>
      </c>
      <c r="G27" s="11"/>
      <c r="H27" s="11">
        <v>0</v>
      </c>
      <c r="I27" s="4"/>
      <c r="J27" s="4">
        <v>0</v>
      </c>
      <c r="K27" s="21"/>
      <c r="L27" s="4">
        <f>D27+H27</f>
        <v>0</v>
      </c>
      <c r="M27" s="4">
        <f>E27+I27</f>
        <v>0</v>
      </c>
      <c r="N27" s="4">
        <f>F27+J27</f>
        <v>0</v>
      </c>
      <c r="O27" s="4">
        <f>G27+K27</f>
        <v>0</v>
      </c>
    </row>
    <row r="28" spans="1:15" ht="45" customHeight="1" x14ac:dyDescent="0.3">
      <c r="A28" s="37" t="s">
        <v>38</v>
      </c>
      <c r="B28" s="38"/>
      <c r="C28" s="39"/>
      <c r="D28" s="12">
        <f>SUM(D16:D27)</f>
        <v>36070</v>
      </c>
      <c r="E28" s="12">
        <f t="shared" ref="E28:O28" si="7">SUM(E16:E27)</f>
        <v>269.2</v>
      </c>
      <c r="F28" s="12">
        <f t="shared" si="7"/>
        <v>29970</v>
      </c>
      <c r="G28" s="12">
        <f t="shared" si="7"/>
        <v>233</v>
      </c>
      <c r="H28" s="12">
        <f t="shared" si="7"/>
        <v>8697</v>
      </c>
      <c r="I28" s="12">
        <f t="shared" si="7"/>
        <v>150</v>
      </c>
      <c r="J28" s="12">
        <f t="shared" si="7"/>
        <v>10639</v>
      </c>
      <c r="K28" s="12">
        <f t="shared" si="7"/>
        <v>171.8</v>
      </c>
      <c r="L28" s="12">
        <f t="shared" si="7"/>
        <v>44767</v>
      </c>
      <c r="M28" s="12">
        <f t="shared" si="7"/>
        <v>419.2</v>
      </c>
      <c r="N28" s="12">
        <f t="shared" si="7"/>
        <v>40609</v>
      </c>
      <c r="O28" s="12">
        <f t="shared" si="7"/>
        <v>404.8</v>
      </c>
    </row>
    <row r="29" spans="1:15" ht="45" customHeight="1" x14ac:dyDescent="0.3">
      <c r="A29" s="40" t="s">
        <v>8</v>
      </c>
      <c r="B29" s="41"/>
      <c r="C29" s="42"/>
      <c r="D29" s="12">
        <f>D15+D28</f>
        <v>106070</v>
      </c>
      <c r="E29" s="12">
        <f t="shared" ref="E29:O29" si="8">E15+E28</f>
        <v>899.2</v>
      </c>
      <c r="F29" s="12">
        <f t="shared" si="8"/>
        <v>49593</v>
      </c>
      <c r="G29" s="12">
        <f t="shared" si="8"/>
        <v>408.3</v>
      </c>
      <c r="H29" s="12">
        <f t="shared" si="8"/>
        <v>61298</v>
      </c>
      <c r="I29" s="12">
        <f t="shared" si="8"/>
        <v>677.2</v>
      </c>
      <c r="J29" s="12">
        <f t="shared" si="8"/>
        <v>64740</v>
      </c>
      <c r="K29" s="12">
        <f t="shared" si="8"/>
        <v>714</v>
      </c>
      <c r="L29" s="12">
        <f t="shared" si="8"/>
        <v>167368</v>
      </c>
      <c r="M29" s="12">
        <f t="shared" si="8"/>
        <v>1576.4</v>
      </c>
      <c r="N29" s="12">
        <f t="shared" si="8"/>
        <v>114333</v>
      </c>
      <c r="O29" s="12">
        <f t="shared" si="8"/>
        <v>1122.3</v>
      </c>
    </row>
  </sheetData>
  <mergeCells count="43">
    <mergeCell ref="M20:M22"/>
    <mergeCell ref="M25:M26"/>
    <mergeCell ref="N20:N22"/>
    <mergeCell ref="N25:N26"/>
    <mergeCell ref="O20:O22"/>
    <mergeCell ref="O25:O26"/>
    <mergeCell ref="J20:J22"/>
    <mergeCell ref="J25:J26"/>
    <mergeCell ref="K20:K22"/>
    <mergeCell ref="K25:K26"/>
    <mergeCell ref="L20:L22"/>
    <mergeCell ref="L25:L26"/>
    <mergeCell ref="B25:B26"/>
    <mergeCell ref="C4:C6"/>
    <mergeCell ref="H20:H22"/>
    <mergeCell ref="H25:H26"/>
    <mergeCell ref="I20:I22"/>
    <mergeCell ref="I25:I26"/>
    <mergeCell ref="A15:C15"/>
    <mergeCell ref="A28:C28"/>
    <mergeCell ref="A29:C29"/>
    <mergeCell ref="A4:A6"/>
    <mergeCell ref="A16:A17"/>
    <mergeCell ref="A20:A22"/>
    <mergeCell ref="A25:A26"/>
    <mergeCell ref="B4:B6"/>
    <mergeCell ref="B16:B17"/>
    <mergeCell ref="B20:B22"/>
    <mergeCell ref="D4:G4"/>
    <mergeCell ref="H4:K4"/>
    <mergeCell ref="L4:O4"/>
    <mergeCell ref="D5:E5"/>
    <mergeCell ref="F5:G5"/>
    <mergeCell ref="H5:I5"/>
    <mergeCell ref="J5:K5"/>
    <mergeCell ref="L5:M5"/>
    <mergeCell ref="N5:O5"/>
    <mergeCell ref="A1:B1"/>
    <mergeCell ref="A2:O2"/>
    <mergeCell ref="A3:D3"/>
    <mergeCell ref="E3:G3"/>
    <mergeCell ref="I3:K3"/>
    <mergeCell ref="L3:N3"/>
  </mergeCells>
  <phoneticPr fontId="12" type="noConversion"/>
  <printOptions horizontalCentered="1"/>
  <pageMargins left="0.2361111111111111" right="0.19652777777777777" top="0.39305555555555555" bottom="0.2361111111111111" header="0.11805555555555555" footer="3.888888888888889E-2"/>
  <pageSetup paperSize="9" scale="78" fitToHeight="0" orientation="landscape" r:id="rId1"/>
  <headerFooter alignWithMargins="0"/>
  <rowBreaks count="2" manualBreakCount="2">
    <brk id="19" max="14" man="1"/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蔬菜包情况表</vt:lpstr>
      <vt:lpstr>蔬菜包情况表!Print_Area</vt:lpstr>
      <vt:lpstr>蔬菜包情况表!Print_Titles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1996-12-30T09:32:42Z</dcterms:created>
  <dcterms:modified xsi:type="dcterms:W3CDTF">2025-03-30T13:26:31Z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