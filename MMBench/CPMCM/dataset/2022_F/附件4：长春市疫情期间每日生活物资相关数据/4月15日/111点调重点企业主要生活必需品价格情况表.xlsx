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5日\"/>
    </mc:Choice>
  </mc:AlternateContent>
  <xr:revisionPtr revIDLastSave="0" documentId="8_{EAAFDFFC-282C-44D6-AED8-1D973F7E7468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42" i="1" l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</calcChain>
</file>

<file path=xl/sharedStrings.xml><?xml version="1.0" encoding="utf-8"?>
<sst xmlns="http://schemas.openxmlformats.org/spreadsheetml/2006/main" count="60" uniqueCount="43">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</sst>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4891917859"/>
          <c:y val="1.45296819515207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055432652803237E-2"/>
          <c:y val="0.1071534847270019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工作表1!$B$2:$B$41</c:f>
              <c:numCache>
                <c:formatCode>0.00_ </c:formatCode>
                <c:ptCount val="40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  <c:pt idx="34">
                  <c:v>4.9000000000000004</c:v>
                </c:pt>
                <c:pt idx="35">
                  <c:v>5.96</c:v>
                </c:pt>
                <c:pt idx="36">
                  <c:v>5.76</c:v>
                </c:pt>
                <c:pt idx="37">
                  <c:v>6.6</c:v>
                </c:pt>
                <c:pt idx="38">
                  <c:v>6.76</c:v>
                </c:pt>
                <c:pt idx="39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7-47B9-8057-4DBFAB75FA63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工作表1!$C$2:$C$41</c:f>
              <c:numCache>
                <c:formatCode>0.00_ </c:formatCode>
                <c:ptCount val="4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  <c:pt idx="34">
                  <c:v>2.4</c:v>
                </c:pt>
                <c:pt idx="35">
                  <c:v>2.4</c:v>
                </c:pt>
                <c:pt idx="36">
                  <c:v>3.05</c:v>
                </c:pt>
                <c:pt idx="37">
                  <c:v>3.06</c:v>
                </c:pt>
                <c:pt idx="38">
                  <c:v>2.4</c:v>
                </c:pt>
                <c:pt idx="39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7-47B9-8057-4DBFAB75FA63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工作表1!$D$2:$D$41</c:f>
              <c:numCache>
                <c:formatCode>0.00_ 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  <c:pt idx="34">
                  <c:v>6.56</c:v>
                </c:pt>
                <c:pt idx="35">
                  <c:v>6.56</c:v>
                </c:pt>
                <c:pt idx="36">
                  <c:v>5.98</c:v>
                </c:pt>
                <c:pt idx="37">
                  <c:v>3.16</c:v>
                </c:pt>
                <c:pt idx="38">
                  <c:v>3.16</c:v>
                </c:pt>
                <c:pt idx="39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7-47B9-8057-4DBFAB75FA63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工作表1!$E$2:$E$41</c:f>
              <c:numCache>
                <c:formatCode>0.00_ 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5.76</c:v>
                </c:pt>
                <c:pt idx="39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07-47B9-8057-4DBFAB75FA63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工作表1!$F$2:$F$41</c:f>
              <c:numCache>
                <c:formatCode>0.00_ </c:formatCode>
                <c:ptCount val="40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  <c:pt idx="34">
                  <c:v>10.7</c:v>
                </c:pt>
                <c:pt idx="35">
                  <c:v>10.76</c:v>
                </c:pt>
                <c:pt idx="36">
                  <c:v>9.9600000000000009</c:v>
                </c:pt>
                <c:pt idx="37">
                  <c:v>10.199999999999999</c:v>
                </c:pt>
                <c:pt idx="38">
                  <c:v>10.56</c:v>
                </c:pt>
                <c:pt idx="39">
                  <c:v>11.36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07-47B9-8057-4DBFAB75FA63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工作表1!$G$2:$G$41</c:f>
              <c:numCache>
                <c:formatCode>0.00_ </c:formatCode>
                <c:ptCount val="40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  <c:pt idx="34">
                  <c:v>7.96</c:v>
                </c:pt>
                <c:pt idx="35">
                  <c:v>7.96</c:v>
                </c:pt>
                <c:pt idx="36">
                  <c:v>7.96</c:v>
                </c:pt>
                <c:pt idx="37">
                  <c:v>6.56</c:v>
                </c:pt>
                <c:pt idx="38">
                  <c:v>9.16</c:v>
                </c:pt>
                <c:pt idx="39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07-47B9-8057-4DBFAB75FA63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工作表1!$H$2:$H$41</c:f>
              <c:numCache>
                <c:formatCode>0.00_ </c:formatCode>
                <c:ptCount val="40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  <c:pt idx="34">
                  <c:v>13</c:v>
                </c:pt>
                <c:pt idx="35">
                  <c:v>13</c:v>
                </c:pt>
                <c:pt idx="36">
                  <c:v>8.76</c:v>
                </c:pt>
                <c:pt idx="37">
                  <c:v>9.5</c:v>
                </c:pt>
                <c:pt idx="38">
                  <c:v>9.56</c:v>
                </c:pt>
                <c:pt idx="39">
                  <c:v>13.36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07-47B9-8057-4DBFAB75FA63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工作表1!$A$2:$A$41</c:f>
              <c:strCache>
                <c:ptCount val="4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</c:strCache>
            </c:strRef>
          </c:cat>
          <c:val>
            <c:numRef>
              <c:f>工作表1!$I$2:$I$41</c:f>
              <c:numCache>
                <c:formatCode>0.00_ </c:formatCode>
                <c:ptCount val="40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  <c:pt idx="34">
                  <c:v>10.52</c:v>
                </c:pt>
                <c:pt idx="35">
                  <c:v>10.52</c:v>
                </c:pt>
                <c:pt idx="36">
                  <c:v>10.52</c:v>
                </c:pt>
                <c:pt idx="37">
                  <c:v>10.52</c:v>
                </c:pt>
                <c:pt idx="38">
                  <c:v>9.92</c:v>
                </c:pt>
                <c:pt idx="39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07-47B9-8057-4DBFAB75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027167"/>
        <c:axId val="1"/>
      </c:lineChart>
      <c:catAx>
        <c:axId val="669027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6690271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368005799253947"/>
          <c:y val="0.93113727275225433"/>
          <c:w val="0.69532963568241235"/>
          <c:h val="4.090545244460770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397329</xdr:colOff>
      <xdr:row>33</xdr:row>
      <xdr:rowOff>288471</xdr:rowOff>
    </xdr:from>
    <xdr:to>
      <xdr:col>23</xdr:col>
      <xdr:colOff>413657</xdr:colOff>
      <xdr:row>52</xdr:row>
      <xdr:rowOff>119743</xdr:rowOff>
    </xdr:to>
    <xdr:graphicFrame macro="">
      <xdr:nvGraphicFramePr>
        <xdr:cNvPr id="1116" name="图表 2">
          <a:extLst>
            <a:ext uri="{FF2B5EF4-FFF2-40B4-BE49-F238E27FC236}">
              <a16:creationId xmlns:a16="http://schemas.microsoft.com/office/drawing/2014/main" id="{F9EC811B-63D4-4768-81C2-B79462296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tabSelected="1" topLeftCell="A34" workbookViewId="0">
      <selection activeCell="A42" sqref="A42:IV42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A36" s="6" t="s">
        <v>13</v>
      </c>
      <c r="B36" s="8">
        <v>4.9000000000000004</v>
      </c>
      <c r="C36" s="8">
        <v>2.4</v>
      </c>
      <c r="D36" s="8">
        <v>6.56</v>
      </c>
      <c r="E36" s="8">
        <v>5.8</v>
      </c>
      <c r="F36" s="8">
        <v>10.7</v>
      </c>
      <c r="G36" s="8">
        <v>7.96</v>
      </c>
      <c r="H36" s="8">
        <v>13</v>
      </c>
      <c r="I36" s="8">
        <v>10.52</v>
      </c>
      <c r="J36" s="8"/>
    </row>
    <row r="37" spans="1:10" ht="27.75" customHeight="1">
      <c r="A37" s="6" t="s">
        <v>14</v>
      </c>
      <c r="B37" s="8">
        <v>5.96</v>
      </c>
      <c r="C37" s="8">
        <v>2.4</v>
      </c>
      <c r="D37" s="8">
        <v>6.56</v>
      </c>
      <c r="E37" s="8">
        <v>5.8</v>
      </c>
      <c r="F37" s="8">
        <v>10.76</v>
      </c>
      <c r="G37" s="8">
        <v>7.96</v>
      </c>
      <c r="H37" s="8">
        <v>13</v>
      </c>
      <c r="I37" s="8">
        <v>10.52</v>
      </c>
      <c r="J37" s="8">
        <v>8</v>
      </c>
    </row>
    <row r="38" spans="1:10" ht="27.75" customHeight="1">
      <c r="A38" s="6" t="s">
        <v>15</v>
      </c>
      <c r="B38" s="8">
        <v>5.76</v>
      </c>
      <c r="C38" s="8">
        <v>3.05</v>
      </c>
      <c r="D38" s="8">
        <v>5.98</v>
      </c>
      <c r="E38" s="8">
        <v>5.8</v>
      </c>
      <c r="F38" s="8">
        <v>9.9600000000000009</v>
      </c>
      <c r="G38" s="8">
        <v>7.96</v>
      </c>
      <c r="H38" s="8">
        <v>8.76</v>
      </c>
      <c r="I38" s="8">
        <v>10.52</v>
      </c>
      <c r="J38" s="8"/>
    </row>
    <row r="39" spans="1:10" ht="27.75" customHeight="1">
      <c r="A39" s="6" t="s">
        <v>16</v>
      </c>
      <c r="B39" s="8">
        <v>6.6</v>
      </c>
      <c r="C39" s="8">
        <v>3.06</v>
      </c>
      <c r="D39" s="8">
        <v>3.16</v>
      </c>
      <c r="E39" s="8">
        <v>5.8</v>
      </c>
      <c r="F39" s="8">
        <v>10.199999999999999</v>
      </c>
      <c r="G39" s="8">
        <v>6.56</v>
      </c>
      <c r="H39" s="8">
        <v>9.5</v>
      </c>
      <c r="I39" s="8">
        <v>10.52</v>
      </c>
      <c r="J39" s="8"/>
    </row>
    <row r="40" spans="1:10" ht="27.75" customHeight="1">
      <c r="A40" s="6" t="s">
        <v>17</v>
      </c>
      <c r="B40" s="8">
        <v>6.76</v>
      </c>
      <c r="C40" s="8">
        <v>2.4</v>
      </c>
      <c r="D40" s="8">
        <v>3.16</v>
      </c>
      <c r="E40" s="8">
        <v>5.76</v>
      </c>
      <c r="F40" s="8">
        <v>10.56</v>
      </c>
      <c r="G40" s="8">
        <v>9.16</v>
      </c>
      <c r="H40" s="8">
        <v>9.56</v>
      </c>
      <c r="I40" s="8">
        <v>9.92</v>
      </c>
      <c r="J40" s="8"/>
    </row>
    <row r="41" spans="1:10" ht="27.75" customHeight="1">
      <c r="A41" s="6" t="s">
        <v>18</v>
      </c>
      <c r="B41" s="8">
        <v>6.76</v>
      </c>
      <c r="C41" s="8">
        <v>2.4</v>
      </c>
      <c r="D41" s="8">
        <v>3.16</v>
      </c>
      <c r="E41" s="8">
        <v>5.76</v>
      </c>
      <c r="F41" s="8">
        <v>11.36</v>
      </c>
      <c r="G41" s="8">
        <v>6.76</v>
      </c>
      <c r="H41" s="8">
        <v>13.36</v>
      </c>
      <c r="I41" s="8">
        <v>4.96</v>
      </c>
      <c r="J41" s="8"/>
    </row>
    <row r="42" spans="1:10" ht="27.75" customHeight="1">
      <c r="B42" s="8">
        <f>B41/2</f>
        <v>3.38</v>
      </c>
      <c r="C42" s="8">
        <f t="shared" ref="C42:I42" si="0">C41/2</f>
        <v>1.2</v>
      </c>
      <c r="D42" s="8">
        <f t="shared" si="0"/>
        <v>1.58</v>
      </c>
      <c r="E42" s="8">
        <f t="shared" si="0"/>
        <v>2.88</v>
      </c>
      <c r="F42" s="8">
        <f t="shared" si="0"/>
        <v>5.68</v>
      </c>
      <c r="G42" s="8">
        <f t="shared" si="0"/>
        <v>3.38</v>
      </c>
      <c r="H42" s="8">
        <f t="shared" si="0"/>
        <v>6.68</v>
      </c>
      <c r="I42" s="8">
        <f t="shared" si="0"/>
        <v>2.48</v>
      </c>
      <c r="J42" s="8"/>
    </row>
    <row r="43" spans="1:10" ht="19.95" customHeight="1">
      <c r="A43" s="9" t="s">
        <v>41</v>
      </c>
      <c r="B43" s="10">
        <f>B41/B40-1</f>
        <v>0</v>
      </c>
      <c r="C43" s="10">
        <f t="shared" ref="C43:I43" si="1">C41/C40-1</f>
        <v>0</v>
      </c>
      <c r="D43" s="10">
        <f t="shared" si="1"/>
        <v>0</v>
      </c>
      <c r="E43" s="10">
        <f t="shared" si="1"/>
        <v>0</v>
      </c>
      <c r="F43" s="10">
        <f t="shared" si="1"/>
        <v>7.575757575757569E-2</v>
      </c>
      <c r="G43" s="10">
        <f t="shared" si="1"/>
        <v>-0.2620087336244542</v>
      </c>
      <c r="H43" s="10">
        <f t="shared" si="1"/>
        <v>0.39748953974895374</v>
      </c>
      <c r="I43" s="10">
        <f t="shared" si="1"/>
        <v>-0.5</v>
      </c>
      <c r="J43" s="10"/>
    </row>
    <row r="44" spans="1:10" ht="25.2" customHeight="1">
      <c r="A44" s="9" t="s">
        <v>42</v>
      </c>
      <c r="B44" s="10">
        <f>B41/B2-1</f>
        <v>1.1124999999999998</v>
      </c>
      <c r="C44" s="10">
        <f t="shared" ref="C44:I44" si="2">C41/C2-1</f>
        <v>0.33333333333333326</v>
      </c>
      <c r="D44" s="10">
        <f t="shared" si="2"/>
        <v>0.58000000000000007</v>
      </c>
      <c r="E44" s="10">
        <f t="shared" si="2"/>
        <v>1.88</v>
      </c>
      <c r="F44" s="10">
        <f t="shared" si="2"/>
        <v>-2.0689655172413834E-2</v>
      </c>
      <c r="G44" s="10">
        <f t="shared" si="2"/>
        <v>-6.1111111111111116E-2</v>
      </c>
      <c r="H44" s="10">
        <f t="shared" si="2"/>
        <v>1.0242424242424244</v>
      </c>
      <c r="I44" s="10">
        <f t="shared" si="2"/>
        <v>-8.1481481481481599E-2</v>
      </c>
      <c r="J44" s="10"/>
    </row>
    <row r="45" spans="1:10"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