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5日\"/>
    </mc:Choice>
  </mc:AlternateContent>
  <xr:revisionPtr revIDLastSave="0" documentId="8_{9544070A-3DC8-4DE8-8FE4-EE08FE9ED6F0}" xr6:coauthVersionLast="36" xr6:coauthVersionMax="36" xr10:uidLastSave="{00000000-0000-0000-0000-000000000000}"/>
  <bookViews>
    <workbookView xWindow="32769" yWindow="32769" windowWidth="16980" windowHeight="4680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C34" i="1" l="1"/>
  <c r="D34" i="1"/>
  <c r="E34" i="1"/>
  <c r="F34" i="1"/>
  <c r="G34" i="1"/>
  <c r="H34" i="1"/>
  <c r="I34" i="1"/>
  <c r="B34" i="1"/>
  <c r="C33" i="1"/>
  <c r="D33" i="1"/>
  <c r="E33" i="1"/>
  <c r="F33" i="1"/>
  <c r="G33" i="1"/>
  <c r="H33" i="1"/>
  <c r="I33" i="1"/>
  <c r="B33" i="1"/>
  <c r="C32" i="1"/>
  <c r="D32" i="1"/>
  <c r="E32" i="1"/>
  <c r="F32" i="1"/>
  <c r="G32" i="1"/>
  <c r="H32" i="1"/>
  <c r="I32" i="1"/>
  <c r="B32" i="1"/>
</calcChain>
</file>

<file path=xl/sharedStrings.xml><?xml version="1.0" encoding="utf-8"?>
<sst xmlns="http://schemas.openxmlformats.org/spreadsheetml/2006/main" count="50" uniqueCount="42">
  <si>
    <t>日期</t>
  </si>
  <si>
    <t>大白菜</t>
  </si>
  <si>
    <t>土豆</t>
  </si>
  <si>
    <t>白萝卜</t>
  </si>
  <si>
    <t>圆葱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</si>
  <si>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</si>
  <si>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</si>
  <si>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</si>
  <si>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</si>
  <si>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</si>
  <si>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</si>
  <si>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</si>
  <si>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</si>
  <si>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</si>
  <si>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</si>
  <si>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</si>
  <si>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</si>
  <si>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</si>
  <si>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西红柿</t>
    <phoneticPr fontId="1" type="noConversion"/>
  </si>
  <si>
    <t>黄瓜</t>
    <phoneticPr fontId="1" type="noConversion"/>
  </si>
  <si>
    <t>青椒</t>
    <phoneticPr fontId="1" type="noConversion"/>
  </si>
  <si>
    <t>生菜</t>
    <phoneticPr fontId="1" type="noConversion"/>
  </si>
  <si>
    <t>20日</t>
  </si>
  <si>
    <t>水果（平均）</t>
    <phoneticPr fontId="1" type="noConversion"/>
  </si>
  <si>
    <t>21日</t>
  </si>
  <si>
    <t>22日</t>
  </si>
  <si>
    <t>23日</t>
  </si>
  <si>
    <t>24日</t>
  </si>
  <si>
    <t>25日</t>
  </si>
  <si>
    <t>较昨日</t>
    <phoneticPr fontId="1" type="noConversion"/>
  </si>
  <si>
    <t>较疫情初期</t>
    <phoneticPr fontId="1" type="noConversion"/>
  </si>
  <si>
    <t>26日</t>
    <phoneticPr fontId="1" type="noConversion"/>
  </si>
  <si>
    <t>27日</t>
  </si>
  <si>
    <t>28日</t>
  </si>
  <si>
    <t>29日</t>
  </si>
  <si>
    <t>30日</t>
    <phoneticPr fontId="1" type="noConversion"/>
  </si>
  <si>
    <t>31日</t>
  </si>
  <si>
    <t>1日</t>
    <phoneticPr fontId="1" type="noConversion"/>
  </si>
  <si>
    <t>2日</t>
  </si>
  <si>
    <t>3日</t>
  </si>
  <si>
    <t>4日</t>
  </si>
  <si>
    <t>5日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</si>
</sst>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12">
    <font>
      <sz val="12"/>
      <name val="方正仿宋_GBK"/>
      <charset val="134"/>
    </font>
    <font>
      <sz val="9"/>
      <name val="方正仿宋_GBK"/>
      <charset val="134"/>
    </font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12"/>
      <color indexed="8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b/>
      <sz val="12"/>
      <name val="宋体"/>
      <charset val="134"/>
    </font>
    <font>
      <b/>
      <sz val="12"/>
      <name val="宋体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Protection="0">
      <alignment vertical="center"/>
    </xf>
  </cellStyleXfs>
  <cellXfs count="19">
    <xf numFmtId="0" fontId="0" fillId="0" borderId="0" xfId="0" applyProtection="1">
      <alignment vertical="center"/>
    </xf>
    <xf numFmtId="0" fontId="2" fillId="0" borderId="0" xfId="0" applyFont="1" applyProtection="1">
      <alignment vertical="center"/>
    </xf>
    <xf numFmtId="176" fontId="3" fillId="0" borderId="1" xfId="0" applyNumberFormat="1" applyFont="1" applyBorder="1" applyAlignment="1" applyProtection="1">
      <alignment horizontal="center" vertical="center" wrapText="1"/>
      <protection locked="0"/>
    </xf>
    <xf numFmtId="176" fontId="3" fillId="0" borderId="2" xfId="0" applyNumberFormat="1" applyFont="1" applyBorder="1" applyAlignment="1" applyProtection="1">
      <alignment horizontal="center" vertical="center" wrapText="1"/>
      <protection locked="0"/>
    </xf>
    <xf numFmtId="176" fontId="4" fillId="0" borderId="1" xfId="0" applyNumberFormat="1" applyFont="1" applyBorder="1" applyAlignment="1" applyProtection="1">
      <alignment horizontal="center" vertical="center"/>
      <protection locked="0"/>
    </xf>
    <xf numFmtId="176" fontId="4" fillId="0" borderId="1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Protection="1">
      <alignment vertical="center"/>
    </xf>
    <xf numFmtId="176" fontId="7" fillId="0" borderId="1" xfId="0" applyNumberFormat="1" applyFont="1" applyBorder="1" applyAlignment="1" applyProtection="1">
      <alignment horizontal="center" vertical="center" wrapText="1"/>
      <protection locked="0"/>
    </xf>
    <xf numFmtId="176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Protection="1">
      <alignment vertical="center"/>
    </xf>
    <xf numFmtId="10" fontId="2" fillId="0" borderId="0" xfId="0" applyNumberFormat="1" applyFont="1" applyProtection="1">
      <alignment vertical="center"/>
    </xf>
    <xf numFmtId="0" fontId="8" fillId="0" borderId="0" xfId="0" applyFont="1" applyProtection="1">
      <alignment vertical="center"/>
    </xf>
    <xf numFmtId="176" fontId="9" fillId="0" borderId="1" xfId="0" applyNumberFormat="1" applyFont="1" applyBorder="1" applyAlignment="1" applyProtection="1">
      <alignment horizontal="center" vertical="center" wrapText="1"/>
      <protection locked="0"/>
    </xf>
    <xf numFmtId="176" fontId="4" fillId="0" borderId="2" xfId="0" applyNumberFormat="1" applyFont="1" applyBorder="1" applyAlignment="1" applyProtection="1">
      <alignment horizontal="center" vertical="center" wrapText="1"/>
      <protection locked="0"/>
    </xf>
    <xf numFmtId="176" fontId="6" fillId="0" borderId="3" xfId="0" applyNumberFormat="1" applyFont="1" applyFill="1" applyBorder="1" applyAlignment="1" applyProtection="1">
      <alignment horizontal="center" vertical="center" wrapText="1"/>
      <protection locked="0"/>
    </xf>
    <xf numFmtId="176" fontId="10" fillId="0" borderId="1" xfId="0" applyNumberFormat="1" applyFont="1" applyBorder="1" applyAlignment="1" applyProtection="1">
      <alignment horizontal="center" vertical="center" wrapText="1"/>
      <protection locked="0"/>
    </xf>
    <xf numFmtId="176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176" fontId="4" fillId="0" borderId="0" xfId="0" applyNumberFormat="1" applyFont="1" applyBorder="1" applyAlignment="1" applyProtection="1">
      <alignment horizontal="center" vertical="center" wrapText="1"/>
      <protection locked="0"/>
    </xf>
    <xf numFmtId="176" fontId="11" fillId="0" borderId="0" xfId="0" applyNumberFormat="1" applyFont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</a:rPr>
              <a:t>点调重点企业蔬菜价格变化图表</a:t>
            </a:r>
            <a:endParaRPr lang="en-US" altLang="zh-CN" sz="1600" b="1">
              <a:solidFill>
                <a:sysClr val="windowText" lastClr="000000"/>
              </a:solidFill>
              <a:latin typeface="宋体" panose="02010600030101010101" pitchFamily="2" charset="-122"/>
              <a:ea typeface="宋体" panose="02010600030101010101" pitchFamily="2" charset="-122"/>
            </a:endParaRP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000" b="1">
                <a:solidFill>
                  <a:sysClr val="windowText" lastClr="000000"/>
                </a:solidFill>
                <a:latin typeface="楷体" panose="02010609060101010101" pitchFamily="49" charset="-122"/>
                <a:ea typeface="楷体" panose="02010609060101010101" pitchFamily="49" charset="-122"/>
              </a:rPr>
              <a:t>（数据来源：市商务局点调的</a:t>
            </a:r>
            <a:r>
              <a:rPr lang="en-US" altLang="zh-CN" sz="1000" b="1">
                <a:solidFill>
                  <a:sysClr val="windowText" lastClr="000000"/>
                </a:solidFill>
                <a:latin typeface="楷体" panose="02010609060101010101" pitchFamily="49" charset="-122"/>
                <a:ea typeface="楷体" panose="02010609060101010101" pitchFamily="49" charset="-122"/>
              </a:rPr>
              <a:t>51</a:t>
            </a:r>
            <a:r>
              <a:rPr lang="zh-CN" altLang="en-US" sz="1000" b="1">
                <a:solidFill>
                  <a:sysClr val="windowText" lastClr="000000"/>
                </a:solidFill>
                <a:latin typeface="楷体" panose="02010609060101010101" pitchFamily="49" charset="-122"/>
                <a:ea typeface="楷体" panose="02010609060101010101" pitchFamily="49" charset="-122"/>
              </a:rPr>
              <a:t>家欧亚连锁超市）</a:t>
            </a:r>
          </a:p>
        </c:rich>
      </c:tx>
      <c:layout>
        <c:manualLayout>
          <c:xMode val="edge"/>
          <c:yMode val="edge"/>
          <c:x val="0.2823917359498348"/>
          <c:y val="3.658822993946565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405870280015694E-2"/>
          <c:y val="9.0551610142412406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工作表1!$A$2:$A$31</c:f>
              <c:strCache>
                <c:ptCount val="30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</c:strCache>
            </c:strRef>
          </c:cat>
          <c:val>
            <c:numRef>
              <c:f>工作表1!$B$2:$B$31</c:f>
              <c:numCache>
                <c:formatCode>0.00_ </c:formatCode>
                <c:ptCount val="30"/>
                <c:pt idx="0">
                  <c:v>3.2</c:v>
                </c:pt>
                <c:pt idx="1">
                  <c:v>3.2</c:v>
                </c:pt>
                <c:pt idx="2">
                  <c:v>3.2</c:v>
                </c:pt>
                <c:pt idx="3">
                  <c:v>3.2</c:v>
                </c:pt>
                <c:pt idx="4">
                  <c:v>3.2</c:v>
                </c:pt>
                <c:pt idx="5">
                  <c:v>3.56</c:v>
                </c:pt>
                <c:pt idx="6">
                  <c:v>3.72</c:v>
                </c:pt>
                <c:pt idx="7">
                  <c:v>3.68</c:v>
                </c:pt>
                <c:pt idx="8">
                  <c:v>3.68</c:v>
                </c:pt>
                <c:pt idx="9">
                  <c:v>3.68</c:v>
                </c:pt>
                <c:pt idx="10">
                  <c:v>3.32</c:v>
                </c:pt>
                <c:pt idx="11">
                  <c:v>3.32</c:v>
                </c:pt>
                <c:pt idx="12">
                  <c:v>3.32</c:v>
                </c:pt>
                <c:pt idx="13">
                  <c:v>3.32</c:v>
                </c:pt>
                <c:pt idx="14">
                  <c:v>3.32</c:v>
                </c:pt>
                <c:pt idx="15">
                  <c:v>3.32</c:v>
                </c:pt>
                <c:pt idx="16">
                  <c:v>3.32</c:v>
                </c:pt>
                <c:pt idx="17">
                  <c:v>3.32</c:v>
                </c:pt>
                <c:pt idx="18">
                  <c:v>3.32</c:v>
                </c:pt>
                <c:pt idx="19">
                  <c:v>4.2</c:v>
                </c:pt>
                <c:pt idx="20">
                  <c:v>4.66</c:v>
                </c:pt>
                <c:pt idx="21">
                  <c:v>4.66</c:v>
                </c:pt>
                <c:pt idx="22">
                  <c:v>4.66</c:v>
                </c:pt>
                <c:pt idx="23">
                  <c:v>4.5999999999999996</c:v>
                </c:pt>
                <c:pt idx="24">
                  <c:v>4.5999999999999996</c:v>
                </c:pt>
                <c:pt idx="25">
                  <c:v>4.9000000000000004</c:v>
                </c:pt>
                <c:pt idx="26">
                  <c:v>4.9000000000000004</c:v>
                </c:pt>
                <c:pt idx="27">
                  <c:v>5.8</c:v>
                </c:pt>
                <c:pt idx="28">
                  <c:v>4.8</c:v>
                </c:pt>
                <c:pt idx="29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2A-43FC-88A4-C1250F0C9973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工作表1!$A$2:$A$31</c:f>
              <c:strCache>
                <c:ptCount val="30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</c:strCache>
            </c:strRef>
          </c:cat>
          <c:val>
            <c:numRef>
              <c:f>工作表1!$C$2:$C$31</c:f>
              <c:numCache>
                <c:formatCode>0.00_ </c:formatCode>
                <c:ptCount val="30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1.8</c:v>
                </c:pt>
                <c:pt idx="6">
                  <c:v>1.8</c:v>
                </c:pt>
                <c:pt idx="7">
                  <c:v>1.8</c:v>
                </c:pt>
                <c:pt idx="8">
                  <c:v>1.8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  <c:pt idx="15">
                  <c:v>1.8</c:v>
                </c:pt>
                <c:pt idx="16">
                  <c:v>1.8</c:v>
                </c:pt>
                <c:pt idx="17">
                  <c:v>1.8</c:v>
                </c:pt>
                <c:pt idx="18">
                  <c:v>1.8</c:v>
                </c:pt>
                <c:pt idx="19">
                  <c:v>1.8</c:v>
                </c:pt>
                <c:pt idx="20">
                  <c:v>1.8</c:v>
                </c:pt>
                <c:pt idx="21">
                  <c:v>1.8</c:v>
                </c:pt>
                <c:pt idx="22">
                  <c:v>1.8</c:v>
                </c:pt>
                <c:pt idx="23">
                  <c:v>2.4</c:v>
                </c:pt>
                <c:pt idx="24">
                  <c:v>2.2000000000000002</c:v>
                </c:pt>
                <c:pt idx="25">
                  <c:v>2.2000000000000002</c:v>
                </c:pt>
                <c:pt idx="26">
                  <c:v>2.2000000000000002</c:v>
                </c:pt>
                <c:pt idx="27">
                  <c:v>2.2000000000000002</c:v>
                </c:pt>
                <c:pt idx="28">
                  <c:v>1.8</c:v>
                </c:pt>
                <c:pt idx="29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2A-43FC-88A4-C1250F0C9973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工作表1!$A$2:$A$31</c:f>
              <c:strCache>
                <c:ptCount val="30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</c:strCache>
            </c:strRef>
          </c:cat>
          <c:val>
            <c:numRef>
              <c:f>工作表1!$D$2:$D$31</c:f>
              <c:numCache>
                <c:formatCode>0.00_ </c:formatCode>
                <c:ptCount val="3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1.9</c:v>
                </c:pt>
                <c:pt idx="6">
                  <c:v>2.12</c:v>
                </c:pt>
                <c:pt idx="7">
                  <c:v>2.12</c:v>
                </c:pt>
                <c:pt idx="8">
                  <c:v>2.12</c:v>
                </c:pt>
                <c:pt idx="9">
                  <c:v>2.12</c:v>
                </c:pt>
                <c:pt idx="10">
                  <c:v>2.12</c:v>
                </c:pt>
                <c:pt idx="11">
                  <c:v>2.12</c:v>
                </c:pt>
                <c:pt idx="12">
                  <c:v>2.12</c:v>
                </c:pt>
                <c:pt idx="13">
                  <c:v>2.12</c:v>
                </c:pt>
                <c:pt idx="14">
                  <c:v>2.12</c:v>
                </c:pt>
                <c:pt idx="15">
                  <c:v>2.12</c:v>
                </c:pt>
                <c:pt idx="16">
                  <c:v>2.12</c:v>
                </c:pt>
                <c:pt idx="17">
                  <c:v>1.92</c:v>
                </c:pt>
                <c:pt idx="18">
                  <c:v>1.92</c:v>
                </c:pt>
                <c:pt idx="19">
                  <c:v>1.92</c:v>
                </c:pt>
                <c:pt idx="20">
                  <c:v>1.92</c:v>
                </c:pt>
                <c:pt idx="21">
                  <c:v>1.92</c:v>
                </c:pt>
                <c:pt idx="22">
                  <c:v>1.92</c:v>
                </c:pt>
                <c:pt idx="23">
                  <c:v>3</c:v>
                </c:pt>
                <c:pt idx="24">
                  <c:v>2.2000000000000002</c:v>
                </c:pt>
                <c:pt idx="25">
                  <c:v>2.2000000000000002</c:v>
                </c:pt>
                <c:pt idx="26">
                  <c:v>2.2000000000000002</c:v>
                </c:pt>
                <c:pt idx="27">
                  <c:v>2.2000000000000002</c:v>
                </c:pt>
                <c:pt idx="28">
                  <c:v>4.22</c:v>
                </c:pt>
                <c:pt idx="29">
                  <c:v>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2A-43FC-88A4-C1250F0C9973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工作表1!$A$2:$A$31</c:f>
              <c:strCache>
                <c:ptCount val="30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</c:strCache>
            </c:strRef>
          </c:cat>
          <c:val>
            <c:numRef>
              <c:f>工作表1!$E$2:$E$31</c:f>
              <c:numCache>
                <c:formatCode>0.00_ </c:formatCode>
                <c:ptCount val="3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2.1</c:v>
                </c:pt>
                <c:pt idx="11">
                  <c:v>2.1</c:v>
                </c:pt>
                <c:pt idx="12">
                  <c:v>2.1</c:v>
                </c:pt>
                <c:pt idx="13">
                  <c:v>2.1</c:v>
                </c:pt>
                <c:pt idx="14">
                  <c:v>2.1</c:v>
                </c:pt>
                <c:pt idx="15">
                  <c:v>2.1</c:v>
                </c:pt>
                <c:pt idx="16">
                  <c:v>2.1</c:v>
                </c:pt>
                <c:pt idx="17">
                  <c:v>2.1</c:v>
                </c:pt>
                <c:pt idx="18">
                  <c:v>2.2000000000000002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3.1</c:v>
                </c:pt>
                <c:pt idx="28">
                  <c:v>2.79</c:v>
                </c:pt>
                <c:pt idx="29">
                  <c:v>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2A-43FC-88A4-C1250F0C9973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工作表1!$A$2:$A$31</c:f>
              <c:strCache>
                <c:ptCount val="30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</c:strCache>
            </c:strRef>
          </c:cat>
          <c:val>
            <c:numRef>
              <c:f>工作表1!$F$2:$F$31</c:f>
              <c:numCache>
                <c:formatCode>0.00_ </c:formatCode>
                <c:ptCount val="30"/>
                <c:pt idx="0">
                  <c:v>11.6</c:v>
                </c:pt>
                <c:pt idx="1">
                  <c:v>10.8</c:v>
                </c:pt>
                <c:pt idx="2">
                  <c:v>10</c:v>
                </c:pt>
                <c:pt idx="3">
                  <c:v>11.6</c:v>
                </c:pt>
                <c:pt idx="4">
                  <c:v>10</c:v>
                </c:pt>
                <c:pt idx="5">
                  <c:v>9.4</c:v>
                </c:pt>
                <c:pt idx="6">
                  <c:v>9.4</c:v>
                </c:pt>
                <c:pt idx="7">
                  <c:v>9.8000000000000007</c:v>
                </c:pt>
                <c:pt idx="8">
                  <c:v>9.8000000000000007</c:v>
                </c:pt>
                <c:pt idx="9">
                  <c:v>9.8000000000000007</c:v>
                </c:pt>
                <c:pt idx="10">
                  <c:v>9.8000000000000007</c:v>
                </c:pt>
                <c:pt idx="11">
                  <c:v>9.4</c:v>
                </c:pt>
                <c:pt idx="12">
                  <c:v>9.6</c:v>
                </c:pt>
                <c:pt idx="13">
                  <c:v>9.4</c:v>
                </c:pt>
                <c:pt idx="14">
                  <c:v>9.4</c:v>
                </c:pt>
                <c:pt idx="15">
                  <c:v>9.4</c:v>
                </c:pt>
                <c:pt idx="16">
                  <c:v>10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10.4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12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9</c:v>
                </c:pt>
                <c:pt idx="29">
                  <c:v>10.4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2A-43FC-88A4-C1250F0C9973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工作表1!$A$2:$A$31</c:f>
              <c:strCache>
                <c:ptCount val="30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</c:strCache>
            </c:strRef>
          </c:cat>
          <c:val>
            <c:numRef>
              <c:f>工作表1!$G$2:$G$31</c:f>
              <c:numCache>
                <c:formatCode>0.00_ </c:formatCode>
                <c:ptCount val="30"/>
                <c:pt idx="0">
                  <c:v>7.2</c:v>
                </c:pt>
                <c:pt idx="1">
                  <c:v>6</c:v>
                </c:pt>
                <c:pt idx="2">
                  <c:v>6</c:v>
                </c:pt>
                <c:pt idx="3">
                  <c:v>7.2</c:v>
                </c:pt>
                <c:pt idx="4">
                  <c:v>6</c:v>
                </c:pt>
                <c:pt idx="5">
                  <c:v>6.24</c:v>
                </c:pt>
                <c:pt idx="6">
                  <c:v>6.24</c:v>
                </c:pt>
                <c:pt idx="7">
                  <c:v>6.56</c:v>
                </c:pt>
                <c:pt idx="8">
                  <c:v>6.56</c:v>
                </c:pt>
                <c:pt idx="9">
                  <c:v>6.56</c:v>
                </c:pt>
                <c:pt idx="10">
                  <c:v>6.56</c:v>
                </c:pt>
                <c:pt idx="11">
                  <c:v>6.56</c:v>
                </c:pt>
                <c:pt idx="12">
                  <c:v>6.56</c:v>
                </c:pt>
                <c:pt idx="13">
                  <c:v>6.56</c:v>
                </c:pt>
                <c:pt idx="14">
                  <c:v>6.56</c:v>
                </c:pt>
                <c:pt idx="15">
                  <c:v>6.56</c:v>
                </c:pt>
                <c:pt idx="16">
                  <c:v>6.4</c:v>
                </c:pt>
                <c:pt idx="17">
                  <c:v>6.32</c:v>
                </c:pt>
                <c:pt idx="18">
                  <c:v>6.32</c:v>
                </c:pt>
                <c:pt idx="19">
                  <c:v>6.32</c:v>
                </c:pt>
                <c:pt idx="20">
                  <c:v>7.2</c:v>
                </c:pt>
                <c:pt idx="21">
                  <c:v>7.2</c:v>
                </c:pt>
                <c:pt idx="22">
                  <c:v>7.2</c:v>
                </c:pt>
                <c:pt idx="23">
                  <c:v>10.1</c:v>
                </c:pt>
                <c:pt idx="24">
                  <c:v>10.1</c:v>
                </c:pt>
                <c:pt idx="25">
                  <c:v>8.8000000000000007</c:v>
                </c:pt>
                <c:pt idx="26">
                  <c:v>8.8000000000000007</c:v>
                </c:pt>
                <c:pt idx="27">
                  <c:v>8.8000000000000007</c:v>
                </c:pt>
                <c:pt idx="28">
                  <c:v>9.4</c:v>
                </c:pt>
                <c:pt idx="29">
                  <c:v>8.8000000000000007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2A-43FC-88A4-C1250F0C9973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工作表1!$A$2:$A$31</c:f>
              <c:strCache>
                <c:ptCount val="30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</c:strCache>
            </c:strRef>
          </c:cat>
          <c:val>
            <c:numRef>
              <c:f>工作表1!$H$2:$H$31</c:f>
              <c:numCache>
                <c:formatCode>0.00_ </c:formatCode>
                <c:ptCount val="30"/>
                <c:pt idx="0">
                  <c:v>6.6</c:v>
                </c:pt>
                <c:pt idx="1">
                  <c:v>6.4</c:v>
                </c:pt>
                <c:pt idx="2">
                  <c:v>6.6</c:v>
                </c:pt>
                <c:pt idx="3">
                  <c:v>6.6</c:v>
                </c:pt>
                <c:pt idx="4">
                  <c:v>6.6</c:v>
                </c:pt>
                <c:pt idx="5">
                  <c:v>7.4</c:v>
                </c:pt>
                <c:pt idx="6">
                  <c:v>7.4</c:v>
                </c:pt>
                <c:pt idx="7">
                  <c:v>8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10.4</c:v>
                </c:pt>
                <c:pt idx="13">
                  <c:v>10.4</c:v>
                </c:pt>
                <c:pt idx="14">
                  <c:v>11.6</c:v>
                </c:pt>
                <c:pt idx="15">
                  <c:v>11.6</c:v>
                </c:pt>
                <c:pt idx="16">
                  <c:v>11.6</c:v>
                </c:pt>
                <c:pt idx="17">
                  <c:v>9.68</c:v>
                </c:pt>
                <c:pt idx="18">
                  <c:v>9.68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11</c:v>
                </c:pt>
                <c:pt idx="24">
                  <c:v>14.4</c:v>
                </c:pt>
                <c:pt idx="25">
                  <c:v>7.2</c:v>
                </c:pt>
                <c:pt idx="26">
                  <c:v>7.2</c:v>
                </c:pt>
                <c:pt idx="27">
                  <c:v>14.7</c:v>
                </c:pt>
                <c:pt idx="28">
                  <c:v>12.4</c:v>
                </c:pt>
                <c:pt idx="29">
                  <c:v>14.7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2A-43FC-88A4-C1250F0C9973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工作表1!$A$2:$A$31</c:f>
              <c:strCache>
                <c:ptCount val="30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</c:strCache>
            </c:strRef>
          </c:cat>
          <c:val>
            <c:numRef>
              <c:f>工作表1!$I$2:$I$31</c:f>
              <c:numCache>
                <c:formatCode>0.00_ </c:formatCode>
                <c:ptCount val="30"/>
                <c:pt idx="0">
                  <c:v>5.4</c:v>
                </c:pt>
                <c:pt idx="1">
                  <c:v>5.8</c:v>
                </c:pt>
                <c:pt idx="2">
                  <c:v>5.4</c:v>
                </c:pt>
                <c:pt idx="3">
                  <c:v>5.4</c:v>
                </c:pt>
                <c:pt idx="4">
                  <c:v>5.4</c:v>
                </c:pt>
                <c:pt idx="5">
                  <c:v>5.12</c:v>
                </c:pt>
                <c:pt idx="6">
                  <c:v>4.4400000000000004</c:v>
                </c:pt>
                <c:pt idx="7">
                  <c:v>4.4400000000000004</c:v>
                </c:pt>
                <c:pt idx="8">
                  <c:v>4.9400000000000004</c:v>
                </c:pt>
                <c:pt idx="9">
                  <c:v>4.9400000000000004</c:v>
                </c:pt>
                <c:pt idx="10">
                  <c:v>4.9400000000000004</c:v>
                </c:pt>
                <c:pt idx="11">
                  <c:v>4.9400000000000004</c:v>
                </c:pt>
                <c:pt idx="12">
                  <c:v>4.3600000000000003</c:v>
                </c:pt>
                <c:pt idx="13">
                  <c:v>4.3600000000000003</c:v>
                </c:pt>
                <c:pt idx="14">
                  <c:v>5.26</c:v>
                </c:pt>
                <c:pt idx="15">
                  <c:v>5.26</c:v>
                </c:pt>
                <c:pt idx="16">
                  <c:v>5.26</c:v>
                </c:pt>
                <c:pt idx="17">
                  <c:v>5.08</c:v>
                </c:pt>
                <c:pt idx="18">
                  <c:v>5.08</c:v>
                </c:pt>
                <c:pt idx="19">
                  <c:v>5.08</c:v>
                </c:pt>
                <c:pt idx="20">
                  <c:v>5.08</c:v>
                </c:pt>
                <c:pt idx="21">
                  <c:v>5.08</c:v>
                </c:pt>
                <c:pt idx="22">
                  <c:v>5.08</c:v>
                </c:pt>
                <c:pt idx="23">
                  <c:v>5.08</c:v>
                </c:pt>
                <c:pt idx="24">
                  <c:v>5.08</c:v>
                </c:pt>
                <c:pt idx="25">
                  <c:v>4</c:v>
                </c:pt>
                <c:pt idx="26">
                  <c:v>4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02A-43FC-88A4-C1250F0C9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4578383"/>
        <c:axId val="1"/>
      </c:lineChart>
      <c:catAx>
        <c:axId val="1234578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日期（</a:t>
                </a:r>
                <a:r>
                  <a:rPr lang="en-US" altLang="zh-CN"/>
                  <a:t>3</a:t>
                </a:r>
                <a:r>
                  <a:rPr lang="zh-CN" altLang="en-US"/>
                  <a:t>月）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>
                    <a:solidFill>
                      <a:sysClr val="windowText" lastClr="000000"/>
                    </a:solidFill>
                    <a:latin typeface="宋体" panose="02010600030101010101" pitchFamily="2" charset="-122"/>
                    <a:ea typeface="宋体" panose="02010600030101010101" pitchFamily="2" charset="-122"/>
                  </a:rPr>
                  <a:t>价格（单位：元</a:t>
                </a:r>
                <a:r>
                  <a:rPr lang="en-US" altLang="zh-CN" sz="1000">
                    <a:solidFill>
                      <a:sysClr val="windowText" lastClr="000000"/>
                    </a:solidFill>
                    <a:latin typeface="宋体" panose="02010600030101010101" pitchFamily="2" charset="-122"/>
                    <a:ea typeface="宋体" panose="02010600030101010101" pitchFamily="2" charset="-122"/>
                  </a:rPr>
                  <a:t>/</a:t>
                </a:r>
                <a:r>
                  <a:rPr lang="zh-CN" altLang="en-US" sz="1000">
                    <a:solidFill>
                      <a:sysClr val="windowText" lastClr="000000"/>
                    </a:solidFill>
                    <a:latin typeface="宋体" panose="02010600030101010101" pitchFamily="2" charset="-122"/>
                    <a:ea typeface="宋体" panose="02010600030101010101" pitchFamily="2" charset="-122"/>
                  </a:rPr>
                  <a:t>公斤）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457838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6851532429161575"/>
          <c:y val="0.93795247228243317"/>
          <c:w val="0.6603978924941698"/>
          <c:h val="4.627683677927767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375557</xdr:colOff>
      <xdr:row>25</xdr:row>
      <xdr:rowOff>163286</xdr:rowOff>
    </xdr:from>
    <xdr:to>
      <xdr:col>21</xdr:col>
      <xdr:colOff>511629</xdr:colOff>
      <xdr:row>43</xdr:row>
      <xdr:rowOff>16329</xdr:rowOff>
    </xdr:to>
    <xdr:graphicFrame macro="">
      <xdr:nvGraphicFramePr>
        <xdr:cNvPr id="1092" name="图表 2">
          <a:extLst>
            <a:ext uri="{FF2B5EF4-FFF2-40B4-BE49-F238E27FC236}">
              <a16:creationId xmlns:a16="http://schemas.microsoft.com/office/drawing/2014/main" id="{EC161BF1-E86D-41C3-944C-966420A3EB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5"/>
  <sheetViews>
    <sheetView tabSelected="1" topLeftCell="A26" zoomScaleNormal="100" workbookViewId="0">
      <selection activeCell="B34" sqref="B34:I34"/>
    </sheetView>
  </sheetViews>
  <sheetFormatPr defaultColWidth="9" defaultRowHeight="15"/>
  <cols>
    <col min="1" max="1" width="8.5703125" style="1" customWidth="1"/>
    <col min="2" max="2" width="8.5" style="1" customWidth="1"/>
    <col min="3" max="3" width="8.2109375" style="1" customWidth="1"/>
    <col min="4" max="4" width="8.35546875" style="1" customWidth="1"/>
    <col min="5" max="5" width="8.28515625" style="1" customWidth="1"/>
    <col min="6" max="16384" width="9" style="1"/>
  </cols>
  <sheetData>
    <row r="1" spans="1:17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18</v>
      </c>
      <c r="G1" s="2" t="s">
        <v>19</v>
      </c>
      <c r="H1" s="2" t="s">
        <v>20</v>
      </c>
      <c r="I1" s="2" t="s">
        <v>21</v>
      </c>
      <c r="J1" s="7" t="s">
        <v>23</v>
      </c>
    </row>
    <row r="2" spans="1:17" ht="27" customHeight="1">
      <c r="A2" s="3" t="s">
        <v>5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8">
        <v>3.6</v>
      </c>
    </row>
    <row r="3" spans="1:17" ht="27" customHeight="1">
      <c r="A3" s="3" t="s">
        <v>6</v>
      </c>
      <c r="B3" s="5">
        <v>3.2</v>
      </c>
      <c r="C3" s="5">
        <v>1.8</v>
      </c>
      <c r="D3" s="5">
        <v>2</v>
      </c>
      <c r="E3" s="5">
        <v>2</v>
      </c>
      <c r="F3" s="5">
        <v>10.8</v>
      </c>
      <c r="G3" s="5">
        <v>6</v>
      </c>
      <c r="H3" s="5">
        <v>6.4</v>
      </c>
      <c r="I3" s="5">
        <v>5.8</v>
      </c>
      <c r="J3" s="8">
        <v>3.7</v>
      </c>
    </row>
    <row r="4" spans="1:17" ht="27" customHeight="1">
      <c r="A4" s="3" t="s">
        <v>7</v>
      </c>
      <c r="B4" s="5">
        <v>3.2</v>
      </c>
      <c r="C4" s="5">
        <v>1.8</v>
      </c>
      <c r="D4" s="5">
        <v>2</v>
      </c>
      <c r="E4" s="5">
        <v>2</v>
      </c>
      <c r="F4" s="5">
        <v>10</v>
      </c>
      <c r="G4" s="5">
        <v>6</v>
      </c>
      <c r="H4" s="5">
        <v>6.6</v>
      </c>
      <c r="I4" s="5">
        <v>5.4</v>
      </c>
      <c r="J4" s="8">
        <v>3.6</v>
      </c>
      <c r="Q4" s="6"/>
    </row>
    <row r="5" spans="1:17" ht="27" customHeight="1">
      <c r="A5" s="3" t="s">
        <v>8</v>
      </c>
      <c r="B5" s="4">
        <v>3.2</v>
      </c>
      <c r="C5" s="4">
        <v>1.8</v>
      </c>
      <c r="D5" s="4">
        <v>2</v>
      </c>
      <c r="E5" s="4">
        <v>2</v>
      </c>
      <c r="F5" s="4">
        <v>11.6</v>
      </c>
      <c r="G5" s="5">
        <v>7.2</v>
      </c>
      <c r="H5" s="5">
        <v>6.6</v>
      </c>
      <c r="I5" s="5">
        <v>5.4</v>
      </c>
      <c r="J5" s="8">
        <v>3.6</v>
      </c>
    </row>
    <row r="6" spans="1:17" ht="27" customHeight="1">
      <c r="A6" s="3" t="s">
        <v>9</v>
      </c>
      <c r="B6" s="5">
        <v>3.2</v>
      </c>
      <c r="C6" s="5">
        <v>1.8</v>
      </c>
      <c r="D6" s="5">
        <v>2</v>
      </c>
      <c r="E6" s="5">
        <v>2</v>
      </c>
      <c r="F6" s="5">
        <v>10</v>
      </c>
      <c r="G6" s="5">
        <v>6</v>
      </c>
      <c r="H6" s="5">
        <v>6.6</v>
      </c>
      <c r="I6" s="5">
        <v>5.4</v>
      </c>
      <c r="J6" s="8">
        <v>3.8</v>
      </c>
    </row>
    <row r="7" spans="1:17" ht="27" customHeight="1">
      <c r="A7" s="3" t="s">
        <v>10</v>
      </c>
      <c r="B7" s="5">
        <v>3.56</v>
      </c>
      <c r="C7" s="5">
        <v>1.8</v>
      </c>
      <c r="D7" s="5">
        <v>1.9</v>
      </c>
      <c r="E7" s="5">
        <v>2</v>
      </c>
      <c r="F7" s="5">
        <v>9.4</v>
      </c>
      <c r="G7" s="5">
        <v>6.24</v>
      </c>
      <c r="H7" s="5">
        <v>7.4</v>
      </c>
      <c r="I7" s="5">
        <v>5.12</v>
      </c>
      <c r="J7" s="8">
        <v>3.5</v>
      </c>
    </row>
    <row r="8" spans="1:17" ht="27" customHeight="1">
      <c r="A8" s="3" t="s">
        <v>11</v>
      </c>
      <c r="B8" s="4">
        <v>3.72</v>
      </c>
      <c r="C8" s="4">
        <v>1.8</v>
      </c>
      <c r="D8" s="4">
        <v>2.12</v>
      </c>
      <c r="E8" s="4">
        <v>2.5</v>
      </c>
      <c r="F8" s="4">
        <v>9.4</v>
      </c>
      <c r="G8" s="4">
        <v>6.24</v>
      </c>
      <c r="H8" s="4">
        <v>7.4</v>
      </c>
      <c r="I8" s="4">
        <v>4.4400000000000004</v>
      </c>
      <c r="J8" s="8">
        <v>3.5</v>
      </c>
    </row>
    <row r="9" spans="1:17" ht="27" customHeight="1">
      <c r="A9" s="3" t="s">
        <v>12</v>
      </c>
      <c r="B9" s="5">
        <v>3.68</v>
      </c>
      <c r="C9" s="5">
        <v>1.8</v>
      </c>
      <c r="D9" s="5">
        <v>2.12</v>
      </c>
      <c r="E9" s="5">
        <v>2.5</v>
      </c>
      <c r="F9" s="5">
        <v>9.8000000000000007</v>
      </c>
      <c r="G9" s="5">
        <v>6.56</v>
      </c>
      <c r="H9" s="5">
        <v>8</v>
      </c>
      <c r="I9" s="5">
        <v>4.4400000000000004</v>
      </c>
      <c r="J9" s="8">
        <v>3.5</v>
      </c>
    </row>
    <row r="10" spans="1:17" ht="28.5" customHeight="1">
      <c r="A10" s="3" t="s">
        <v>13</v>
      </c>
      <c r="B10" s="5">
        <v>3.68</v>
      </c>
      <c r="C10" s="5">
        <v>1.8</v>
      </c>
      <c r="D10" s="5">
        <v>2.12</v>
      </c>
      <c r="E10" s="5">
        <v>2.5</v>
      </c>
      <c r="F10" s="5">
        <v>9.8000000000000007</v>
      </c>
      <c r="G10" s="5">
        <v>6.56</v>
      </c>
      <c r="H10" s="5">
        <v>7.6</v>
      </c>
      <c r="I10" s="5">
        <v>4.9400000000000004</v>
      </c>
      <c r="J10" s="8">
        <v>3.5</v>
      </c>
    </row>
    <row r="11" spans="1:17" ht="31.5" customHeight="1">
      <c r="A11" s="3" t="s">
        <v>14</v>
      </c>
      <c r="B11" s="5">
        <v>3.68</v>
      </c>
      <c r="C11" s="5">
        <v>1.8</v>
      </c>
      <c r="D11" s="5">
        <v>2.12</v>
      </c>
      <c r="E11" s="5">
        <v>2.5</v>
      </c>
      <c r="F11" s="5">
        <v>9.8000000000000007</v>
      </c>
      <c r="G11" s="5">
        <v>6.56</v>
      </c>
      <c r="H11" s="5">
        <v>7.6</v>
      </c>
      <c r="I11" s="5">
        <v>4.9400000000000004</v>
      </c>
      <c r="J11" s="8">
        <v>3.5</v>
      </c>
    </row>
    <row r="12" spans="1:17" ht="27" customHeight="1">
      <c r="A12" s="3" t="s">
        <v>15</v>
      </c>
      <c r="B12" s="5">
        <v>3.32</v>
      </c>
      <c r="C12" s="5">
        <v>1.8</v>
      </c>
      <c r="D12" s="5">
        <v>2.12</v>
      </c>
      <c r="E12" s="5">
        <v>2.1</v>
      </c>
      <c r="F12" s="5">
        <v>9.8000000000000007</v>
      </c>
      <c r="G12" s="5">
        <v>6.56</v>
      </c>
      <c r="H12" s="5">
        <v>7.6</v>
      </c>
      <c r="I12" s="5">
        <v>4.9400000000000004</v>
      </c>
      <c r="J12" s="8">
        <v>3.5</v>
      </c>
    </row>
    <row r="13" spans="1:17" ht="26.25" customHeight="1">
      <c r="A13" s="3" t="s">
        <v>16</v>
      </c>
      <c r="B13" s="5">
        <v>3.32</v>
      </c>
      <c r="C13" s="5">
        <v>1.8</v>
      </c>
      <c r="D13" s="5">
        <v>2.12</v>
      </c>
      <c r="E13" s="5">
        <v>2.1</v>
      </c>
      <c r="F13" s="5">
        <v>9.4</v>
      </c>
      <c r="G13" s="5">
        <v>6.56</v>
      </c>
      <c r="H13" s="5">
        <v>7.6</v>
      </c>
      <c r="I13" s="5">
        <v>4.9400000000000004</v>
      </c>
      <c r="J13" s="8">
        <v>3.5</v>
      </c>
    </row>
    <row r="14" spans="1:17" ht="26.25" customHeight="1">
      <c r="A14" s="2" t="s">
        <v>17</v>
      </c>
      <c r="B14" s="5">
        <v>3.32</v>
      </c>
      <c r="C14" s="5">
        <v>1.8</v>
      </c>
      <c r="D14" s="5">
        <v>2.12</v>
      </c>
      <c r="E14" s="5">
        <v>2.1</v>
      </c>
      <c r="F14" s="5">
        <v>9.6</v>
      </c>
      <c r="G14" s="5">
        <v>6.56</v>
      </c>
      <c r="H14" s="5">
        <v>10.4</v>
      </c>
      <c r="I14" s="5">
        <v>4.3600000000000003</v>
      </c>
      <c r="J14" s="8">
        <v>7.2</v>
      </c>
    </row>
    <row r="15" spans="1:17" ht="31.95" customHeight="1">
      <c r="A15" s="2" t="s">
        <v>22</v>
      </c>
      <c r="B15" s="5">
        <v>3.32</v>
      </c>
      <c r="C15" s="5">
        <v>1.8</v>
      </c>
      <c r="D15" s="5">
        <v>2.12</v>
      </c>
      <c r="E15" s="5">
        <v>2.1</v>
      </c>
      <c r="F15" s="5">
        <v>9.4</v>
      </c>
      <c r="G15" s="5">
        <v>6.56</v>
      </c>
      <c r="H15" s="5">
        <v>10.4</v>
      </c>
      <c r="I15" s="5">
        <v>4.3600000000000003</v>
      </c>
      <c r="J15" s="8">
        <v>7.2</v>
      </c>
    </row>
    <row r="16" spans="1:17" ht="32.700000000000003" customHeight="1">
      <c r="A16" s="2" t="s">
        <v>24</v>
      </c>
      <c r="B16" s="5">
        <v>3.32</v>
      </c>
      <c r="C16" s="5">
        <v>1.8</v>
      </c>
      <c r="D16" s="5">
        <v>2.12</v>
      </c>
      <c r="E16" s="5">
        <v>2.1</v>
      </c>
      <c r="F16" s="5">
        <v>9.4</v>
      </c>
      <c r="G16" s="5">
        <v>6.56</v>
      </c>
      <c r="H16" s="5">
        <v>11.6</v>
      </c>
      <c r="I16" s="5">
        <v>5.26</v>
      </c>
      <c r="J16" s="8">
        <v>7.2</v>
      </c>
    </row>
    <row r="17" spans="1:10" ht="35.700000000000003" customHeight="1">
      <c r="A17" s="2" t="s">
        <v>25</v>
      </c>
      <c r="B17" s="5">
        <v>3.32</v>
      </c>
      <c r="C17" s="5">
        <v>1.8</v>
      </c>
      <c r="D17" s="5">
        <v>2.12</v>
      </c>
      <c r="E17" s="5">
        <v>2.1</v>
      </c>
      <c r="F17" s="5">
        <v>9.4</v>
      </c>
      <c r="G17" s="5">
        <v>6.56</v>
      </c>
      <c r="H17" s="5">
        <v>11.6</v>
      </c>
      <c r="I17" s="5">
        <v>5.26</v>
      </c>
      <c r="J17" s="8">
        <v>7.1</v>
      </c>
    </row>
    <row r="18" spans="1:10" ht="35.700000000000003" customHeight="1">
      <c r="A18" s="2" t="s">
        <v>26</v>
      </c>
      <c r="B18" s="5">
        <v>3.32</v>
      </c>
      <c r="C18" s="5">
        <v>1.8</v>
      </c>
      <c r="D18" s="5">
        <v>2.12</v>
      </c>
      <c r="E18" s="5">
        <v>2.1</v>
      </c>
      <c r="F18" s="5">
        <v>10</v>
      </c>
      <c r="G18" s="5">
        <v>6.4</v>
      </c>
      <c r="H18" s="5">
        <v>11.6</v>
      </c>
      <c r="I18" s="5">
        <v>5.26</v>
      </c>
      <c r="J18" s="8">
        <v>7.2</v>
      </c>
    </row>
    <row r="19" spans="1:10" ht="35.700000000000003" customHeight="1">
      <c r="A19" s="2" t="s">
        <v>27</v>
      </c>
      <c r="B19" s="5">
        <v>3.32</v>
      </c>
      <c r="C19" s="5">
        <v>1.8</v>
      </c>
      <c r="D19" s="5">
        <v>1.92</v>
      </c>
      <c r="E19" s="5">
        <v>2.1</v>
      </c>
      <c r="F19" s="5">
        <v>9.6999999999999993</v>
      </c>
      <c r="G19" s="5">
        <v>6.32</v>
      </c>
      <c r="H19" s="5">
        <v>9.68</v>
      </c>
      <c r="I19" s="5">
        <v>5.08</v>
      </c>
      <c r="J19" s="8">
        <v>7</v>
      </c>
    </row>
    <row r="20" spans="1:10" ht="35.700000000000003" customHeight="1">
      <c r="A20" s="2" t="s">
        <v>28</v>
      </c>
      <c r="B20" s="5">
        <v>3.32</v>
      </c>
      <c r="C20" s="5">
        <v>1.8</v>
      </c>
      <c r="D20" s="5">
        <v>1.92</v>
      </c>
      <c r="E20" s="5">
        <v>2.2000000000000002</v>
      </c>
      <c r="F20" s="5">
        <v>9.6999999999999993</v>
      </c>
      <c r="G20" s="5">
        <v>6.32</v>
      </c>
      <c r="H20" s="5">
        <v>9.68</v>
      </c>
      <c r="I20" s="5">
        <v>5.08</v>
      </c>
      <c r="J20" s="8">
        <v>7.2</v>
      </c>
    </row>
    <row r="21" spans="1:10" ht="35.700000000000003" customHeight="1">
      <c r="A21" s="12" t="s">
        <v>31</v>
      </c>
      <c r="B21" s="5">
        <v>4.2</v>
      </c>
      <c r="C21" s="5">
        <v>1.8</v>
      </c>
      <c r="D21" s="5">
        <v>1.92</v>
      </c>
      <c r="E21" s="5">
        <v>2.5</v>
      </c>
      <c r="F21" s="5">
        <v>10.4</v>
      </c>
      <c r="G21" s="5">
        <v>6.32</v>
      </c>
      <c r="H21" s="5">
        <v>18</v>
      </c>
      <c r="I21" s="5">
        <v>5.08</v>
      </c>
      <c r="J21" s="14">
        <v>7</v>
      </c>
    </row>
    <row r="22" spans="1:10" ht="35.700000000000003" customHeight="1">
      <c r="A22" s="12" t="s">
        <v>32</v>
      </c>
      <c r="B22" s="5">
        <v>4.66</v>
      </c>
      <c r="C22" s="5">
        <v>1.8</v>
      </c>
      <c r="D22" s="5">
        <v>1.92</v>
      </c>
      <c r="E22" s="5">
        <v>2.5</v>
      </c>
      <c r="F22" s="5">
        <v>13</v>
      </c>
      <c r="G22" s="5">
        <v>7.2</v>
      </c>
      <c r="H22" s="5">
        <v>18</v>
      </c>
      <c r="I22" s="13">
        <v>5.08</v>
      </c>
      <c r="J22" s="8">
        <v>7.2</v>
      </c>
    </row>
    <row r="23" spans="1:10" ht="35.700000000000003" customHeight="1">
      <c r="A23" s="12" t="s">
        <v>33</v>
      </c>
      <c r="B23" s="5">
        <v>4.66</v>
      </c>
      <c r="C23" s="5">
        <v>1.8</v>
      </c>
      <c r="D23" s="5">
        <v>1.92</v>
      </c>
      <c r="E23" s="5">
        <v>2.5</v>
      </c>
      <c r="F23" s="5">
        <v>13</v>
      </c>
      <c r="G23" s="5">
        <v>7.2</v>
      </c>
      <c r="H23" s="5">
        <v>18</v>
      </c>
      <c r="I23" s="13">
        <v>5.08</v>
      </c>
      <c r="J23" s="8">
        <v>7.2</v>
      </c>
    </row>
    <row r="24" spans="1:10" ht="35.700000000000003" customHeight="1">
      <c r="A24" s="12" t="s">
        <v>34</v>
      </c>
      <c r="B24" s="5">
        <v>4.66</v>
      </c>
      <c r="C24" s="5">
        <v>1.8</v>
      </c>
      <c r="D24" s="5">
        <v>1.92</v>
      </c>
      <c r="E24" s="5">
        <v>2.5</v>
      </c>
      <c r="F24" s="5">
        <v>13</v>
      </c>
      <c r="G24" s="5">
        <v>7.2</v>
      </c>
      <c r="H24" s="5">
        <v>18</v>
      </c>
      <c r="I24" s="13">
        <v>5.08</v>
      </c>
      <c r="J24" s="8">
        <v>7.2</v>
      </c>
    </row>
    <row r="25" spans="1:10" ht="35.700000000000003" customHeight="1">
      <c r="A25" s="15" t="s">
        <v>35</v>
      </c>
      <c r="B25" s="5">
        <v>4.5999999999999996</v>
      </c>
      <c r="C25" s="5">
        <v>2.4</v>
      </c>
      <c r="D25" s="5">
        <v>3</v>
      </c>
      <c r="E25" s="5">
        <v>3</v>
      </c>
      <c r="F25" s="5">
        <v>12</v>
      </c>
      <c r="G25" s="5">
        <v>10.1</v>
      </c>
      <c r="H25" s="5">
        <v>11</v>
      </c>
      <c r="I25" s="13">
        <v>5.08</v>
      </c>
      <c r="J25" s="8">
        <v>7.2</v>
      </c>
    </row>
    <row r="26" spans="1:10" ht="35.700000000000003" customHeight="1">
      <c r="A26" s="15" t="s">
        <v>36</v>
      </c>
      <c r="B26" s="5">
        <v>4.5999999999999996</v>
      </c>
      <c r="C26" s="5">
        <v>2.2000000000000002</v>
      </c>
      <c r="D26" s="5">
        <v>2.2000000000000002</v>
      </c>
      <c r="E26" s="5">
        <v>3</v>
      </c>
      <c r="F26" s="5">
        <v>13</v>
      </c>
      <c r="G26" s="5">
        <v>10.1</v>
      </c>
      <c r="H26" s="5">
        <v>14.4</v>
      </c>
      <c r="I26" s="13">
        <v>5.08</v>
      </c>
      <c r="J26" s="16"/>
    </row>
    <row r="27" spans="1:10" ht="35.700000000000003" customHeight="1">
      <c r="A27" s="18" t="s">
        <v>37</v>
      </c>
      <c r="B27" s="17">
        <v>4.9000000000000004</v>
      </c>
      <c r="C27" s="17">
        <v>2.2000000000000002</v>
      </c>
      <c r="D27" s="17">
        <v>2.2000000000000002</v>
      </c>
      <c r="E27" s="17">
        <v>3</v>
      </c>
      <c r="F27" s="17">
        <v>13</v>
      </c>
      <c r="G27" s="17">
        <v>8.8000000000000007</v>
      </c>
      <c r="H27" s="17">
        <v>7.2</v>
      </c>
      <c r="I27" s="17">
        <v>4</v>
      </c>
      <c r="J27" s="16"/>
    </row>
    <row r="28" spans="1:10" ht="35.700000000000003" customHeight="1">
      <c r="A28" s="18" t="s">
        <v>38</v>
      </c>
      <c r="B28" s="17">
        <v>4.9000000000000004</v>
      </c>
      <c r="C28" s="17">
        <v>2.2000000000000002</v>
      </c>
      <c r="D28" s="17">
        <v>2.2000000000000002</v>
      </c>
      <c r="E28" s="17">
        <v>3</v>
      </c>
      <c r="F28" s="17">
        <v>13</v>
      </c>
      <c r="G28" s="17">
        <v>8.8000000000000007</v>
      </c>
      <c r="H28" s="17">
        <v>7.2</v>
      </c>
      <c r="I28" s="17">
        <v>4</v>
      </c>
      <c r="J28" s="16"/>
    </row>
    <row r="29" spans="1:10" ht="27.75" customHeight="1">
      <c r="A29" s="18" t="s">
        <v>39</v>
      </c>
      <c r="B29" s="9">
        <v>5.8</v>
      </c>
      <c r="C29" s="9">
        <v>2.2000000000000002</v>
      </c>
      <c r="D29" s="9">
        <v>2.2000000000000002</v>
      </c>
      <c r="E29" s="9">
        <v>3.1</v>
      </c>
      <c r="F29" s="9">
        <v>13</v>
      </c>
      <c r="G29" s="9">
        <v>8.8000000000000007</v>
      </c>
      <c r="H29" s="9">
        <v>14.7</v>
      </c>
      <c r="I29" s="9">
        <v>8</v>
      </c>
      <c r="J29" s="9"/>
    </row>
    <row r="30" spans="1:10" ht="27.75" customHeight="1">
      <c r="A30" s="18" t="s">
        <v>40</v>
      </c>
      <c r="B30" s="9">
        <v>4.8</v>
      </c>
      <c r="C30" s="9">
        <v>1.8</v>
      </c>
      <c r="D30" s="9">
        <v>4.22</v>
      </c>
      <c r="E30" s="9">
        <v>2.79</v>
      </c>
      <c r="F30" s="9">
        <v>9</v>
      </c>
      <c r="G30" s="9">
        <v>9.4</v>
      </c>
      <c r="H30" s="9">
        <v>12.4</v>
      </c>
      <c r="I30" s="9">
        <v>8</v>
      </c>
      <c r="J30" s="9"/>
    </row>
    <row r="31" spans="1:10" ht="27.75" customHeight="1">
      <c r="A31" s="18" t="s">
        <v>41</v>
      </c>
      <c r="B31" s="9">
        <v>3.9</v>
      </c>
      <c r="C31" s="9">
        <v>1.8</v>
      </c>
      <c r="D31" s="9">
        <v>5.4</v>
      </c>
      <c r="E31" s="9">
        <v>4.7</v>
      </c>
      <c r="F31" s="9">
        <v>10.4</v>
      </c>
      <c r="G31" s="9">
        <v>8.8000000000000007</v>
      </c>
      <c r="H31" s="9">
        <v>14.7</v>
      </c>
      <c r="I31" s="9">
        <v>8</v>
      </c>
      <c r="J31" s="9"/>
    </row>
    <row r="32" spans="1:10" ht="27.75" customHeight="1">
      <c r="B32" s="9">
        <f>B31/2</f>
        <v>1.95</v>
      </c>
      <c r="C32" s="9">
        <f t="shared" ref="C32:I32" si="0">C31/2</f>
        <v>0.9</v>
      </c>
      <c r="D32" s="9">
        <f t="shared" si="0"/>
        <v>2.7</v>
      </c>
      <c r="E32" s="9">
        <f t="shared" si="0"/>
        <v>2.35</v>
      </c>
      <c r="F32" s="9">
        <f t="shared" si="0"/>
        <v>5.2</v>
      </c>
      <c r="G32" s="9">
        <f t="shared" si="0"/>
        <v>4.4000000000000004</v>
      </c>
      <c r="H32" s="9">
        <f t="shared" si="0"/>
        <v>7.35</v>
      </c>
      <c r="I32" s="9">
        <f t="shared" si="0"/>
        <v>4</v>
      </c>
      <c r="J32" s="9"/>
    </row>
    <row r="33" spans="1:10">
      <c r="A33" s="11" t="s">
        <v>29</v>
      </c>
      <c r="B33" s="10">
        <f>B31/B30-1</f>
        <v>-0.1875</v>
      </c>
      <c r="C33" s="10">
        <f t="shared" ref="C33:I33" si="1">C31/C30-1</f>
        <v>0</v>
      </c>
      <c r="D33" s="10">
        <f t="shared" si="1"/>
        <v>0.27962085308056883</v>
      </c>
      <c r="E33" s="10">
        <f t="shared" si="1"/>
        <v>0.68458781362007182</v>
      </c>
      <c r="F33" s="10">
        <f t="shared" si="1"/>
        <v>0.15555555555555567</v>
      </c>
      <c r="G33" s="10">
        <f t="shared" si="1"/>
        <v>-6.3829787234042534E-2</v>
      </c>
      <c r="H33" s="10">
        <f t="shared" si="1"/>
        <v>0.18548387096774177</v>
      </c>
      <c r="I33" s="10">
        <f t="shared" si="1"/>
        <v>0</v>
      </c>
      <c r="J33" s="10"/>
    </row>
    <row r="34" spans="1:10" ht="25.2" customHeight="1">
      <c r="A34" s="11" t="s">
        <v>30</v>
      </c>
      <c r="B34" s="10">
        <f>B31/B2-1</f>
        <v>0.21875</v>
      </c>
      <c r="C34" s="10">
        <f t="shared" ref="C34:I34" si="2">C31/C2-1</f>
        <v>0</v>
      </c>
      <c r="D34" s="10">
        <f t="shared" si="2"/>
        <v>1.7000000000000002</v>
      </c>
      <c r="E34" s="10">
        <f t="shared" si="2"/>
        <v>1.35</v>
      </c>
      <c r="F34" s="10">
        <f t="shared" si="2"/>
        <v>-0.10344827586206895</v>
      </c>
      <c r="G34" s="10">
        <f t="shared" si="2"/>
        <v>0.22222222222222232</v>
      </c>
      <c r="H34" s="10">
        <f t="shared" si="2"/>
        <v>1.2272727272727271</v>
      </c>
      <c r="I34" s="10">
        <f t="shared" si="2"/>
        <v>0.4814814814814814</v>
      </c>
      <c r="J34" s="10"/>
    </row>
    <row r="35" spans="1:10">
      <c r="B35" s="2" t="s">
        <v>1</v>
      </c>
      <c r="C35" s="2" t="s">
        <v>2</v>
      </c>
      <c r="D35" s="2" t="s">
        <v>3</v>
      </c>
      <c r="E35" s="2" t="s">
        <v>4</v>
      </c>
      <c r="F35" s="2" t="s">
        <v>18</v>
      </c>
      <c r="G35" s="2" t="s">
        <v>19</v>
      </c>
      <c r="H35" s="2" t="s">
        <v>20</v>
      </c>
      <c r="I35" s="2" t="s">
        <v>21</v>
      </c>
    </row>
  </sheetData>
  <phoneticPr fontId="1" type="noConversion"/>
  <pageMargins left="0.70060688679612526" right="0.70060688679612526" top="0.75198932895510218" bottom="0.75198932895510218" header="0.29926813962891347" footer="0.29926813962891347"/>
  <pageSetup paperSize="9" scale="79" firstPageNumber="429496729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9" defaultRowHeight="15"/>
  <cols>
    <col min="1" max="16384" width="9" style="1"/>
  </cols>
  <sheetData/>
  <phoneticPr fontId="1" type="noConversion"/>
  <pageMargins left="0.70060688679612526" right="0.70060688679612526" top="0.75198932895510218" bottom="0.75198932895510218" header="0.29926813962891347" footer="0.29926813962891347"/>
  <pageSetup paperSize="9" firstPageNumber="42949672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9" defaultRowHeight="15"/>
  <cols>
    <col min="1" max="16384" width="9" style="1"/>
  </cols>
  <sheetData/>
  <phoneticPr fontId="1" type="noConversion"/>
  <pageMargins left="0.70060688679612526" right="0.70060688679612526" top="0.75198932895510218" bottom="0.75198932895510218" header="0.29926813962891347" footer="0.29926813962891347"/>
  <pageSetup paperSize="9" firstPageNumber="42949672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42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2022-03-14T02:25:23Z</dcterms:created>
  <dcterms:modified xsi:type="dcterms:W3CDTF">2025-03-30T13:25:24Z</dcterms:modified>
</cp:coreProperties>
</file>