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6日\"/>
    </mc:Choice>
  </mc:AlternateContent>
  <xr:revisionPtr revIDLastSave="0" documentId="8_{77A41E58-6B1D-4160-AB37-61E0BE9FBBF5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6" i="1" l="1"/>
  <c r="J6" i="1"/>
  <c r="F7" i="1"/>
  <c r="J7" i="1"/>
  <c r="F8" i="1"/>
  <c r="J8" i="1"/>
  <c r="F9" i="1"/>
  <c r="J9" i="1"/>
  <c r="F10" i="1"/>
  <c r="J10" i="1"/>
  <c r="F11" i="1"/>
  <c r="J11" i="1"/>
  <c r="F12" i="1"/>
  <c r="J12" i="1"/>
  <c r="F13" i="1"/>
  <c r="J13" i="1"/>
  <c r="F14" i="1"/>
  <c r="J14" i="1"/>
  <c r="F15" i="1"/>
  <c r="J15" i="1"/>
  <c r="F16" i="1"/>
  <c r="J16" i="1"/>
  <c r="F17" i="1"/>
  <c r="J17" i="1"/>
  <c r="F18" i="1"/>
  <c r="J18" i="1"/>
  <c r="F19" i="1"/>
  <c r="J19" i="1"/>
  <c r="F20" i="1"/>
  <c r="J20" i="1"/>
  <c r="F21" i="1"/>
  <c r="J21" i="1"/>
  <c r="F22" i="1"/>
  <c r="J22" i="1"/>
  <c r="C23" i="1"/>
  <c r="D23" i="1"/>
  <c r="F23" i="1" s="1"/>
  <c r="E23" i="1"/>
  <c r="G23" i="1"/>
  <c r="H23" i="1"/>
  <c r="J23" i="1" s="1"/>
  <c r="I23" i="1"/>
  <c r="K23" i="1"/>
  <c r="L23" i="1"/>
  <c r="M23" i="1"/>
  <c r="N23" i="1"/>
</calcChain>
</file>

<file path=xl/sharedStrings.xml><?xml version="1.0" encoding="utf-8"?>
<sst xmlns="http://schemas.openxmlformats.org/spreadsheetml/2006/main" count="41" uniqueCount="35">
  <si>
    <t>附件1</t>
  </si>
  <si>
    <t>全市商贸企业复商复市情况统计表（4月26日）</t>
  </si>
  <si>
    <t>序号</t>
  </si>
  <si>
    <t>地区</t>
  </si>
  <si>
    <t>限上企业情况</t>
  </si>
  <si>
    <t>其他各类商贸主体</t>
  </si>
  <si>
    <t>备注</t>
  </si>
  <si>
    <t>企业数量</t>
  </si>
  <si>
    <t>上岗人数</t>
  </si>
  <si>
    <t>主体数量</t>
  </si>
  <si>
    <t>总户数</t>
  </si>
  <si>
    <t>4.26日复市</t>
  </si>
  <si>
    <t>比昨日新增</t>
  </si>
  <si>
    <t>复市率</t>
  </si>
  <si>
    <t>总人数</t>
  </si>
  <si>
    <t>4.26日在岗</t>
  </si>
  <si>
    <t>复岗率</t>
  </si>
  <si>
    <t>朝阳区</t>
  </si>
  <si>
    <t>南关区</t>
  </si>
  <si>
    <t>宽城区</t>
  </si>
  <si>
    <t>绿园区</t>
  </si>
  <si>
    <t>二道区</t>
  </si>
  <si>
    <t>经开区</t>
  </si>
  <si>
    <t>汽开区</t>
  </si>
  <si>
    <t>净月区</t>
  </si>
  <si>
    <t>新区</t>
  </si>
  <si>
    <t>中韩</t>
  </si>
  <si>
    <t>莲花山</t>
  </si>
  <si>
    <t>双阳</t>
  </si>
  <si>
    <t>九台</t>
  </si>
  <si>
    <t>德惠</t>
  </si>
  <si>
    <t>榆树</t>
  </si>
  <si>
    <t>农安</t>
  </si>
  <si>
    <t>公主岭</t>
  </si>
  <si>
    <t>全市合计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</si>
</sst>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1">
    <font>
      <sz val="11"/>
      <color theme="1"/>
      <name val="等线"/>
      <charset val="134"/>
      <scheme val="minor"/>
    </font>
    <font>
      <sz val="20"/>
      <name val="方正小标宋简体"/>
      <charset val="134"/>
    </font>
    <font>
      <sz val="14"/>
      <name val="方正小标宋简体"/>
      <charset val="134"/>
    </font>
    <font>
      <sz val="12"/>
      <name val="方正小标宋简体"/>
      <charset val="134"/>
    </font>
    <font>
      <b/>
      <sz val="11"/>
      <color theme="1"/>
      <name val="等线"/>
      <charset val="134"/>
      <scheme val="minor"/>
    </font>
    <font>
      <sz val="14"/>
      <color theme="1"/>
      <name val="方正小标宋简体"/>
      <charset val="134"/>
    </font>
    <font>
      <sz val="1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4"/>
      <name val="等线"/>
      <charset val="134"/>
      <scheme val="minor"/>
    </font>
    <font>
      <b/>
      <sz val="12"/>
      <name val="等线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10" fontId="0" fillId="0" borderId="0" xfId="0" applyNumberFormat="1" applyFont="1">
      <alignment vertical="center"/>
    </xf>
    <xf numFmtId="0" fontId="7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0" fontId="9" fillId="0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vertical="center" wrapText="1"/>
    </xf>
    <xf numFmtId="176" fontId="9" fillId="0" borderId="1" xfId="0" applyNumberFormat="1" applyFont="1" applyFill="1" applyBorder="1" applyAlignment="1">
      <alignment vertical="center" wrapText="1"/>
    </xf>
    <xf numFmtId="176" fontId="9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zoomScale="80" zoomScaleSheetLayoutView="100" workbookViewId="0">
      <selection activeCell="C3" sqref="C3:N3"/>
    </sheetView>
  </sheetViews>
  <sheetFormatPr defaultColWidth="9" defaultRowHeight="14.15"/>
  <cols>
    <col min="1" max="1" width="5.35546875" style="6" customWidth="1"/>
    <col min="2" max="2" width="10.92578125" style="7" customWidth="1"/>
    <col min="3" max="3" width="8.7109375" style="7" customWidth="1"/>
    <col min="4" max="4" width="13.140625" style="7" customWidth="1"/>
    <col min="5" max="5" width="13.140625" style="8" customWidth="1"/>
    <col min="6" max="6" width="12.7109375" style="8" customWidth="1"/>
    <col min="7" max="7" width="12.7109375" style="7" customWidth="1"/>
    <col min="8" max="8" width="12.78515625" style="7" customWidth="1"/>
    <col min="9" max="9" width="12.78515625" style="8" customWidth="1"/>
    <col min="10" max="10" width="12.7109375" style="8" customWidth="1"/>
    <col min="11" max="11" width="12.78515625" style="7" customWidth="1"/>
    <col min="12" max="14" width="13.7109375" style="7" customWidth="1"/>
    <col min="15" max="15" width="7.640625" style="7" customWidth="1"/>
    <col min="16" max="16384" width="9" style="7"/>
  </cols>
  <sheetData>
    <row r="1" spans="1:15" ht="18">
      <c r="A1" s="9" t="s">
        <v>0</v>
      </c>
    </row>
    <row r="2" spans="1:15" ht="35.049999999999997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s="1" customFormat="1" ht="28" customHeight="1">
      <c r="A3" s="38" t="s">
        <v>2</v>
      </c>
      <c r="B3" s="39" t="s">
        <v>3</v>
      </c>
      <c r="C3" s="29" t="s">
        <v>4</v>
      </c>
      <c r="D3" s="30"/>
      <c r="E3" s="30"/>
      <c r="F3" s="30"/>
      <c r="G3" s="30"/>
      <c r="H3" s="30"/>
      <c r="I3" s="30"/>
      <c r="J3" s="31"/>
      <c r="K3" s="32" t="s">
        <v>5</v>
      </c>
      <c r="L3" s="30"/>
      <c r="M3" s="30"/>
      <c r="N3" s="31"/>
      <c r="O3" s="40" t="s">
        <v>6</v>
      </c>
    </row>
    <row r="4" spans="1:15" s="1" customFormat="1" ht="31" customHeight="1">
      <c r="A4" s="38"/>
      <c r="B4" s="39"/>
      <c r="C4" s="29" t="s">
        <v>7</v>
      </c>
      <c r="D4" s="30"/>
      <c r="E4" s="33"/>
      <c r="F4" s="34"/>
      <c r="G4" s="35" t="s">
        <v>8</v>
      </c>
      <c r="H4" s="33"/>
      <c r="I4" s="33"/>
      <c r="J4" s="34"/>
      <c r="K4" s="36" t="s">
        <v>9</v>
      </c>
      <c r="L4" s="37"/>
      <c r="M4" s="36" t="s">
        <v>8</v>
      </c>
      <c r="N4" s="37"/>
      <c r="O4" s="41"/>
    </row>
    <row r="5" spans="1:15" s="2" customFormat="1" ht="34" customHeight="1">
      <c r="A5" s="38"/>
      <c r="B5" s="39"/>
      <c r="C5" s="10" t="s">
        <v>10</v>
      </c>
      <c r="D5" s="10" t="s">
        <v>11</v>
      </c>
      <c r="E5" s="15" t="s">
        <v>12</v>
      </c>
      <c r="F5" s="10" t="s">
        <v>13</v>
      </c>
      <c r="G5" s="10" t="s">
        <v>14</v>
      </c>
      <c r="H5" s="10" t="s">
        <v>15</v>
      </c>
      <c r="I5" s="15" t="s">
        <v>12</v>
      </c>
      <c r="J5" s="10" t="s">
        <v>16</v>
      </c>
      <c r="K5" s="10" t="s">
        <v>11</v>
      </c>
      <c r="L5" s="15" t="s">
        <v>12</v>
      </c>
      <c r="M5" s="10" t="s">
        <v>15</v>
      </c>
      <c r="N5" s="10" t="s">
        <v>12</v>
      </c>
      <c r="O5" s="42"/>
    </row>
    <row r="6" spans="1:15" s="3" customFormat="1" ht="30" customHeight="1">
      <c r="A6" s="11">
        <v>1</v>
      </c>
      <c r="B6" s="11" t="s">
        <v>17</v>
      </c>
      <c r="C6" s="12">
        <v>194</v>
      </c>
      <c r="D6" s="13">
        <v>29</v>
      </c>
      <c r="E6" s="16">
        <v>0</v>
      </c>
      <c r="F6" s="17">
        <f>D6/C6</f>
        <v>0.14948453608247422</v>
      </c>
      <c r="G6" s="12">
        <v>12899</v>
      </c>
      <c r="H6" s="12">
        <v>2115</v>
      </c>
      <c r="I6" s="18">
        <v>0</v>
      </c>
      <c r="J6" s="17">
        <f>H6/G6</f>
        <v>0.16396619893014963</v>
      </c>
      <c r="K6" s="12">
        <v>781</v>
      </c>
      <c r="L6" s="19">
        <v>0</v>
      </c>
      <c r="M6" s="14">
        <v>4450</v>
      </c>
      <c r="N6" s="18">
        <v>0</v>
      </c>
      <c r="O6" s="23"/>
    </row>
    <row r="7" spans="1:15" s="3" customFormat="1" ht="30" customHeight="1">
      <c r="A7" s="11">
        <v>2</v>
      </c>
      <c r="B7" s="11" t="s">
        <v>18</v>
      </c>
      <c r="C7" s="14">
        <v>170</v>
      </c>
      <c r="D7" s="13">
        <v>34</v>
      </c>
      <c r="E7" s="16">
        <v>0</v>
      </c>
      <c r="F7" s="17">
        <f t="shared" ref="F7:F23" si="0">D7/C7</f>
        <v>0.2</v>
      </c>
      <c r="G7" s="14">
        <v>17189</v>
      </c>
      <c r="H7" s="14">
        <v>3820</v>
      </c>
      <c r="I7" s="18">
        <v>0</v>
      </c>
      <c r="J7" s="17">
        <f t="shared" ref="J7:J23" si="1">H7/G7</f>
        <v>0.22223515038687533</v>
      </c>
      <c r="K7" s="20">
        <v>900</v>
      </c>
      <c r="L7" s="21">
        <v>0</v>
      </c>
      <c r="M7" s="22">
        <v>7054</v>
      </c>
      <c r="N7" s="24">
        <v>0</v>
      </c>
      <c r="O7" s="25"/>
    </row>
    <row r="8" spans="1:15" s="3" customFormat="1" ht="30" customHeight="1">
      <c r="A8" s="11">
        <v>3</v>
      </c>
      <c r="B8" s="11" t="s">
        <v>19</v>
      </c>
      <c r="C8" s="14">
        <v>106</v>
      </c>
      <c r="D8" s="13">
        <v>29</v>
      </c>
      <c r="E8" s="16">
        <v>2</v>
      </c>
      <c r="F8" s="17">
        <f t="shared" si="0"/>
        <v>0.27358490566037735</v>
      </c>
      <c r="G8" s="14">
        <v>9766</v>
      </c>
      <c r="H8" s="14">
        <v>1541</v>
      </c>
      <c r="I8" s="18">
        <v>5</v>
      </c>
      <c r="J8" s="17">
        <f t="shared" si="1"/>
        <v>0.15779234077411428</v>
      </c>
      <c r="K8" s="22">
        <v>618</v>
      </c>
      <c r="L8" s="21">
        <v>2</v>
      </c>
      <c r="M8" s="22">
        <v>2962</v>
      </c>
      <c r="N8" s="24">
        <v>7</v>
      </c>
      <c r="O8" s="25"/>
    </row>
    <row r="9" spans="1:15" s="3" customFormat="1" ht="30" customHeight="1">
      <c r="A9" s="11">
        <v>4</v>
      </c>
      <c r="B9" s="11" t="s">
        <v>20</v>
      </c>
      <c r="C9" s="14">
        <v>140</v>
      </c>
      <c r="D9" s="13">
        <v>20</v>
      </c>
      <c r="E9" s="16">
        <v>0</v>
      </c>
      <c r="F9" s="17">
        <f t="shared" si="0"/>
        <v>0.14285714285714285</v>
      </c>
      <c r="G9" s="14">
        <v>7932</v>
      </c>
      <c r="H9" s="14">
        <v>1385</v>
      </c>
      <c r="I9" s="18">
        <v>0</v>
      </c>
      <c r="J9" s="17">
        <f t="shared" si="1"/>
        <v>0.17460917801311146</v>
      </c>
      <c r="K9" s="22">
        <v>650</v>
      </c>
      <c r="L9" s="21">
        <v>-1</v>
      </c>
      <c r="M9" s="22">
        <v>3176</v>
      </c>
      <c r="N9" s="24">
        <v>-53</v>
      </c>
      <c r="O9" s="26"/>
    </row>
    <row r="10" spans="1:15" s="3" customFormat="1" ht="30" customHeight="1">
      <c r="A10" s="11">
        <v>5</v>
      </c>
      <c r="B10" s="11" t="s">
        <v>21</v>
      </c>
      <c r="C10" s="14">
        <v>131</v>
      </c>
      <c r="D10" s="13">
        <v>23</v>
      </c>
      <c r="E10" s="16">
        <v>0</v>
      </c>
      <c r="F10" s="17">
        <f t="shared" si="0"/>
        <v>0.17557251908396945</v>
      </c>
      <c r="G10" s="14">
        <v>4762</v>
      </c>
      <c r="H10" s="14">
        <v>1995</v>
      </c>
      <c r="I10" s="18">
        <v>0</v>
      </c>
      <c r="J10" s="17">
        <f t="shared" si="1"/>
        <v>0.41894162116757666</v>
      </c>
      <c r="K10" s="22">
        <v>703</v>
      </c>
      <c r="L10" s="21">
        <v>0</v>
      </c>
      <c r="M10" s="22">
        <v>2625</v>
      </c>
      <c r="N10" s="24">
        <v>0</v>
      </c>
      <c r="O10" s="26"/>
    </row>
    <row r="11" spans="1:15" s="3" customFormat="1" ht="30" customHeight="1">
      <c r="A11" s="11">
        <v>6</v>
      </c>
      <c r="B11" s="11" t="s">
        <v>22</v>
      </c>
      <c r="C11" s="14">
        <v>140</v>
      </c>
      <c r="D11" s="13">
        <v>18</v>
      </c>
      <c r="E11" s="16">
        <v>0</v>
      </c>
      <c r="F11" s="17">
        <f t="shared" si="0"/>
        <v>0.12857142857142856</v>
      </c>
      <c r="G11" s="14">
        <v>5600</v>
      </c>
      <c r="H11" s="14">
        <v>947</v>
      </c>
      <c r="I11" s="18">
        <v>0</v>
      </c>
      <c r="J11" s="17">
        <f t="shared" si="1"/>
        <v>0.16910714285714284</v>
      </c>
      <c r="K11" s="22">
        <v>374</v>
      </c>
      <c r="L11" s="21">
        <v>15</v>
      </c>
      <c r="M11" s="22">
        <v>1313</v>
      </c>
      <c r="N11" s="24">
        <v>20</v>
      </c>
      <c r="O11" s="26"/>
    </row>
    <row r="12" spans="1:15" s="4" customFormat="1" ht="30" customHeight="1">
      <c r="A12" s="11">
        <v>7</v>
      </c>
      <c r="B12" s="11" t="s">
        <v>23</v>
      </c>
      <c r="C12" s="14">
        <v>135</v>
      </c>
      <c r="D12" s="13">
        <v>18</v>
      </c>
      <c r="E12" s="16">
        <v>0</v>
      </c>
      <c r="F12" s="17">
        <f t="shared" si="0"/>
        <v>0.13333333333333333</v>
      </c>
      <c r="G12" s="14">
        <v>8515</v>
      </c>
      <c r="H12" s="14">
        <v>759</v>
      </c>
      <c r="I12" s="18">
        <v>0</v>
      </c>
      <c r="J12" s="17">
        <f t="shared" si="1"/>
        <v>8.9136817381092193E-2</v>
      </c>
      <c r="K12" s="22">
        <v>500</v>
      </c>
      <c r="L12" s="21">
        <v>0</v>
      </c>
      <c r="M12" s="22">
        <v>1100</v>
      </c>
      <c r="N12" s="24">
        <v>0</v>
      </c>
      <c r="O12" s="26"/>
    </row>
    <row r="13" spans="1:15" s="3" customFormat="1" ht="30" customHeight="1">
      <c r="A13" s="11">
        <v>8</v>
      </c>
      <c r="B13" s="11" t="s">
        <v>24</v>
      </c>
      <c r="C13" s="14">
        <v>157</v>
      </c>
      <c r="D13" s="13">
        <v>16</v>
      </c>
      <c r="E13" s="16">
        <v>0</v>
      </c>
      <c r="F13" s="17">
        <f t="shared" si="0"/>
        <v>0.10191082802547771</v>
      </c>
      <c r="G13" s="14">
        <v>5806</v>
      </c>
      <c r="H13" s="14">
        <v>333</v>
      </c>
      <c r="I13" s="18">
        <v>0</v>
      </c>
      <c r="J13" s="17">
        <f t="shared" si="1"/>
        <v>5.7354460902514642E-2</v>
      </c>
      <c r="K13" s="22">
        <v>233</v>
      </c>
      <c r="L13" s="21">
        <v>0</v>
      </c>
      <c r="M13" s="22">
        <v>1512</v>
      </c>
      <c r="N13" s="24">
        <v>0</v>
      </c>
      <c r="O13" s="26"/>
    </row>
    <row r="14" spans="1:15" s="3" customFormat="1" ht="30" customHeight="1">
      <c r="A14" s="11">
        <v>9</v>
      </c>
      <c r="B14" s="11" t="s">
        <v>25</v>
      </c>
      <c r="C14" s="14">
        <v>131</v>
      </c>
      <c r="D14" s="13">
        <v>15</v>
      </c>
      <c r="E14" s="16">
        <v>0</v>
      </c>
      <c r="F14" s="17">
        <f t="shared" si="0"/>
        <v>0.11450381679389313</v>
      </c>
      <c r="G14" s="14">
        <v>2379</v>
      </c>
      <c r="H14" s="14">
        <v>816</v>
      </c>
      <c r="I14" s="18">
        <v>0</v>
      </c>
      <c r="J14" s="17">
        <f t="shared" si="1"/>
        <v>0.34300126103404793</v>
      </c>
      <c r="K14" s="22">
        <v>329</v>
      </c>
      <c r="L14" s="21">
        <v>0</v>
      </c>
      <c r="M14" s="22">
        <v>3691</v>
      </c>
      <c r="N14" s="24">
        <v>0</v>
      </c>
      <c r="O14" s="26"/>
    </row>
    <row r="15" spans="1:15" s="3" customFormat="1" ht="30" customHeight="1">
      <c r="A15" s="11">
        <v>10</v>
      </c>
      <c r="B15" s="11" t="s">
        <v>26</v>
      </c>
      <c r="C15" s="14">
        <v>6</v>
      </c>
      <c r="D15" s="13">
        <v>5</v>
      </c>
      <c r="E15" s="16">
        <v>0</v>
      </c>
      <c r="F15" s="17">
        <f t="shared" si="0"/>
        <v>0.83333333333333337</v>
      </c>
      <c r="G15" s="14">
        <v>1489</v>
      </c>
      <c r="H15" s="14">
        <v>1175</v>
      </c>
      <c r="I15" s="18">
        <v>107</v>
      </c>
      <c r="J15" s="17">
        <f t="shared" si="1"/>
        <v>0.78912021490933515</v>
      </c>
      <c r="K15" s="22">
        <v>13</v>
      </c>
      <c r="L15" s="21">
        <v>0</v>
      </c>
      <c r="M15" s="22">
        <v>48</v>
      </c>
      <c r="N15" s="24">
        <v>0</v>
      </c>
      <c r="O15" s="27"/>
    </row>
    <row r="16" spans="1:15" s="3" customFormat="1" ht="30" customHeight="1">
      <c r="A16" s="11">
        <v>11</v>
      </c>
      <c r="B16" s="11" t="s">
        <v>27</v>
      </c>
      <c r="C16" s="14">
        <v>6</v>
      </c>
      <c r="D16" s="13">
        <v>0</v>
      </c>
      <c r="E16" s="16">
        <v>0</v>
      </c>
      <c r="F16" s="17">
        <f t="shared" si="0"/>
        <v>0</v>
      </c>
      <c r="G16" s="14">
        <v>77</v>
      </c>
      <c r="H16" s="14">
        <v>0</v>
      </c>
      <c r="I16" s="18">
        <v>0</v>
      </c>
      <c r="J16" s="17">
        <f t="shared" si="1"/>
        <v>0</v>
      </c>
      <c r="K16" s="22">
        <v>50</v>
      </c>
      <c r="L16" s="21">
        <v>3</v>
      </c>
      <c r="M16" s="22">
        <v>248</v>
      </c>
      <c r="N16" s="24">
        <v>4</v>
      </c>
      <c r="O16" s="27"/>
    </row>
    <row r="17" spans="1:15" s="3" customFormat="1" ht="30" customHeight="1">
      <c r="A17" s="11">
        <v>12</v>
      </c>
      <c r="B17" s="11" t="s">
        <v>28</v>
      </c>
      <c r="C17" s="14">
        <v>16</v>
      </c>
      <c r="D17" s="13">
        <v>14</v>
      </c>
      <c r="E17" s="16">
        <v>0</v>
      </c>
      <c r="F17" s="17">
        <f t="shared" si="0"/>
        <v>0.875</v>
      </c>
      <c r="G17" s="14">
        <v>1508</v>
      </c>
      <c r="H17" s="14">
        <v>1023</v>
      </c>
      <c r="I17" s="18">
        <v>0</v>
      </c>
      <c r="J17" s="17">
        <f t="shared" si="1"/>
        <v>0.67838196286472152</v>
      </c>
      <c r="K17" s="22"/>
      <c r="L17" s="21"/>
      <c r="M17" s="22"/>
      <c r="N17" s="24"/>
      <c r="O17" s="27"/>
    </row>
    <row r="18" spans="1:15" s="3" customFormat="1" ht="30" customHeight="1">
      <c r="A18" s="11">
        <v>13</v>
      </c>
      <c r="B18" s="11" t="s">
        <v>29</v>
      </c>
      <c r="C18" s="14">
        <v>51</v>
      </c>
      <c r="D18" s="13">
        <v>19</v>
      </c>
      <c r="E18" s="16">
        <v>0</v>
      </c>
      <c r="F18" s="17">
        <f t="shared" si="0"/>
        <v>0.37254901960784315</v>
      </c>
      <c r="G18" s="14">
        <v>2155</v>
      </c>
      <c r="H18" s="14">
        <v>680</v>
      </c>
      <c r="I18" s="18">
        <v>0</v>
      </c>
      <c r="J18" s="17">
        <f t="shared" si="1"/>
        <v>0.31554524361948955</v>
      </c>
      <c r="K18" s="22"/>
      <c r="L18" s="21"/>
      <c r="M18" s="22"/>
      <c r="N18" s="24"/>
      <c r="O18" s="27"/>
    </row>
    <row r="19" spans="1:15" s="3" customFormat="1" ht="30" customHeight="1">
      <c r="A19" s="11">
        <v>14</v>
      </c>
      <c r="B19" s="11" t="s">
        <v>30</v>
      </c>
      <c r="C19" s="14">
        <v>13</v>
      </c>
      <c r="D19" s="13">
        <v>8</v>
      </c>
      <c r="E19" s="16">
        <v>0</v>
      </c>
      <c r="F19" s="17">
        <f t="shared" si="0"/>
        <v>0.61538461538461542</v>
      </c>
      <c r="G19" s="14">
        <v>667</v>
      </c>
      <c r="H19" s="14">
        <v>396</v>
      </c>
      <c r="I19" s="18">
        <v>0</v>
      </c>
      <c r="J19" s="17">
        <f t="shared" si="1"/>
        <v>0.59370314842578709</v>
      </c>
      <c r="K19" s="22"/>
      <c r="L19" s="21"/>
      <c r="M19" s="22"/>
      <c r="N19" s="24"/>
      <c r="O19" s="27"/>
    </row>
    <row r="20" spans="1:15" s="3" customFormat="1" ht="30" customHeight="1">
      <c r="A20" s="11">
        <v>15</v>
      </c>
      <c r="B20" s="11" t="s">
        <v>31</v>
      </c>
      <c r="C20" s="14">
        <v>33</v>
      </c>
      <c r="D20" s="13">
        <v>22</v>
      </c>
      <c r="E20" s="16">
        <v>1</v>
      </c>
      <c r="F20" s="17">
        <f t="shared" si="0"/>
        <v>0.66666666666666663</v>
      </c>
      <c r="G20" s="14">
        <v>1936</v>
      </c>
      <c r="H20" s="14">
        <v>846</v>
      </c>
      <c r="I20" s="18">
        <v>0</v>
      </c>
      <c r="J20" s="17">
        <f t="shared" si="1"/>
        <v>0.43698347107438018</v>
      </c>
      <c r="K20" s="22"/>
      <c r="L20" s="21"/>
      <c r="M20" s="22"/>
      <c r="N20" s="24"/>
      <c r="O20" s="27"/>
    </row>
    <row r="21" spans="1:15" s="3" customFormat="1" ht="30" customHeight="1">
      <c r="A21" s="11">
        <v>16</v>
      </c>
      <c r="B21" s="11" t="s">
        <v>32</v>
      </c>
      <c r="C21" s="14">
        <v>52</v>
      </c>
      <c r="D21" s="13">
        <v>25</v>
      </c>
      <c r="E21" s="16">
        <v>12</v>
      </c>
      <c r="F21" s="17">
        <f t="shared" si="0"/>
        <v>0.48076923076923078</v>
      </c>
      <c r="G21" s="14">
        <v>981</v>
      </c>
      <c r="H21" s="14">
        <v>408</v>
      </c>
      <c r="I21" s="18">
        <v>79</v>
      </c>
      <c r="J21" s="17">
        <f t="shared" si="1"/>
        <v>0.41590214067278286</v>
      </c>
      <c r="K21" s="22"/>
      <c r="L21" s="21"/>
      <c r="M21" s="22"/>
      <c r="N21" s="24"/>
      <c r="O21" s="27"/>
    </row>
    <row r="22" spans="1:15" s="3" customFormat="1" ht="30" customHeight="1">
      <c r="A22" s="11">
        <v>17</v>
      </c>
      <c r="B22" s="11" t="s">
        <v>33</v>
      </c>
      <c r="C22" s="14">
        <v>23</v>
      </c>
      <c r="D22" s="13">
        <v>16</v>
      </c>
      <c r="E22" s="16">
        <v>0</v>
      </c>
      <c r="F22" s="17">
        <f t="shared" si="0"/>
        <v>0.69565217391304346</v>
      </c>
      <c r="G22" s="14">
        <v>1893</v>
      </c>
      <c r="H22" s="14">
        <v>755</v>
      </c>
      <c r="I22" s="18">
        <v>0</v>
      </c>
      <c r="J22" s="17">
        <f t="shared" si="1"/>
        <v>0.39883782356048603</v>
      </c>
      <c r="K22" s="22"/>
      <c r="L22" s="21"/>
      <c r="M22" s="22"/>
      <c r="N22" s="24"/>
      <c r="O22" s="27"/>
    </row>
    <row r="23" spans="1:15" s="5" customFormat="1" ht="34" customHeight="1">
      <c r="A23" s="11"/>
      <c r="B23" s="11" t="s">
        <v>34</v>
      </c>
      <c r="C23" s="14">
        <f>SUM(C6:C22)</f>
        <v>1504</v>
      </c>
      <c r="D23" s="14">
        <f>SUM(D6:D22)</f>
        <v>311</v>
      </c>
      <c r="E23" s="18">
        <f>SUM(E6:E22)</f>
        <v>15</v>
      </c>
      <c r="F23" s="17">
        <f t="shared" si="0"/>
        <v>0.20678191489361702</v>
      </c>
      <c r="G23" s="14">
        <f>SUM(G6:G22)</f>
        <v>85554</v>
      </c>
      <c r="H23" s="14">
        <f>SUM(H6:H22)</f>
        <v>18994</v>
      </c>
      <c r="I23" s="18">
        <f>SUM(I6:I22)</f>
        <v>191</v>
      </c>
      <c r="J23" s="17">
        <f t="shared" si="1"/>
        <v>0.22201182878649742</v>
      </c>
      <c r="K23" s="14">
        <f>SUM(K6:K22)</f>
        <v>5151</v>
      </c>
      <c r="L23" s="18">
        <f>SUM(L6:L22)</f>
        <v>19</v>
      </c>
      <c r="M23" s="14">
        <f>SUM(M6:M22)</f>
        <v>28179</v>
      </c>
      <c r="N23" s="18">
        <f>SUM(N6:N22)</f>
        <v>-22</v>
      </c>
      <c r="O23" s="14"/>
    </row>
  </sheetData>
  <mergeCells count="10">
    <mergeCell ref="A2:O2"/>
    <mergeCell ref="C3:J3"/>
    <mergeCell ref="K3:N3"/>
    <mergeCell ref="C4:F4"/>
    <mergeCell ref="G4:J4"/>
    <mergeCell ref="K4:L4"/>
    <mergeCell ref="M4:N4"/>
    <mergeCell ref="A3:A5"/>
    <mergeCell ref="B3:B5"/>
    <mergeCell ref="O3:O5"/>
  </mergeCells>
  <phoneticPr fontId="10" type="noConversion"/>
  <pageMargins left="0.75" right="0.66874999999999996" top="0.51180555555555551" bottom="0.51180555555555551" header="0.5" footer="0.5"/>
  <pageSetup paperSize="9" scale="75" orientation="landscape" r:id="rId1"/>
  <ignoredErrors>
    <ignoredError sqref="F23 H23:J2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2022-04-27T17:30:42Z</dcterms:created>
  <dcterms:modified xsi:type="dcterms:W3CDTF">2025-03-30T13:22:48Z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