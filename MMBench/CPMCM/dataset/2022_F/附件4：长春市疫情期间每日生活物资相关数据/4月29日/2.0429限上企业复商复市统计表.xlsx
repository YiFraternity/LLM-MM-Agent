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9日\"/>
    </mc:Choice>
  </mc:AlternateContent>
  <xr:revisionPtr revIDLastSave="0" documentId="8_{84C2AF9C-6441-41BB-9E33-634F132BE6AB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S5" i="1" l="1"/>
  <c r="T5" i="1"/>
  <c r="U5" i="1"/>
  <c r="V5" i="1"/>
  <c r="S6" i="1"/>
  <c r="T6" i="1"/>
  <c r="U6" i="1"/>
  <c r="V6" i="1"/>
  <c r="S7" i="1"/>
  <c r="S22" i="1" s="1"/>
  <c r="T7" i="1"/>
  <c r="T22" i="1" s="1"/>
  <c r="U7" i="1"/>
  <c r="V7" i="1"/>
  <c r="S8" i="1"/>
  <c r="T8" i="1"/>
  <c r="U8" i="1"/>
  <c r="V8" i="1"/>
  <c r="S9" i="1"/>
  <c r="T9" i="1"/>
  <c r="U9" i="1"/>
  <c r="V9" i="1"/>
  <c r="S10" i="1"/>
  <c r="T10" i="1"/>
  <c r="U10" i="1"/>
  <c r="V10" i="1"/>
  <c r="S11" i="1"/>
  <c r="T11" i="1"/>
  <c r="U11" i="1"/>
  <c r="V11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S21" i="1"/>
  <c r="T21" i="1"/>
  <c r="U21" i="1"/>
  <c r="V21" i="1"/>
  <c r="C22" i="1"/>
  <c r="D22" i="1"/>
  <c r="U22" i="1" s="1"/>
  <c r="E22" i="1"/>
  <c r="F22" i="1"/>
  <c r="V22" i="1" s="1"/>
  <c r="G22" i="1"/>
  <c r="H22" i="1"/>
  <c r="I22" i="1"/>
  <c r="J22" i="1"/>
  <c r="K22" i="1"/>
  <c r="L22" i="1"/>
  <c r="M22" i="1"/>
  <c r="N22" i="1"/>
  <c r="O22" i="1"/>
  <c r="P22" i="1"/>
  <c r="Q22" i="1"/>
  <c r="R22" i="1"/>
  <c r="W22" i="1"/>
  <c r="X22" i="1"/>
</calcChain>
</file>

<file path=xl/sharedStrings.xml><?xml version="1.0" encoding="utf-8"?>
<sst xmlns="http://schemas.openxmlformats.org/spreadsheetml/2006/main" count="63" uniqueCount="40">
  <si>
    <t>附件2</t>
  </si>
  <si>
    <t>各区限上企业复商复市情况统计表</t>
  </si>
  <si>
    <t>序号</t>
  </si>
  <si>
    <t>地区</t>
  </si>
  <si>
    <t>限上批发企业</t>
  </si>
  <si>
    <t>限上零售企业</t>
  </si>
  <si>
    <t>限上住宿企业</t>
  </si>
  <si>
    <t>限上餐饮企业</t>
  </si>
  <si>
    <t>限上企业</t>
  </si>
  <si>
    <t>限上
企业
核酸
检测
人数</t>
  </si>
  <si>
    <t>限上
企业
抗原
检测
人数</t>
  </si>
  <si>
    <t>未做
核酸
原因</t>
  </si>
  <si>
    <t>总户数</t>
  </si>
  <si>
    <t>复市
户数</t>
  </si>
  <si>
    <t>总人数</t>
  </si>
  <si>
    <t>复岗
人数</t>
  </si>
  <si>
    <t>复岗人数</t>
  </si>
  <si>
    <t>总复
市数</t>
  </si>
  <si>
    <t>总返岗人数</t>
  </si>
  <si>
    <t>总复市率</t>
  </si>
  <si>
    <t>总返岗率</t>
  </si>
  <si>
    <t>中韩</t>
  </si>
  <si>
    <t>汽开区</t>
  </si>
  <si>
    <t>宽城区</t>
  </si>
  <si>
    <t>新区</t>
  </si>
  <si>
    <t>南关区</t>
  </si>
  <si>
    <t>朝阳区</t>
  </si>
  <si>
    <t>二道区</t>
  </si>
  <si>
    <t>绿园区</t>
  </si>
  <si>
    <t>经开区</t>
  </si>
  <si>
    <t>净月区</t>
  </si>
  <si>
    <t>莲花山</t>
  </si>
  <si>
    <t>公主岭</t>
  </si>
  <si>
    <t>——</t>
  </si>
  <si>
    <t>榆树</t>
  </si>
  <si>
    <t>双阳</t>
  </si>
  <si>
    <t>德惠</t>
  </si>
  <si>
    <t>农安</t>
  </si>
  <si>
    <t>九台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</si>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</sst>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indexed="8"/>
      <name val="宋体"/>
      <charset val="134"/>
    </font>
    <font>
      <sz val="11"/>
      <color indexed="8"/>
      <name val="方正小标宋简体"/>
      <charset val="134"/>
    </font>
    <font>
      <b/>
      <sz val="12"/>
      <color indexed="8"/>
      <name val="宋体"/>
      <charset val="134"/>
    </font>
    <font>
      <b/>
      <sz val="18"/>
      <color indexed="8"/>
      <name val="宋体"/>
      <charset val="134"/>
    </font>
    <font>
      <sz val="10"/>
      <color indexed="8"/>
      <name val="方正小标宋简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8"/>
      <color indexed="8"/>
      <name val="方正小标宋简体"/>
      <charset val="134"/>
    </font>
    <font>
      <b/>
      <sz val="10"/>
      <color indexed="8"/>
      <name val="宋体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29">
    <xf numFmtId="0" fontId="0" fillId="0" borderId="0" xfId="0" applyProtection="1">
      <alignment vertical="center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 wrapText="1"/>
    </xf>
    <xf numFmtId="0" fontId="0" fillId="0" borderId="0" xfId="0" applyFont="1" applyAlignment="1" applyProtection="1">
      <alignment vertical="center" wrapText="1"/>
    </xf>
    <xf numFmtId="49" fontId="4" fillId="0" borderId="1" xfId="0" applyNumberFormat="1" applyFont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49" fontId="4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</xf>
    <xf numFmtId="10" fontId="5" fillId="3" borderId="1" xfId="0" applyNumberFormat="1" applyFont="1" applyFill="1" applyBorder="1" applyAlignment="1" applyProtection="1">
      <alignment horizontal="center" vertical="center" wrapText="1"/>
    </xf>
    <xf numFmtId="10" fontId="5" fillId="0" borderId="1" xfId="0" applyNumberFormat="1" applyFont="1" applyFill="1" applyBorder="1" applyAlignment="1" applyProtection="1">
      <alignment horizontal="center" vertical="center" wrapText="1"/>
    </xf>
    <xf numFmtId="10" fontId="6" fillId="3" borderId="1" xfId="0" applyNumberFormat="1" applyFont="1" applyFill="1" applyBorder="1" applyAlignment="1" applyProtection="1">
      <alignment horizontal="center" vertical="center" wrapText="1"/>
    </xf>
    <xf numFmtId="10" fontId="6" fillId="0" borderId="1" xfId="0" applyNumberFormat="1" applyFont="1" applyFill="1" applyBorder="1" applyAlignment="1" applyProtection="1">
      <alignment horizontal="center" vertical="center" wrapText="1"/>
    </xf>
    <xf numFmtId="10" fontId="5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10" fontId="9" fillId="3" borderId="1" xfId="0" applyNumberFormat="1" applyFont="1" applyFill="1" applyBorder="1" applyAlignment="1" applyProtection="1">
      <alignment horizontal="center" vertical="center" wrapText="1"/>
    </xf>
    <xf numFmtId="10" fontId="9" fillId="2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Font="1" applyFill="1" applyAlignment="1" applyProtection="1">
      <alignment vertical="center" wrapText="1"/>
    </xf>
    <xf numFmtId="0" fontId="2" fillId="0" borderId="0" xfId="0" applyFont="1" applyAlignment="1" applyProtection="1">
      <alignment vertical="center" wrapText="1"/>
    </xf>
    <xf numFmtId="0" fontId="3" fillId="0" borderId="0" xfId="0" applyFont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view="pageBreakPreview" zoomScaleNormal="100" workbookViewId="0">
      <pane ySplit="4" topLeftCell="A5" activePane="bottomLeft" state="frozen"/>
      <selection pane="bottomLeft" activeCell="S4" sqref="S4:S22"/>
    </sheetView>
  </sheetViews>
  <sheetFormatPr defaultColWidth="9" defaultRowHeight="14.15"/>
  <cols>
    <col min="1" max="1" width="4.3828125" style="3" bestFit="1" customWidth="1"/>
    <col min="2" max="2" width="6.61328125" style="3" customWidth="1"/>
    <col min="3" max="19" width="6" style="3" customWidth="1"/>
    <col min="20" max="20" width="6.4609375" style="3" bestFit="1" customWidth="1"/>
    <col min="21" max="22" width="7.15234375" style="3" customWidth="1"/>
    <col min="23" max="25" width="6.4609375" style="3" bestFit="1" customWidth="1"/>
    <col min="26" max="16384" width="9" style="3"/>
  </cols>
  <sheetData>
    <row r="1" spans="1:25" ht="15" customHeight="1">
      <c r="A1" s="22" t="s">
        <v>0</v>
      </c>
      <c r="B1" s="22"/>
    </row>
    <row r="2" spans="1:25" ht="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s="1" customFormat="1" ht="27" customHeight="1">
      <c r="A3" s="24" t="s">
        <v>2</v>
      </c>
      <c r="B3" s="24" t="s">
        <v>3</v>
      </c>
      <c r="C3" s="24" t="s">
        <v>4</v>
      </c>
      <c r="D3" s="24"/>
      <c r="E3" s="24"/>
      <c r="F3" s="24"/>
      <c r="G3" s="25" t="s">
        <v>5</v>
      </c>
      <c r="H3" s="26"/>
      <c r="I3" s="26"/>
      <c r="J3" s="27"/>
      <c r="K3" s="25" t="s">
        <v>6</v>
      </c>
      <c r="L3" s="26"/>
      <c r="M3" s="26"/>
      <c r="N3" s="27"/>
      <c r="O3" s="24" t="s">
        <v>7</v>
      </c>
      <c r="P3" s="24"/>
      <c r="Q3" s="24"/>
      <c r="R3" s="24"/>
      <c r="S3" s="25" t="s">
        <v>8</v>
      </c>
      <c r="T3" s="24"/>
      <c r="U3" s="25" t="s">
        <v>8</v>
      </c>
      <c r="V3" s="27"/>
      <c r="W3" s="28" t="s">
        <v>9</v>
      </c>
      <c r="X3" s="28" t="s">
        <v>10</v>
      </c>
      <c r="Y3" s="24" t="s">
        <v>11</v>
      </c>
    </row>
    <row r="4" spans="1:25" s="2" customFormat="1" ht="33" customHeight="1">
      <c r="A4" s="24"/>
      <c r="B4" s="24"/>
      <c r="C4" s="4" t="s">
        <v>12</v>
      </c>
      <c r="D4" s="4" t="s">
        <v>13</v>
      </c>
      <c r="E4" s="4" t="s">
        <v>14</v>
      </c>
      <c r="F4" s="4" t="s">
        <v>15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12</v>
      </c>
      <c r="L4" s="4" t="s">
        <v>13</v>
      </c>
      <c r="M4" s="4" t="s">
        <v>14</v>
      </c>
      <c r="N4" s="4" t="s">
        <v>16</v>
      </c>
      <c r="O4" s="4" t="s">
        <v>12</v>
      </c>
      <c r="P4" s="4" t="s">
        <v>13</v>
      </c>
      <c r="Q4" s="4" t="s">
        <v>14</v>
      </c>
      <c r="R4" s="4" t="s">
        <v>16</v>
      </c>
      <c r="S4" s="9" t="s">
        <v>17</v>
      </c>
      <c r="T4" s="4" t="s">
        <v>18</v>
      </c>
      <c r="U4" s="9" t="s">
        <v>19</v>
      </c>
      <c r="V4" s="4" t="s">
        <v>20</v>
      </c>
      <c r="W4" s="28"/>
      <c r="X4" s="28"/>
      <c r="Y4" s="24"/>
    </row>
    <row r="5" spans="1:25" ht="27" customHeight="1">
      <c r="A5" s="5">
        <v>1</v>
      </c>
      <c r="B5" s="5" t="s">
        <v>21</v>
      </c>
      <c r="C5" s="5">
        <v>3</v>
      </c>
      <c r="D5" s="5">
        <v>3</v>
      </c>
      <c r="E5" s="5">
        <v>1321</v>
      </c>
      <c r="F5" s="5">
        <v>1031</v>
      </c>
      <c r="G5" s="5">
        <v>3</v>
      </c>
      <c r="H5" s="5">
        <v>2</v>
      </c>
      <c r="I5" s="5">
        <v>196</v>
      </c>
      <c r="J5" s="5">
        <v>154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10">
        <f t="shared" ref="S5:S21" si="0">D5+H5+L5+P5</f>
        <v>5</v>
      </c>
      <c r="T5" s="5">
        <f t="shared" ref="T5:T21" si="1">F5+J5+N5+R5</f>
        <v>1185</v>
      </c>
      <c r="U5" s="13">
        <f t="shared" ref="U5:U22" si="2">(D5+H5+L5+P5)/(C5+G5+K5+O5)</f>
        <v>0.83333333333333337</v>
      </c>
      <c r="V5" s="14">
        <f t="shared" ref="V5:V22" si="3">(F5+J5+N5+R5)/(E5+I5+M5+Q5)</f>
        <v>0.78114700065919573</v>
      </c>
      <c r="W5" s="6">
        <v>1185</v>
      </c>
      <c r="X5" s="6">
        <v>1185</v>
      </c>
      <c r="Y5" s="5"/>
    </row>
    <row r="6" spans="1:25" ht="27" customHeight="1">
      <c r="A6" s="5">
        <v>2</v>
      </c>
      <c r="B6" s="5" t="s">
        <v>22</v>
      </c>
      <c r="C6" s="5">
        <v>12</v>
      </c>
      <c r="D6" s="5">
        <v>6</v>
      </c>
      <c r="E6" s="5">
        <v>135</v>
      </c>
      <c r="F6" s="5">
        <v>25</v>
      </c>
      <c r="G6" s="5">
        <v>113</v>
      </c>
      <c r="H6" s="5">
        <v>47</v>
      </c>
      <c r="I6" s="5">
        <v>6195</v>
      </c>
      <c r="J6" s="5">
        <v>475</v>
      </c>
      <c r="K6" s="5">
        <v>3</v>
      </c>
      <c r="L6" s="5">
        <v>0</v>
      </c>
      <c r="M6" s="5">
        <v>650</v>
      </c>
      <c r="N6" s="5">
        <v>0</v>
      </c>
      <c r="O6" s="5">
        <v>7</v>
      </c>
      <c r="P6" s="5">
        <v>7</v>
      </c>
      <c r="Q6" s="5">
        <v>1568</v>
      </c>
      <c r="R6" s="5">
        <v>515</v>
      </c>
      <c r="S6" s="10">
        <f t="shared" si="0"/>
        <v>60</v>
      </c>
      <c r="T6" s="5">
        <f t="shared" si="1"/>
        <v>1015</v>
      </c>
      <c r="U6" s="13">
        <f t="shared" si="2"/>
        <v>0.44444444444444442</v>
      </c>
      <c r="V6" s="14">
        <f t="shared" si="3"/>
        <v>0.11874122601778193</v>
      </c>
      <c r="W6" s="6">
        <v>1015</v>
      </c>
      <c r="X6" s="6">
        <v>1015</v>
      </c>
      <c r="Y6" s="5"/>
    </row>
    <row r="7" spans="1:25" ht="27" customHeight="1">
      <c r="A7" s="5">
        <v>3</v>
      </c>
      <c r="B7" s="5" t="s">
        <v>23</v>
      </c>
      <c r="C7" s="5">
        <v>64</v>
      </c>
      <c r="D7" s="5">
        <v>18</v>
      </c>
      <c r="E7" s="5">
        <v>3473</v>
      </c>
      <c r="F7" s="5">
        <v>437</v>
      </c>
      <c r="G7" s="5">
        <v>32</v>
      </c>
      <c r="H7" s="5">
        <v>9</v>
      </c>
      <c r="I7" s="5">
        <v>3895</v>
      </c>
      <c r="J7" s="5">
        <v>1025</v>
      </c>
      <c r="K7" s="5">
        <v>5</v>
      </c>
      <c r="L7" s="5">
        <v>0</v>
      </c>
      <c r="M7" s="5">
        <v>726</v>
      </c>
      <c r="N7" s="5">
        <v>0</v>
      </c>
      <c r="O7" s="5">
        <v>5</v>
      </c>
      <c r="P7" s="5">
        <v>2</v>
      </c>
      <c r="Q7" s="5">
        <v>1672</v>
      </c>
      <c r="R7" s="5">
        <v>79</v>
      </c>
      <c r="S7" s="10">
        <f t="shared" si="0"/>
        <v>29</v>
      </c>
      <c r="T7" s="5">
        <f t="shared" si="1"/>
        <v>1541</v>
      </c>
      <c r="U7" s="13">
        <f t="shared" si="2"/>
        <v>0.27358490566037735</v>
      </c>
      <c r="V7" s="14">
        <f t="shared" si="3"/>
        <v>0.15779234077411428</v>
      </c>
      <c r="W7" s="6">
        <v>1541</v>
      </c>
      <c r="X7" s="6">
        <v>1541</v>
      </c>
      <c r="Y7" s="5"/>
    </row>
    <row r="8" spans="1:25" ht="27" customHeight="1">
      <c r="A8" s="5">
        <v>4</v>
      </c>
      <c r="B8" s="5" t="s">
        <v>24</v>
      </c>
      <c r="C8" s="5">
        <v>45</v>
      </c>
      <c r="D8" s="5">
        <v>13</v>
      </c>
      <c r="E8" s="5">
        <v>2107</v>
      </c>
      <c r="F8" s="5">
        <v>619</v>
      </c>
      <c r="G8" s="5">
        <v>62</v>
      </c>
      <c r="H8" s="5">
        <v>2</v>
      </c>
      <c r="I8" s="5">
        <v>1271</v>
      </c>
      <c r="J8" s="5">
        <v>40</v>
      </c>
      <c r="K8" s="5">
        <v>13</v>
      </c>
      <c r="L8" s="5">
        <v>13</v>
      </c>
      <c r="M8" s="5">
        <v>706</v>
      </c>
      <c r="N8" s="5">
        <v>154</v>
      </c>
      <c r="O8" s="5">
        <v>11</v>
      </c>
      <c r="P8" s="5">
        <v>2</v>
      </c>
      <c r="Q8" s="5">
        <v>232</v>
      </c>
      <c r="R8" s="5">
        <v>133</v>
      </c>
      <c r="S8" s="10">
        <f t="shared" si="0"/>
        <v>30</v>
      </c>
      <c r="T8" s="5">
        <f t="shared" si="1"/>
        <v>946</v>
      </c>
      <c r="U8" s="13">
        <f t="shared" si="2"/>
        <v>0.22900763358778625</v>
      </c>
      <c r="V8" s="14">
        <f t="shared" si="3"/>
        <v>0.21918443002780352</v>
      </c>
      <c r="W8" s="6">
        <v>946</v>
      </c>
      <c r="X8" s="6">
        <v>946</v>
      </c>
      <c r="Y8" s="5"/>
    </row>
    <row r="9" spans="1:25" ht="27" customHeight="1">
      <c r="A9" s="5">
        <v>5</v>
      </c>
      <c r="B9" s="5" t="s">
        <v>25</v>
      </c>
      <c r="C9" s="5">
        <v>80</v>
      </c>
      <c r="D9" s="5">
        <v>12</v>
      </c>
      <c r="E9" s="5">
        <v>4382</v>
      </c>
      <c r="F9" s="5">
        <v>558</v>
      </c>
      <c r="G9" s="5">
        <v>50</v>
      </c>
      <c r="H9" s="5">
        <v>11</v>
      </c>
      <c r="I9" s="5">
        <v>11184</v>
      </c>
      <c r="J9" s="5">
        <v>3167</v>
      </c>
      <c r="K9" s="5">
        <v>19</v>
      </c>
      <c r="L9" s="5">
        <v>10</v>
      </c>
      <c r="M9" s="5">
        <v>1095</v>
      </c>
      <c r="N9" s="5">
        <v>45</v>
      </c>
      <c r="O9" s="5">
        <v>21</v>
      </c>
      <c r="P9" s="5">
        <v>2</v>
      </c>
      <c r="Q9" s="5">
        <v>528</v>
      </c>
      <c r="R9" s="5">
        <v>60</v>
      </c>
      <c r="S9" s="10">
        <f t="shared" si="0"/>
        <v>35</v>
      </c>
      <c r="T9" s="5">
        <f t="shared" si="1"/>
        <v>3830</v>
      </c>
      <c r="U9" s="13">
        <f t="shared" si="2"/>
        <v>0.20588235294117646</v>
      </c>
      <c r="V9" s="14">
        <f t="shared" si="3"/>
        <v>0.22281691779626506</v>
      </c>
      <c r="W9" s="6">
        <v>3830</v>
      </c>
      <c r="X9" s="6">
        <v>3830</v>
      </c>
      <c r="Y9" s="5"/>
    </row>
    <row r="10" spans="1:25" ht="27" customHeight="1">
      <c r="A10" s="5">
        <v>6</v>
      </c>
      <c r="B10" s="5" t="s">
        <v>26</v>
      </c>
      <c r="C10" s="5">
        <v>73</v>
      </c>
      <c r="D10" s="5">
        <v>4</v>
      </c>
      <c r="E10" s="5">
        <v>3150</v>
      </c>
      <c r="F10" s="5">
        <v>133</v>
      </c>
      <c r="G10" s="5">
        <v>90</v>
      </c>
      <c r="H10" s="5">
        <v>15</v>
      </c>
      <c r="I10" s="5">
        <v>7131</v>
      </c>
      <c r="J10" s="5">
        <v>1569</v>
      </c>
      <c r="K10" s="5">
        <v>19</v>
      </c>
      <c r="L10" s="5">
        <v>14</v>
      </c>
      <c r="M10" s="5">
        <v>1570</v>
      </c>
      <c r="N10" s="5">
        <v>347</v>
      </c>
      <c r="O10" s="5">
        <v>12</v>
      </c>
      <c r="P10" s="5">
        <v>3</v>
      </c>
      <c r="Q10" s="5">
        <v>893</v>
      </c>
      <c r="R10" s="5">
        <v>221</v>
      </c>
      <c r="S10" s="10">
        <f t="shared" si="0"/>
        <v>36</v>
      </c>
      <c r="T10" s="5">
        <f t="shared" si="1"/>
        <v>2270</v>
      </c>
      <c r="U10" s="13">
        <f t="shared" si="2"/>
        <v>0.18556701030927836</v>
      </c>
      <c r="V10" s="14">
        <f t="shared" si="3"/>
        <v>0.17812303829252982</v>
      </c>
      <c r="W10" s="6">
        <v>2270</v>
      </c>
      <c r="X10" s="6">
        <v>2270</v>
      </c>
      <c r="Y10" s="5"/>
    </row>
    <row r="11" spans="1:25" ht="27" customHeight="1">
      <c r="A11" s="5">
        <v>7</v>
      </c>
      <c r="B11" s="5" t="s">
        <v>27</v>
      </c>
      <c r="C11" s="5">
        <v>95</v>
      </c>
      <c r="D11" s="5">
        <v>10</v>
      </c>
      <c r="E11" s="5">
        <v>2055</v>
      </c>
      <c r="F11" s="5">
        <v>686</v>
      </c>
      <c r="G11" s="5">
        <v>29</v>
      </c>
      <c r="H11" s="5">
        <v>11</v>
      </c>
      <c r="I11" s="5">
        <v>2212</v>
      </c>
      <c r="J11" s="5">
        <v>1234</v>
      </c>
      <c r="K11" s="5">
        <v>6</v>
      </c>
      <c r="L11" s="5">
        <v>1</v>
      </c>
      <c r="M11" s="5">
        <v>195</v>
      </c>
      <c r="N11" s="5">
        <v>25</v>
      </c>
      <c r="O11" s="5">
        <v>1</v>
      </c>
      <c r="P11" s="5">
        <v>1</v>
      </c>
      <c r="Q11" s="5">
        <v>300</v>
      </c>
      <c r="R11" s="5">
        <v>50</v>
      </c>
      <c r="S11" s="10">
        <f t="shared" si="0"/>
        <v>23</v>
      </c>
      <c r="T11" s="5">
        <f t="shared" si="1"/>
        <v>1995</v>
      </c>
      <c r="U11" s="13">
        <f t="shared" si="2"/>
        <v>0.17557251908396945</v>
      </c>
      <c r="V11" s="14">
        <f t="shared" si="3"/>
        <v>0.41894162116757666</v>
      </c>
      <c r="W11" s="6">
        <v>1995</v>
      </c>
      <c r="X11" s="6">
        <v>1995</v>
      </c>
      <c r="Y11" s="5"/>
    </row>
    <row r="12" spans="1:25" ht="27" customHeight="1">
      <c r="A12" s="5">
        <v>8</v>
      </c>
      <c r="B12" s="5" t="s">
        <v>28</v>
      </c>
      <c r="C12" s="5">
        <v>97</v>
      </c>
      <c r="D12" s="5">
        <v>10</v>
      </c>
      <c r="E12" s="5">
        <v>2399</v>
      </c>
      <c r="F12" s="5">
        <v>212</v>
      </c>
      <c r="G12" s="5">
        <v>28</v>
      </c>
      <c r="H12" s="5">
        <v>6</v>
      </c>
      <c r="I12" s="5">
        <v>2132</v>
      </c>
      <c r="J12" s="5">
        <v>491</v>
      </c>
      <c r="K12" s="5">
        <v>3</v>
      </c>
      <c r="L12" s="5">
        <v>0</v>
      </c>
      <c r="M12" s="5">
        <v>463</v>
      </c>
      <c r="N12" s="5">
        <v>0</v>
      </c>
      <c r="O12" s="5">
        <v>12</v>
      </c>
      <c r="P12" s="5">
        <v>4</v>
      </c>
      <c r="Q12" s="5">
        <v>340</v>
      </c>
      <c r="R12" s="5">
        <v>31</v>
      </c>
      <c r="S12" s="10">
        <f t="shared" si="0"/>
        <v>20</v>
      </c>
      <c r="T12" s="5">
        <f t="shared" si="1"/>
        <v>734</v>
      </c>
      <c r="U12" s="13">
        <f t="shared" si="2"/>
        <v>0.14285714285714285</v>
      </c>
      <c r="V12" s="14">
        <f t="shared" si="3"/>
        <v>0.13760779902512185</v>
      </c>
      <c r="W12" s="6">
        <v>734</v>
      </c>
      <c r="X12" s="6">
        <v>734</v>
      </c>
      <c r="Y12" s="5"/>
    </row>
    <row r="13" spans="1:25" ht="27" customHeight="1">
      <c r="A13" s="5">
        <v>9</v>
      </c>
      <c r="B13" s="5" t="s">
        <v>29</v>
      </c>
      <c r="C13" s="5">
        <v>55</v>
      </c>
      <c r="D13" s="5">
        <v>6</v>
      </c>
      <c r="E13" s="5">
        <v>1855</v>
      </c>
      <c r="F13" s="5">
        <v>660</v>
      </c>
      <c r="G13" s="5">
        <v>72</v>
      </c>
      <c r="H13" s="5">
        <v>13</v>
      </c>
      <c r="I13" s="5">
        <v>2680</v>
      </c>
      <c r="J13" s="5">
        <v>317</v>
      </c>
      <c r="K13" s="5">
        <v>4</v>
      </c>
      <c r="L13" s="5">
        <v>0</v>
      </c>
      <c r="M13" s="5">
        <v>301</v>
      </c>
      <c r="N13" s="5">
        <v>0</v>
      </c>
      <c r="O13" s="5">
        <v>9</v>
      </c>
      <c r="P13" s="5">
        <v>0</v>
      </c>
      <c r="Q13" s="5">
        <v>764</v>
      </c>
      <c r="R13" s="5">
        <v>0</v>
      </c>
      <c r="S13" s="10">
        <f t="shared" si="0"/>
        <v>19</v>
      </c>
      <c r="T13" s="5">
        <f t="shared" si="1"/>
        <v>977</v>
      </c>
      <c r="U13" s="13">
        <f t="shared" si="2"/>
        <v>0.1357142857142857</v>
      </c>
      <c r="V13" s="14">
        <f t="shared" si="3"/>
        <v>0.17446428571428571</v>
      </c>
      <c r="W13" s="6">
        <v>977</v>
      </c>
      <c r="X13" s="6">
        <v>977</v>
      </c>
      <c r="Y13" s="5"/>
    </row>
    <row r="14" spans="1:25" ht="27" customHeight="1">
      <c r="A14" s="5">
        <v>10</v>
      </c>
      <c r="B14" s="5" t="s">
        <v>30</v>
      </c>
      <c r="C14" s="5">
        <v>75</v>
      </c>
      <c r="D14" s="5">
        <v>9</v>
      </c>
      <c r="E14" s="5">
        <v>2224</v>
      </c>
      <c r="F14" s="5">
        <v>68</v>
      </c>
      <c r="G14" s="5">
        <v>55</v>
      </c>
      <c r="H14" s="5">
        <v>5</v>
      </c>
      <c r="I14" s="5">
        <v>2303</v>
      </c>
      <c r="J14" s="5">
        <v>121</v>
      </c>
      <c r="K14" s="5">
        <v>13</v>
      </c>
      <c r="L14" s="5">
        <v>0</v>
      </c>
      <c r="M14" s="5">
        <v>749</v>
      </c>
      <c r="N14" s="5">
        <v>0</v>
      </c>
      <c r="O14" s="5">
        <v>14</v>
      </c>
      <c r="P14" s="5">
        <v>2</v>
      </c>
      <c r="Q14" s="5">
        <v>530</v>
      </c>
      <c r="R14" s="5">
        <v>144</v>
      </c>
      <c r="S14" s="10">
        <f t="shared" si="0"/>
        <v>16</v>
      </c>
      <c r="T14" s="5">
        <f t="shared" si="1"/>
        <v>333</v>
      </c>
      <c r="U14" s="13">
        <f t="shared" si="2"/>
        <v>0.10191082802547771</v>
      </c>
      <c r="V14" s="14">
        <f t="shared" si="3"/>
        <v>5.7354460902514642E-2</v>
      </c>
      <c r="W14" s="6">
        <v>333</v>
      </c>
      <c r="X14" s="6">
        <v>333</v>
      </c>
      <c r="Y14" s="5"/>
    </row>
    <row r="15" spans="1:25" ht="27" customHeight="1">
      <c r="A15" s="5">
        <v>11</v>
      </c>
      <c r="B15" s="6" t="s">
        <v>31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0</v>
      </c>
      <c r="I15" s="6">
        <v>172</v>
      </c>
      <c r="J15" s="6">
        <v>0</v>
      </c>
      <c r="K15" s="6">
        <v>2</v>
      </c>
      <c r="L15" s="6">
        <v>0</v>
      </c>
      <c r="M15" s="6">
        <v>44</v>
      </c>
      <c r="N15" s="6">
        <v>0</v>
      </c>
      <c r="O15" s="6">
        <v>1</v>
      </c>
      <c r="P15" s="6">
        <v>0</v>
      </c>
      <c r="Q15" s="6">
        <v>11</v>
      </c>
      <c r="R15" s="6">
        <v>0</v>
      </c>
      <c r="S15" s="11">
        <f t="shared" si="0"/>
        <v>0</v>
      </c>
      <c r="T15" s="6">
        <f t="shared" si="1"/>
        <v>0</v>
      </c>
      <c r="U15" s="15">
        <f t="shared" si="2"/>
        <v>0</v>
      </c>
      <c r="V15" s="16">
        <f t="shared" si="3"/>
        <v>0</v>
      </c>
      <c r="W15" s="6">
        <v>0</v>
      </c>
      <c r="X15" s="6">
        <v>0</v>
      </c>
      <c r="Y15" s="6"/>
    </row>
    <row r="16" spans="1:25" ht="27" customHeight="1">
      <c r="A16" s="7">
        <v>12</v>
      </c>
      <c r="B16" s="7" t="s">
        <v>32</v>
      </c>
      <c r="C16" s="7">
        <v>7</v>
      </c>
      <c r="D16" s="7">
        <v>7</v>
      </c>
      <c r="E16" s="7">
        <v>607</v>
      </c>
      <c r="F16" s="7">
        <v>294</v>
      </c>
      <c r="G16" s="7">
        <v>16</v>
      </c>
      <c r="H16" s="7">
        <v>15</v>
      </c>
      <c r="I16" s="7">
        <v>1286</v>
      </c>
      <c r="J16" s="7">
        <v>715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10">
        <f t="shared" si="0"/>
        <v>22</v>
      </c>
      <c r="T16" s="7">
        <f t="shared" si="1"/>
        <v>1009</v>
      </c>
      <c r="U16" s="13">
        <f t="shared" si="2"/>
        <v>0.95652173913043481</v>
      </c>
      <c r="V16" s="17">
        <f t="shared" si="3"/>
        <v>0.53301637612255681</v>
      </c>
      <c r="W16" s="18" t="s">
        <v>33</v>
      </c>
      <c r="X16" s="18" t="s">
        <v>33</v>
      </c>
      <c r="Y16" s="7"/>
    </row>
    <row r="17" spans="1:25" ht="27" customHeight="1">
      <c r="A17" s="7">
        <v>13</v>
      </c>
      <c r="B17" s="7" t="s">
        <v>34</v>
      </c>
      <c r="C17" s="7">
        <v>15</v>
      </c>
      <c r="D17" s="7">
        <v>15</v>
      </c>
      <c r="E17" s="7">
        <v>277</v>
      </c>
      <c r="F17" s="7">
        <v>142</v>
      </c>
      <c r="G17" s="7">
        <v>16</v>
      </c>
      <c r="H17" s="7">
        <v>15</v>
      </c>
      <c r="I17" s="7">
        <v>1563</v>
      </c>
      <c r="J17" s="7">
        <v>1176</v>
      </c>
      <c r="K17" s="7">
        <v>2</v>
      </c>
      <c r="L17" s="7">
        <v>0</v>
      </c>
      <c r="M17" s="7">
        <v>96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10">
        <f t="shared" si="0"/>
        <v>30</v>
      </c>
      <c r="T17" s="7">
        <f t="shared" si="1"/>
        <v>1318</v>
      </c>
      <c r="U17" s="13">
        <f t="shared" si="2"/>
        <v>0.90909090909090906</v>
      </c>
      <c r="V17" s="17">
        <f t="shared" si="3"/>
        <v>0.68078512396694213</v>
      </c>
      <c r="W17" s="18" t="s">
        <v>33</v>
      </c>
      <c r="X17" s="18" t="s">
        <v>33</v>
      </c>
      <c r="Y17" s="7"/>
    </row>
    <row r="18" spans="1:25" ht="27" customHeight="1">
      <c r="A18" s="7">
        <v>14</v>
      </c>
      <c r="B18" s="7" t="s">
        <v>35</v>
      </c>
      <c r="C18" s="7">
        <v>7</v>
      </c>
      <c r="D18" s="7">
        <v>7</v>
      </c>
      <c r="E18" s="7">
        <v>135</v>
      </c>
      <c r="F18" s="7">
        <v>125</v>
      </c>
      <c r="G18" s="7">
        <v>7</v>
      </c>
      <c r="H18" s="7">
        <v>7</v>
      </c>
      <c r="I18" s="7">
        <v>898</v>
      </c>
      <c r="J18" s="7">
        <v>898</v>
      </c>
      <c r="K18" s="7">
        <v>0</v>
      </c>
      <c r="L18" s="7">
        <v>0</v>
      </c>
      <c r="M18" s="7">
        <v>0</v>
      </c>
      <c r="N18" s="7">
        <v>0</v>
      </c>
      <c r="O18" s="7">
        <v>2</v>
      </c>
      <c r="P18" s="7">
        <v>0</v>
      </c>
      <c r="Q18" s="7">
        <v>475</v>
      </c>
      <c r="R18" s="7">
        <v>0</v>
      </c>
      <c r="S18" s="10">
        <f t="shared" si="0"/>
        <v>14</v>
      </c>
      <c r="T18" s="7">
        <f t="shared" si="1"/>
        <v>1023</v>
      </c>
      <c r="U18" s="13">
        <f t="shared" si="2"/>
        <v>0.875</v>
      </c>
      <c r="V18" s="17">
        <f t="shared" si="3"/>
        <v>0.67838196286472152</v>
      </c>
      <c r="W18" s="18" t="s">
        <v>33</v>
      </c>
      <c r="X18" s="18" t="s">
        <v>33</v>
      </c>
      <c r="Y18" s="7"/>
    </row>
    <row r="19" spans="1:25" ht="27" customHeight="1">
      <c r="A19" s="7">
        <v>15</v>
      </c>
      <c r="B19" s="7" t="s">
        <v>36</v>
      </c>
      <c r="C19" s="7">
        <v>5</v>
      </c>
      <c r="D19" s="7">
        <v>3</v>
      </c>
      <c r="E19" s="7">
        <v>161</v>
      </c>
      <c r="F19" s="7">
        <v>47</v>
      </c>
      <c r="G19" s="7">
        <v>7</v>
      </c>
      <c r="H19" s="7">
        <v>5</v>
      </c>
      <c r="I19" s="7">
        <v>461</v>
      </c>
      <c r="J19" s="7">
        <v>380</v>
      </c>
      <c r="K19" s="7">
        <v>0</v>
      </c>
      <c r="L19" s="7">
        <v>0</v>
      </c>
      <c r="M19" s="7">
        <v>0</v>
      </c>
      <c r="N19" s="7">
        <v>0</v>
      </c>
      <c r="O19" s="7">
        <v>1</v>
      </c>
      <c r="P19" s="7">
        <v>0</v>
      </c>
      <c r="Q19" s="7">
        <v>45</v>
      </c>
      <c r="R19" s="7">
        <v>0</v>
      </c>
      <c r="S19" s="10">
        <f t="shared" si="0"/>
        <v>8</v>
      </c>
      <c r="T19" s="7">
        <f t="shared" si="1"/>
        <v>427</v>
      </c>
      <c r="U19" s="13">
        <f t="shared" si="2"/>
        <v>0.61538461538461542</v>
      </c>
      <c r="V19" s="17">
        <f t="shared" si="3"/>
        <v>0.64017991004497754</v>
      </c>
      <c r="W19" s="18" t="s">
        <v>33</v>
      </c>
      <c r="X19" s="18" t="s">
        <v>33</v>
      </c>
      <c r="Y19" s="7"/>
    </row>
    <row r="20" spans="1:25" ht="27" customHeight="1">
      <c r="A20" s="7">
        <v>16</v>
      </c>
      <c r="B20" s="7" t="s">
        <v>37</v>
      </c>
      <c r="C20" s="7">
        <v>34</v>
      </c>
      <c r="D20" s="7">
        <v>18</v>
      </c>
      <c r="E20" s="7">
        <v>405</v>
      </c>
      <c r="F20" s="7">
        <v>183</v>
      </c>
      <c r="G20" s="7">
        <v>17</v>
      </c>
      <c r="H20" s="7">
        <v>14</v>
      </c>
      <c r="I20" s="7">
        <v>450</v>
      </c>
      <c r="J20" s="7">
        <v>337</v>
      </c>
      <c r="K20" s="7">
        <v>0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Q20" s="7">
        <v>126</v>
      </c>
      <c r="R20" s="7">
        <v>0</v>
      </c>
      <c r="S20" s="10">
        <f t="shared" si="0"/>
        <v>32</v>
      </c>
      <c r="T20" s="7">
        <f t="shared" si="1"/>
        <v>520</v>
      </c>
      <c r="U20" s="13">
        <f t="shared" si="2"/>
        <v>0.61538461538461542</v>
      </c>
      <c r="V20" s="17">
        <f t="shared" si="3"/>
        <v>0.53007135575942921</v>
      </c>
      <c r="W20" s="18" t="s">
        <v>33</v>
      </c>
      <c r="X20" s="18" t="s">
        <v>33</v>
      </c>
      <c r="Y20" s="7"/>
    </row>
    <row r="21" spans="1:25" ht="27" customHeight="1">
      <c r="A21" s="7">
        <v>17</v>
      </c>
      <c r="B21" s="7" t="s">
        <v>38</v>
      </c>
      <c r="C21" s="7">
        <v>24</v>
      </c>
      <c r="D21" s="7">
        <v>5</v>
      </c>
      <c r="E21" s="7">
        <v>1175</v>
      </c>
      <c r="F21" s="7">
        <v>137</v>
      </c>
      <c r="G21" s="7">
        <v>20</v>
      </c>
      <c r="H21" s="7">
        <v>15</v>
      </c>
      <c r="I21" s="7">
        <v>770</v>
      </c>
      <c r="J21" s="7">
        <v>561</v>
      </c>
      <c r="K21" s="7">
        <v>0</v>
      </c>
      <c r="L21" s="7">
        <v>0</v>
      </c>
      <c r="M21" s="7">
        <v>0</v>
      </c>
      <c r="N21" s="7">
        <v>0</v>
      </c>
      <c r="O21" s="7">
        <v>7</v>
      </c>
      <c r="P21" s="7">
        <v>2</v>
      </c>
      <c r="Q21" s="7">
        <v>210</v>
      </c>
      <c r="R21" s="7">
        <v>35</v>
      </c>
      <c r="S21" s="10">
        <f t="shared" si="0"/>
        <v>22</v>
      </c>
      <c r="T21" s="7">
        <f t="shared" si="1"/>
        <v>733</v>
      </c>
      <c r="U21" s="13">
        <f t="shared" si="2"/>
        <v>0.43137254901960786</v>
      </c>
      <c r="V21" s="17">
        <f t="shared" si="3"/>
        <v>0.34013921113689094</v>
      </c>
      <c r="W21" s="18" t="s">
        <v>33</v>
      </c>
      <c r="X21" s="18" t="s">
        <v>33</v>
      </c>
      <c r="Y21" s="7"/>
    </row>
    <row r="22" spans="1:25" ht="27" customHeight="1">
      <c r="A22" s="8"/>
      <c r="B22" s="8" t="s">
        <v>39</v>
      </c>
      <c r="C22" s="8">
        <f>SUM(C5:C21)</f>
        <v>691</v>
      </c>
      <c r="D22" s="8">
        <f t="shared" ref="D22:X22" si="4">SUM(D5:D21)</f>
        <v>146</v>
      </c>
      <c r="E22" s="8">
        <f t="shared" si="4"/>
        <v>25861</v>
      </c>
      <c r="F22" s="8">
        <f t="shared" si="4"/>
        <v>5357</v>
      </c>
      <c r="G22" s="8">
        <f t="shared" si="4"/>
        <v>620</v>
      </c>
      <c r="H22" s="8">
        <f t="shared" si="4"/>
        <v>192</v>
      </c>
      <c r="I22" s="8">
        <f t="shared" si="4"/>
        <v>44799</v>
      </c>
      <c r="J22" s="8">
        <f t="shared" si="4"/>
        <v>12660</v>
      </c>
      <c r="K22" s="8">
        <f t="shared" si="4"/>
        <v>89</v>
      </c>
      <c r="L22" s="8">
        <f t="shared" si="4"/>
        <v>38</v>
      </c>
      <c r="M22" s="8">
        <f t="shared" si="4"/>
        <v>6595</v>
      </c>
      <c r="N22" s="8">
        <f t="shared" si="4"/>
        <v>571</v>
      </c>
      <c r="O22" s="8">
        <f t="shared" si="4"/>
        <v>104</v>
      </c>
      <c r="P22" s="8">
        <f t="shared" si="4"/>
        <v>25</v>
      </c>
      <c r="Q22" s="8">
        <f t="shared" si="4"/>
        <v>7694</v>
      </c>
      <c r="R22" s="8">
        <f t="shared" si="4"/>
        <v>1268</v>
      </c>
      <c r="S22" s="12">
        <f t="shared" si="4"/>
        <v>401</v>
      </c>
      <c r="T22" s="8">
        <f t="shared" si="4"/>
        <v>19856</v>
      </c>
      <c r="U22" s="19">
        <f t="shared" si="2"/>
        <v>0.2666223404255319</v>
      </c>
      <c r="V22" s="20">
        <f t="shared" si="3"/>
        <v>0.23374024414648789</v>
      </c>
      <c r="W22" s="8">
        <f t="shared" si="4"/>
        <v>14826</v>
      </c>
      <c r="X22" s="8">
        <f t="shared" si="4"/>
        <v>14826</v>
      </c>
      <c r="Y22" s="8"/>
    </row>
    <row r="23" spans="1:25" ht="26.05" customHeight="1">
      <c r="U23" s="21"/>
    </row>
  </sheetData>
  <mergeCells count="13">
    <mergeCell ref="W3:W4"/>
    <mergeCell ref="X3:X4"/>
    <mergeCell ref="Y3:Y4"/>
    <mergeCell ref="A1:B1"/>
    <mergeCell ref="A2:Y2"/>
    <mergeCell ref="C3:F3"/>
    <mergeCell ref="G3:J3"/>
    <mergeCell ref="K3:N3"/>
    <mergeCell ref="O3:R3"/>
    <mergeCell ref="S3:T3"/>
    <mergeCell ref="U3:V3"/>
    <mergeCell ref="A3:A4"/>
    <mergeCell ref="B3:B4"/>
  </mergeCells>
  <phoneticPr fontId="10" type="noConversion"/>
  <pageMargins left="0.47222222222222221" right="0.31458333333333333" top="0.43263888888888891" bottom="0.51180555555555551" header="0.43263888888888891" footer="0.5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2022-04-21T17:30:42Z</dcterms:created>
  <dcterms:modified xsi:type="dcterms:W3CDTF">2025-03-30T13:24:17Z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