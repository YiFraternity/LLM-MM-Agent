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5日\"/>
    </mc:Choice>
  </mc:AlternateContent>
  <xr:revisionPtr revIDLastSave="0" documentId="8_{FD86A7E3-5C56-4EF2-9711-577027D5F5E1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9" i="1" l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</calcChain>
</file>

<file path=xl/sharedStrings.xml><?xml version="1.0" encoding="utf-8"?>
<sst xmlns="http://schemas.openxmlformats.org/spreadsheetml/2006/main" count="47" uniqueCount="30">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</sst>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4939062928299908"/>
          <c:y val="1.12714379510527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829110759946887E-2"/>
          <c:y val="0.202886728058916"/>
          <c:w val="0.89382446673295224"/>
          <c:h val="0.69883206331404402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</c:strCache>
            </c:strRef>
          </c:cat>
          <c:val>
            <c:numRef>
              <c:f>工作表1!$B$2:$B$28</c:f>
              <c:numCache>
                <c:formatCode>0.00_ </c:formatCode>
                <c:ptCount val="27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2.76</c:v>
                </c:pt>
                <c:pt idx="25">
                  <c:v>2.76</c:v>
                </c:pt>
                <c:pt idx="26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9A-4962-B09A-1DBDCFE90489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</c:strCache>
            </c:strRef>
          </c:cat>
          <c:val>
            <c:numRef>
              <c:f>工作表1!$C$2:$C$28</c:f>
              <c:numCache>
                <c:formatCode>0.00_ </c:formatCode>
                <c:ptCount val="27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  <c:pt idx="21">
                  <c:v>2.96</c:v>
                </c:pt>
                <c:pt idx="22">
                  <c:v>2.96</c:v>
                </c:pt>
                <c:pt idx="23">
                  <c:v>2.96</c:v>
                </c:pt>
                <c:pt idx="24">
                  <c:v>2.96</c:v>
                </c:pt>
                <c:pt idx="25">
                  <c:v>2.96</c:v>
                </c:pt>
                <c:pt idx="26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9A-4962-B09A-1DBDCFE90489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</c:strCache>
            </c:strRef>
          </c:cat>
          <c:val>
            <c:numRef>
              <c:f>工作表1!$D$2:$D$28</c:f>
              <c:numCache>
                <c:formatCode>0.00_ 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  <c:pt idx="23">
                  <c:v>3.76</c:v>
                </c:pt>
                <c:pt idx="24">
                  <c:v>3.76</c:v>
                </c:pt>
                <c:pt idx="25">
                  <c:v>3.76</c:v>
                </c:pt>
                <c:pt idx="26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A-4962-B09A-1DBDCFE90489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</c:strCache>
            </c:strRef>
          </c:cat>
          <c:val>
            <c:numRef>
              <c:f>工作表1!$E$2:$E$28</c:f>
              <c:numCache>
                <c:formatCode>0.00_ 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  <c:pt idx="23">
                  <c:v>3.96</c:v>
                </c:pt>
                <c:pt idx="24">
                  <c:v>3.96</c:v>
                </c:pt>
                <c:pt idx="25">
                  <c:v>3.96</c:v>
                </c:pt>
                <c:pt idx="26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9A-4962-B09A-1DBDCFE90489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</c:strCache>
            </c:strRef>
          </c:cat>
          <c:val>
            <c:numRef>
              <c:f>工作表1!$F$2:$F$28</c:f>
              <c:numCache>
                <c:formatCode>0.00_ </c:formatCode>
                <c:ptCount val="27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  <c:pt idx="21">
                  <c:v>9.76</c:v>
                </c:pt>
                <c:pt idx="22">
                  <c:v>9.76</c:v>
                </c:pt>
                <c:pt idx="23">
                  <c:v>9.9600000000000009</c:v>
                </c:pt>
                <c:pt idx="24">
                  <c:v>9.9600000000000009</c:v>
                </c:pt>
                <c:pt idx="25">
                  <c:v>9.16</c:v>
                </c:pt>
                <c:pt idx="26">
                  <c:v>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9A-4962-B09A-1DBDCFE90489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</c:strCache>
            </c:strRef>
          </c:cat>
          <c:val>
            <c:numRef>
              <c:f>工作表1!$G$2:$G$28</c:f>
              <c:numCache>
                <c:formatCode>0.00_ </c:formatCode>
                <c:ptCount val="27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  <c:pt idx="21">
                  <c:v>5.98</c:v>
                </c:pt>
                <c:pt idx="22">
                  <c:v>5.36</c:v>
                </c:pt>
                <c:pt idx="23">
                  <c:v>5.76</c:v>
                </c:pt>
                <c:pt idx="24">
                  <c:v>5.16</c:v>
                </c:pt>
                <c:pt idx="25">
                  <c:v>5.36</c:v>
                </c:pt>
                <c:pt idx="26">
                  <c:v>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9A-4962-B09A-1DBDCFE90489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</c:strCache>
            </c:strRef>
          </c:cat>
          <c:val>
            <c:numRef>
              <c:f>工作表1!$H$2:$H$28</c:f>
              <c:numCache>
                <c:formatCode>0.00_ </c:formatCode>
                <c:ptCount val="27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4.96</c:v>
                </c:pt>
                <c:pt idx="25">
                  <c:v>4.5599999999999996</c:v>
                </c:pt>
                <c:pt idx="26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9A-4962-B09A-1DBDCFE90489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</c:strCache>
            </c:strRef>
          </c:cat>
          <c:val>
            <c:numRef>
              <c:f>工作表1!$I$2:$I$28</c:f>
              <c:numCache>
                <c:formatCode>0.00_ </c:formatCode>
                <c:ptCount val="27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  <c:pt idx="21">
                  <c:v>3.96</c:v>
                </c:pt>
                <c:pt idx="22">
                  <c:v>3.76</c:v>
                </c:pt>
                <c:pt idx="23">
                  <c:v>3.56</c:v>
                </c:pt>
                <c:pt idx="24">
                  <c:v>3.56</c:v>
                </c:pt>
                <c:pt idx="25">
                  <c:v>3.36</c:v>
                </c:pt>
                <c:pt idx="26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9A-4962-B09A-1DBDCFE90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314480"/>
        <c:axId val="1"/>
      </c:lineChart>
      <c:catAx>
        <c:axId val="140831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5.4592121537049851E-3"/>
              <c:y val="0.47966441105784219"/>
            </c:manualLayout>
          </c:layout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4083144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7366884502762001"/>
          <c:y val="0.9667596346682642"/>
          <c:w val="0.55588984146235321"/>
          <c:h val="1.9011988882365077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255814</xdr:colOff>
      <xdr:row>24</xdr:row>
      <xdr:rowOff>70757</xdr:rowOff>
    </xdr:from>
    <xdr:to>
      <xdr:col>29</xdr:col>
      <xdr:colOff>201386</xdr:colOff>
      <xdr:row>48</xdr:row>
      <xdr:rowOff>76200</xdr:rowOff>
    </xdr:to>
    <xdr:graphicFrame macro="">
      <xdr:nvGraphicFramePr>
        <xdr:cNvPr id="1031" name="图表 1">
          <a:extLst>
            <a:ext uri="{FF2B5EF4-FFF2-40B4-BE49-F238E27FC236}">
              <a16:creationId xmlns:a16="http://schemas.microsoft.com/office/drawing/2014/main" id="{B296E710-CFAE-40D7-97C7-CE1BF5046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tabSelected="1" topLeftCell="A15" zoomScale="85" workbookViewId="0">
      <selection activeCell="C31" sqref="C31"/>
    </sheetView>
  </sheetViews>
  <sheetFormatPr defaultColWidth="9" defaultRowHeight="15"/>
  <cols>
    <col min="1" max="1" width="8.640625" style="1" customWidth="1"/>
    <col min="2" max="2" width="8.5" style="1" customWidth="1"/>
    <col min="3" max="3" width="8.2109375" style="1" customWidth="1"/>
    <col min="4" max="5" width="8.35546875" style="1" customWidth="1"/>
    <col min="6" max="6" width="9" style="1" bestFit="1"/>
    <col min="7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.1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.1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.1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.1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.1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.1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.1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.1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.1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.1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.1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.1" customHeight="1">
      <c r="A20" s="6" t="s">
        <v>10</v>
      </c>
      <c r="B20" s="8">
        <v>3.56</v>
      </c>
      <c r="C20" s="8">
        <v>2.56</v>
      </c>
      <c r="D20" s="8">
        <v>3.76</v>
      </c>
      <c r="E20" s="8">
        <v>3.96</v>
      </c>
      <c r="F20" s="8">
        <v>7.96</v>
      </c>
      <c r="G20" s="8">
        <v>5.98</v>
      </c>
      <c r="H20" s="8">
        <v>6.36</v>
      </c>
      <c r="I20" s="8">
        <v>3.96</v>
      </c>
      <c r="J20" s="8"/>
    </row>
    <row r="21" spans="1:10" ht="28.1" customHeight="1">
      <c r="A21" s="6" t="s">
        <v>22</v>
      </c>
      <c r="B21" s="8">
        <v>3.56</v>
      </c>
      <c r="C21" s="8">
        <v>2.56</v>
      </c>
      <c r="D21" s="8">
        <v>3.76</v>
      </c>
      <c r="E21" s="8">
        <v>3.96</v>
      </c>
      <c r="F21" s="8">
        <v>7.96</v>
      </c>
      <c r="G21" s="8">
        <v>5.98</v>
      </c>
      <c r="H21" s="8">
        <v>6.36</v>
      </c>
      <c r="I21" s="8">
        <v>3.56</v>
      </c>
      <c r="J21" s="8"/>
    </row>
    <row r="22" spans="1:10" ht="28.1" customHeight="1">
      <c r="A22" s="6" t="s">
        <v>23</v>
      </c>
      <c r="B22" s="8">
        <v>3.56</v>
      </c>
      <c r="C22" s="8">
        <v>2.96</v>
      </c>
      <c r="D22" s="8">
        <v>3.76</v>
      </c>
      <c r="E22" s="8">
        <v>3.96</v>
      </c>
      <c r="F22" s="8">
        <v>9.76</v>
      </c>
      <c r="G22" s="8">
        <v>6.76</v>
      </c>
      <c r="H22" s="8">
        <v>5.76</v>
      </c>
      <c r="I22" s="8">
        <v>4.3600000000000003</v>
      </c>
      <c r="J22" s="8"/>
    </row>
    <row r="23" spans="1:10" ht="28.1" customHeight="1">
      <c r="A23" s="6" t="s">
        <v>11</v>
      </c>
      <c r="B23" s="8">
        <v>3.56</v>
      </c>
      <c r="C23" s="8">
        <v>2.96</v>
      </c>
      <c r="D23" s="8">
        <v>3.76</v>
      </c>
      <c r="E23" s="8">
        <v>3.96</v>
      </c>
      <c r="F23" s="8">
        <v>9.76</v>
      </c>
      <c r="G23" s="8">
        <v>5.98</v>
      </c>
      <c r="H23" s="8">
        <v>5.76</v>
      </c>
      <c r="I23" s="8">
        <v>3.96</v>
      </c>
      <c r="J23" s="8"/>
    </row>
    <row r="24" spans="1:10" ht="28.1" customHeight="1">
      <c r="A24" s="6" t="s">
        <v>24</v>
      </c>
      <c r="B24" s="8">
        <v>3.56</v>
      </c>
      <c r="C24" s="8">
        <v>2.96</v>
      </c>
      <c r="D24" s="8">
        <v>3.76</v>
      </c>
      <c r="E24" s="8">
        <v>3.96</v>
      </c>
      <c r="F24" s="8">
        <v>9.76</v>
      </c>
      <c r="G24" s="8">
        <v>5.36</v>
      </c>
      <c r="H24" s="8">
        <v>5.76</v>
      </c>
      <c r="I24" s="8">
        <v>3.76</v>
      </c>
      <c r="J24" s="8"/>
    </row>
    <row r="25" spans="1:10" ht="28.1" customHeight="1">
      <c r="A25" s="6" t="s">
        <v>25</v>
      </c>
      <c r="B25" s="8">
        <v>3.56</v>
      </c>
      <c r="C25" s="8">
        <v>2.96</v>
      </c>
      <c r="D25" s="8">
        <v>3.76</v>
      </c>
      <c r="E25" s="8">
        <v>3.96</v>
      </c>
      <c r="F25" s="8">
        <v>9.9600000000000009</v>
      </c>
      <c r="G25" s="8">
        <v>5.76</v>
      </c>
      <c r="H25" s="8">
        <v>5.76</v>
      </c>
      <c r="I25" s="8">
        <v>3.56</v>
      </c>
      <c r="J25" s="8"/>
    </row>
    <row r="26" spans="1:10" ht="28.1" customHeight="1">
      <c r="A26" s="6" t="s">
        <v>26</v>
      </c>
      <c r="B26" s="8">
        <v>2.76</v>
      </c>
      <c r="C26" s="8">
        <v>2.96</v>
      </c>
      <c r="D26" s="8">
        <v>3.76</v>
      </c>
      <c r="E26" s="8">
        <v>3.96</v>
      </c>
      <c r="F26" s="8">
        <v>9.9600000000000009</v>
      </c>
      <c r="G26" s="8">
        <v>5.16</v>
      </c>
      <c r="H26" s="8">
        <v>4.96</v>
      </c>
      <c r="I26" s="8">
        <v>3.56</v>
      </c>
      <c r="J26" s="8"/>
    </row>
    <row r="27" spans="1:10" ht="28.1" customHeight="1">
      <c r="A27" s="6" t="s">
        <v>27</v>
      </c>
      <c r="B27" s="8">
        <v>2.76</v>
      </c>
      <c r="C27" s="8">
        <v>2.96</v>
      </c>
      <c r="D27" s="8">
        <v>3.76</v>
      </c>
      <c r="E27" s="8">
        <v>3.96</v>
      </c>
      <c r="F27" s="8">
        <v>9.16</v>
      </c>
      <c r="G27" s="8">
        <v>5.36</v>
      </c>
      <c r="H27" s="8">
        <v>4.5599999999999996</v>
      </c>
      <c r="I27" s="8">
        <v>3.36</v>
      </c>
      <c r="J27" s="8"/>
    </row>
    <row r="28" spans="1:10" ht="28.1" customHeight="1">
      <c r="A28" s="6" t="s">
        <v>12</v>
      </c>
      <c r="B28" s="8">
        <v>2.96</v>
      </c>
      <c r="C28" s="8">
        <v>1.98</v>
      </c>
      <c r="D28" s="8">
        <v>3.76</v>
      </c>
      <c r="E28" s="8">
        <v>3.96</v>
      </c>
      <c r="F28" s="8">
        <v>9.36</v>
      </c>
      <c r="G28" s="8">
        <v>5.36</v>
      </c>
      <c r="H28" s="8">
        <v>4.5599999999999996</v>
      </c>
      <c r="I28" s="8">
        <v>3.56</v>
      </c>
      <c r="J28" s="8"/>
    </row>
    <row r="29" spans="1:10" ht="28.1" customHeight="1">
      <c r="B29" s="8">
        <f>B28/2</f>
        <v>1.48</v>
      </c>
      <c r="C29" s="8">
        <f t="shared" ref="C29:I29" si="0">C28/2</f>
        <v>0.99</v>
      </c>
      <c r="D29" s="8">
        <f t="shared" si="0"/>
        <v>1.88</v>
      </c>
      <c r="E29" s="8">
        <f t="shared" si="0"/>
        <v>1.98</v>
      </c>
      <c r="F29" s="8">
        <f t="shared" si="0"/>
        <v>4.68</v>
      </c>
      <c r="G29" s="8">
        <f t="shared" si="0"/>
        <v>2.68</v>
      </c>
      <c r="H29" s="8">
        <f t="shared" si="0"/>
        <v>2.2799999999999998</v>
      </c>
      <c r="I29" s="8">
        <f t="shared" si="0"/>
        <v>1.78</v>
      </c>
      <c r="J29" s="8"/>
    </row>
    <row r="30" spans="1:10" ht="19.95" customHeight="1">
      <c r="A30" s="9" t="s">
        <v>28</v>
      </c>
      <c r="B30" s="10">
        <f>B28/B27-1</f>
        <v>7.2463768115942129E-2</v>
      </c>
      <c r="C30" s="10">
        <f t="shared" ref="C30:I30" si="1">C28/C27-1</f>
        <v>-0.33108108108108103</v>
      </c>
      <c r="D30" s="10">
        <f t="shared" si="1"/>
        <v>0</v>
      </c>
      <c r="E30" s="10">
        <f t="shared" si="1"/>
        <v>0</v>
      </c>
      <c r="F30" s="10">
        <f t="shared" si="1"/>
        <v>2.1834061135371119E-2</v>
      </c>
      <c r="G30" s="10">
        <f t="shared" si="1"/>
        <v>0</v>
      </c>
      <c r="H30" s="10">
        <f t="shared" si="1"/>
        <v>0</v>
      </c>
      <c r="I30" s="10">
        <f t="shared" si="1"/>
        <v>5.9523809523809534E-2</v>
      </c>
      <c r="J30" s="10"/>
    </row>
    <row r="31" spans="1:10" ht="25.1" customHeight="1">
      <c r="A31" s="9" t="s">
        <v>29</v>
      </c>
      <c r="B31" s="10">
        <f>B28/B2-1</f>
        <v>-7.5000000000000067E-2</v>
      </c>
      <c r="C31" s="10">
        <f t="shared" ref="C31:I31" si="2">C28/C2-1</f>
        <v>9.9999999999999867E-2</v>
      </c>
      <c r="D31" s="10">
        <f t="shared" si="2"/>
        <v>0.87999999999999989</v>
      </c>
      <c r="E31" s="10">
        <f t="shared" si="2"/>
        <v>0.98</v>
      </c>
      <c r="F31" s="10">
        <f t="shared" si="2"/>
        <v>-0.19310344827586212</v>
      </c>
      <c r="G31" s="10">
        <f t="shared" si="2"/>
        <v>-0.25555555555555554</v>
      </c>
      <c r="H31" s="10">
        <f t="shared" si="2"/>
        <v>-0.30909090909090908</v>
      </c>
      <c r="I31" s="10">
        <f t="shared" si="2"/>
        <v>-0.34074074074074079</v>
      </c>
      <c r="J31" s="10"/>
    </row>
    <row r="32" spans="1:10" ht="26.7" customHeigh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