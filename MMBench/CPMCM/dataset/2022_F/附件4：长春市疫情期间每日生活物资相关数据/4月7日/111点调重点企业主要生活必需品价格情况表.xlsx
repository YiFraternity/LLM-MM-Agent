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7日\"/>
    </mc:Choice>
  </mc:AlternateContent>
  <xr:revisionPtr revIDLastSave="0" documentId="8_{0FAD5C60-E4CF-4554-BAE5-3B38F834E06B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H36" i="1"/>
  <c r="I36" i="1"/>
  <c r="B36" i="1"/>
  <c r="C35" i="1"/>
  <c r="D35" i="1"/>
  <c r="E35" i="1"/>
  <c r="F35" i="1"/>
  <c r="G35" i="1"/>
  <c r="H35" i="1"/>
  <c r="I35" i="1"/>
  <c r="B35" i="1"/>
  <c r="C34" i="1"/>
  <c r="D34" i="1"/>
  <c r="E34" i="1"/>
  <c r="F34" i="1"/>
  <c r="G34" i="1"/>
  <c r="H34" i="1"/>
  <c r="I34" i="1"/>
  <c r="B34" i="1"/>
</calcChain>
</file>

<file path=xl/sharedStrings.xml><?xml version="1.0" encoding="utf-8"?>
<sst xmlns="http://schemas.openxmlformats.org/spreadsheetml/2006/main" count="52" uniqueCount="43">
  <si>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</si>
  <si>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</si>
  <si>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</si>
  <si>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</si>
  <si>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</si>
  <si>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</si>
  <si>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</si>
  <si>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</si>
  <si>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</si>
  <si>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</si>
  <si>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</si>
  <si>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</si>
  <si>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</si>
  <si>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</si>
  <si>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</si>
  <si>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</si>
  <si>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</si>
  <si>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</si>
  <si>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</si>
  <si>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</si>
  <si>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</si>
  <si>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</si>
  <si>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</si>
  <si>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</si>
  <si>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</si>
  <si>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</si>
  <si>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</si>
  <si>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</si>
  <si>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</si>
  <si>
    <t>较昨日</t>
    <phoneticPr fontId="1" type="noConversion"/>
  </si>
  <si>
    <t>较疫情初期</t>
    <phoneticPr fontId="1" type="noConversion"/>
  </si>
  <si>
    <t>26日</t>
    <phoneticPr fontId="1" type="noConversion"/>
  </si>
  <si>
    <t>27日</t>
  </si>
  <si>
    <t>28日</t>
  </si>
  <si>
    <t>29日</t>
  </si>
  <si>
    <t>30日</t>
    <phoneticPr fontId="1" type="noConversion"/>
  </si>
  <si>
    <t>31日</t>
  </si>
  <si>
    <t>1日</t>
    <phoneticPr fontId="1" type="noConversion"/>
  </si>
  <si>
    <t>2日</t>
  </si>
  <si>
    <t>3日</t>
  </si>
  <si>
    <t>4日</t>
  </si>
  <si>
    <t>5日</t>
  </si>
  <si>
    <t>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</si>
</sst>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2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9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8" fillId="0" borderId="0" xfId="0" applyFont="1" applyProtection="1">
      <alignment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Border="1" applyAlignment="1" applyProtection="1">
      <alignment horizontal="center" vertical="center" wrapText="1"/>
      <protection locked="0"/>
    </xf>
    <xf numFmtId="176" fontId="11" fillId="0" borderId="0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72161984627"/>
          <c:y val="3.65882176003415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工作表1!$B$2:$B$33</c:f>
              <c:numCache>
                <c:formatCode>0.00_ </c:formatCode>
                <c:ptCount val="3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C-408A-BB7B-35D635A9A7C2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工作表1!$C$2:$C$33</c:f>
              <c:numCache>
                <c:formatCode>0.00_ </c:formatCode>
                <c:ptCount val="32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C-408A-BB7B-35D635A9A7C2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工作表1!$D$2:$D$33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C-408A-BB7B-35D635A9A7C2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工作表1!$E$2:$E$33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0C-408A-BB7B-35D635A9A7C2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工作表1!$F$2:$F$33</c:f>
              <c:numCache>
                <c:formatCode>0.00_ </c:formatCode>
                <c:ptCount val="32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0C-408A-BB7B-35D635A9A7C2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工作表1!$G$2:$G$33</c:f>
              <c:numCache>
                <c:formatCode>0.00_ </c:formatCode>
                <c:ptCount val="32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0C-408A-BB7B-35D635A9A7C2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工作表1!$H$2:$H$33</c:f>
              <c:numCache>
                <c:formatCode>0.00_ </c:formatCode>
                <c:ptCount val="32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0C-408A-BB7B-35D635A9A7C2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</c:strCache>
            </c:strRef>
          </c:cat>
          <c:val>
            <c:numRef>
              <c:f>工作表1!$I$2:$I$33</c:f>
              <c:numCache>
                <c:formatCode>0.00_ </c:formatCode>
                <c:ptCount val="32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0C-408A-BB7B-35D635A9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878768"/>
        <c:axId val="1"/>
      </c:lineChart>
      <c:catAx>
        <c:axId val="84587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8787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452584403584751"/>
          <c:y val="0.9427332817758326"/>
          <c:w val="0.62850245535699734"/>
          <c:h val="4.432576210184534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130629</xdr:colOff>
      <xdr:row>25</xdr:row>
      <xdr:rowOff>435429</xdr:rowOff>
    </xdr:from>
    <xdr:to>
      <xdr:col>16</xdr:col>
      <xdr:colOff>108857</xdr:colOff>
      <xdr:row>43</xdr:row>
      <xdr:rowOff>185057</xdr:rowOff>
    </xdr:to>
    <xdr:graphicFrame macro="">
      <xdr:nvGraphicFramePr>
        <xdr:cNvPr id="1100" name="图表 2">
          <a:extLst>
            <a:ext uri="{FF2B5EF4-FFF2-40B4-BE49-F238E27FC236}">
              <a16:creationId xmlns:a16="http://schemas.microsoft.com/office/drawing/2014/main" id="{8EB0804F-BEBF-4B1A-9E06-73310388D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tabSelected="1" topLeftCell="A27" zoomScaleNormal="100" workbookViewId="0">
      <selection activeCell="Q32" sqref="Q32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12" t="s">
        <v>31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4">
        <v>7</v>
      </c>
    </row>
    <row r="22" spans="1:10" ht="35.700000000000003" customHeight="1">
      <c r="A22" s="12" t="s">
        <v>32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8">
        <v>7.2</v>
      </c>
    </row>
    <row r="23" spans="1:10" ht="35.700000000000003" customHeight="1">
      <c r="A23" s="12" t="s">
        <v>33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8">
        <v>7.2</v>
      </c>
    </row>
    <row r="24" spans="1:10" ht="35.700000000000003" customHeight="1">
      <c r="A24" s="12" t="s">
        <v>34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8">
        <v>7.2</v>
      </c>
    </row>
    <row r="25" spans="1:10" ht="35.700000000000003" customHeight="1">
      <c r="A25" s="15" t="s">
        <v>35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8">
        <v>7.2</v>
      </c>
    </row>
    <row r="26" spans="1:10" ht="35.700000000000003" customHeight="1">
      <c r="A26" s="15" t="s">
        <v>36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6"/>
    </row>
    <row r="27" spans="1:10" ht="35.700000000000003" customHeight="1">
      <c r="A27" s="18" t="s">
        <v>37</v>
      </c>
      <c r="B27" s="17">
        <v>4.9000000000000004</v>
      </c>
      <c r="C27" s="17">
        <v>2.2000000000000002</v>
      </c>
      <c r="D27" s="17">
        <v>2.2000000000000002</v>
      </c>
      <c r="E27" s="17">
        <v>3</v>
      </c>
      <c r="F27" s="17">
        <v>13</v>
      </c>
      <c r="G27" s="17">
        <v>8.8000000000000007</v>
      </c>
      <c r="H27" s="17">
        <v>7.2</v>
      </c>
      <c r="I27" s="17">
        <v>4</v>
      </c>
      <c r="J27" s="16"/>
    </row>
    <row r="28" spans="1:10" ht="35.700000000000003" customHeight="1">
      <c r="A28" s="18" t="s">
        <v>38</v>
      </c>
      <c r="B28" s="17">
        <v>4.9000000000000004</v>
      </c>
      <c r="C28" s="17">
        <v>2.2000000000000002</v>
      </c>
      <c r="D28" s="17">
        <v>2.2000000000000002</v>
      </c>
      <c r="E28" s="17">
        <v>3</v>
      </c>
      <c r="F28" s="17">
        <v>13</v>
      </c>
      <c r="G28" s="17">
        <v>8.8000000000000007</v>
      </c>
      <c r="H28" s="17">
        <v>7.2</v>
      </c>
      <c r="I28" s="17">
        <v>4</v>
      </c>
      <c r="J28" s="16"/>
    </row>
    <row r="29" spans="1:10" ht="27.75" customHeight="1">
      <c r="A29" s="18" t="s">
        <v>39</v>
      </c>
      <c r="B29" s="9">
        <v>5.8</v>
      </c>
      <c r="C29" s="9">
        <v>2.2000000000000002</v>
      </c>
      <c r="D29" s="9">
        <v>2.2000000000000002</v>
      </c>
      <c r="E29" s="9">
        <v>3.1</v>
      </c>
      <c r="F29" s="9">
        <v>13</v>
      </c>
      <c r="G29" s="9">
        <v>8.8000000000000007</v>
      </c>
      <c r="H29" s="9">
        <v>14.7</v>
      </c>
      <c r="I29" s="9">
        <v>8</v>
      </c>
      <c r="J29" s="9"/>
    </row>
    <row r="30" spans="1:10" ht="27.75" customHeight="1">
      <c r="A30" s="18" t="s">
        <v>40</v>
      </c>
      <c r="B30" s="9">
        <v>4.8</v>
      </c>
      <c r="C30" s="9">
        <v>1.8</v>
      </c>
      <c r="D30" s="9">
        <v>4.22</v>
      </c>
      <c r="E30" s="9">
        <v>2.79</v>
      </c>
      <c r="F30" s="9">
        <v>9</v>
      </c>
      <c r="G30" s="9">
        <v>9.4</v>
      </c>
      <c r="H30" s="9">
        <v>12.4</v>
      </c>
      <c r="I30" s="9">
        <v>8</v>
      </c>
      <c r="J30" s="9"/>
    </row>
    <row r="31" spans="1:10" ht="27.75" customHeight="1">
      <c r="A31" s="18" t="s">
        <v>41</v>
      </c>
      <c r="B31" s="9">
        <v>3.9</v>
      </c>
      <c r="C31" s="9">
        <v>1.8</v>
      </c>
      <c r="D31" s="9">
        <v>5.4</v>
      </c>
      <c r="E31" s="9">
        <v>4.7</v>
      </c>
      <c r="F31" s="9">
        <v>10.4</v>
      </c>
      <c r="G31" s="9">
        <v>8.8000000000000007</v>
      </c>
      <c r="H31" s="9">
        <v>14.7</v>
      </c>
      <c r="I31" s="9">
        <v>8</v>
      </c>
      <c r="J31" s="9"/>
    </row>
    <row r="32" spans="1:10" ht="27.75" customHeight="1">
      <c r="A32" s="18" t="s">
        <v>42</v>
      </c>
      <c r="B32" s="9">
        <v>3.9</v>
      </c>
      <c r="C32" s="9">
        <v>1.8</v>
      </c>
      <c r="D32" s="9">
        <v>5.4</v>
      </c>
      <c r="E32" s="9">
        <v>4.7</v>
      </c>
      <c r="F32" s="9">
        <v>10.4</v>
      </c>
      <c r="G32" s="9">
        <v>6</v>
      </c>
      <c r="H32" s="9">
        <v>14.7</v>
      </c>
      <c r="I32" s="9">
        <v>8</v>
      </c>
      <c r="J32" s="9"/>
    </row>
    <row r="33" spans="1:10" ht="27.75" customHeight="1">
      <c r="A33" s="18" t="s">
        <v>5</v>
      </c>
      <c r="B33" s="9">
        <v>4.76</v>
      </c>
      <c r="C33" s="9">
        <v>2.7</v>
      </c>
      <c r="D33" s="9">
        <v>6.56</v>
      </c>
      <c r="E33" s="9">
        <v>5.76</v>
      </c>
      <c r="F33" s="9">
        <v>13.96</v>
      </c>
      <c r="G33" s="9">
        <v>11.76</v>
      </c>
      <c r="H33" s="9">
        <v>17.920000000000002</v>
      </c>
      <c r="I33" s="9">
        <v>10.52</v>
      </c>
      <c r="J33" s="9"/>
    </row>
    <row r="34" spans="1:10" ht="27.75" customHeight="1">
      <c r="B34" s="9">
        <f>B33/2</f>
        <v>2.38</v>
      </c>
      <c r="C34" s="9">
        <f t="shared" ref="C34:I34" si="0">C33/2</f>
        <v>1.35</v>
      </c>
      <c r="D34" s="9">
        <f t="shared" si="0"/>
        <v>3.28</v>
      </c>
      <c r="E34" s="9">
        <f t="shared" si="0"/>
        <v>2.88</v>
      </c>
      <c r="F34" s="9">
        <f t="shared" si="0"/>
        <v>6.98</v>
      </c>
      <c r="G34" s="9">
        <f t="shared" si="0"/>
        <v>5.88</v>
      </c>
      <c r="H34" s="9">
        <f t="shared" si="0"/>
        <v>8.9600000000000009</v>
      </c>
      <c r="I34" s="9">
        <f t="shared" si="0"/>
        <v>5.26</v>
      </c>
      <c r="J34" s="9"/>
    </row>
    <row r="35" spans="1:10">
      <c r="A35" s="11" t="s">
        <v>29</v>
      </c>
      <c r="B35" s="10">
        <f>B33/B32-1</f>
        <v>0.2205128205128204</v>
      </c>
      <c r="C35" s="10">
        <f t="shared" ref="C35:I35" si="1">C33/C32-1</f>
        <v>0.5</v>
      </c>
      <c r="D35" s="10">
        <f t="shared" si="1"/>
        <v>0.21481481481481457</v>
      </c>
      <c r="E35" s="10">
        <f t="shared" si="1"/>
        <v>0.22553191489361701</v>
      </c>
      <c r="F35" s="10">
        <f t="shared" si="1"/>
        <v>0.34230769230769242</v>
      </c>
      <c r="G35" s="10">
        <f t="shared" si="1"/>
        <v>0.96</v>
      </c>
      <c r="H35" s="10">
        <f t="shared" si="1"/>
        <v>0.21904761904761916</v>
      </c>
      <c r="I35" s="10">
        <f t="shared" si="1"/>
        <v>0.31499999999999995</v>
      </c>
      <c r="J35" s="10"/>
    </row>
    <row r="36" spans="1:10" ht="25.2" customHeight="1">
      <c r="A36" s="11" t="s">
        <v>30</v>
      </c>
      <c r="B36" s="10">
        <f>B33/B2-1</f>
        <v>0.48749999999999982</v>
      </c>
      <c r="C36" s="10">
        <f t="shared" ref="C36:I36" si="2">C33/C2-1</f>
        <v>0.5</v>
      </c>
      <c r="D36" s="10">
        <f t="shared" si="2"/>
        <v>2.2799999999999998</v>
      </c>
      <c r="E36" s="10">
        <f t="shared" si="2"/>
        <v>1.88</v>
      </c>
      <c r="F36" s="10">
        <f t="shared" si="2"/>
        <v>0.20344827586206904</v>
      </c>
      <c r="G36" s="10">
        <f t="shared" si="2"/>
        <v>0.6333333333333333</v>
      </c>
      <c r="H36" s="10">
        <f t="shared" si="2"/>
        <v>1.7151515151515158</v>
      </c>
      <c r="I36" s="10">
        <f t="shared" si="2"/>
        <v>0.94814814814814796</v>
      </c>
      <c r="J36" s="10"/>
    </row>
    <row r="37" spans="1:10">
      <c r="B37" s="2" t="s">
        <v>1</v>
      </c>
      <c r="C37" s="2" t="s">
        <v>2</v>
      </c>
      <c r="D37" s="2" t="s">
        <v>3</v>
      </c>
      <c r="E37" s="2" t="s">
        <v>4</v>
      </c>
      <c r="F37" s="2" t="s">
        <v>18</v>
      </c>
      <c r="G37" s="2" t="s">
        <v>19</v>
      </c>
      <c r="H37" s="2" t="s">
        <v>20</v>
      </c>
      <c r="I37" s="2" t="s">
        <v>21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2025-03-30T13:25:57Z</dcterms:modified>
</cp:coreProperties>
</file>