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0日\"/>
    </mc:Choice>
  </mc:AlternateContent>
  <xr:revisionPtr revIDLastSave="0" documentId="8_{EBFC3311-FB65-427C-9FA3-2AFEC7B1D2B8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7" i="1" l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</calcChain>
</file>

<file path=xl/sharedStrings.xml><?xml version="1.0" encoding="utf-8"?>
<sst xmlns="http://schemas.openxmlformats.org/spreadsheetml/2006/main" count="55" uniqueCount="43">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</sst>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68433799638"/>
          <c:y val="3.6588275801001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</c:strCache>
            </c:strRef>
          </c:cat>
          <c:val>
            <c:numRef>
              <c:f>工作表1!$B$2:$B$36</c:f>
              <c:numCache>
                <c:formatCode>0.00_ </c:formatCode>
                <c:ptCount val="35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  <c:pt idx="33">
                  <c:v>4.76</c:v>
                </c:pt>
                <c:pt idx="34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C-4A04-A8D7-0924A1544AB8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</c:strCache>
            </c:strRef>
          </c:cat>
          <c:val>
            <c:numRef>
              <c:f>工作表1!$C$2:$C$36</c:f>
              <c:numCache>
                <c:formatCode>0.00_ </c:formatCode>
                <c:ptCount val="3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  <c:pt idx="33">
                  <c:v>2.16</c:v>
                </c:pt>
                <c:pt idx="34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C-4A04-A8D7-0924A1544AB8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</c:strCache>
            </c:strRef>
          </c:cat>
          <c:val>
            <c:numRef>
              <c:f>工作表1!$D$2:$D$36</c:f>
              <c:numCache>
                <c:formatCode>0.00_ 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  <c:pt idx="33">
                  <c:v>6.76</c:v>
                </c:pt>
                <c:pt idx="34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8C-4A04-A8D7-0924A1544AB8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</c:strCache>
            </c:strRef>
          </c:cat>
          <c:val>
            <c:numRef>
              <c:f>工作表1!$E$2:$E$36</c:f>
              <c:numCache>
                <c:formatCode>0.00_ 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  <c:pt idx="34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8C-4A04-A8D7-0924A1544AB8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</c:strCache>
            </c:strRef>
          </c:cat>
          <c:val>
            <c:numRef>
              <c:f>工作表1!$F$2:$F$36</c:f>
              <c:numCache>
                <c:formatCode>0.00_ </c:formatCode>
                <c:ptCount val="35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  <c:pt idx="33">
                  <c:v>10.56</c:v>
                </c:pt>
                <c:pt idx="34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8C-4A04-A8D7-0924A1544AB8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</c:strCache>
            </c:strRef>
          </c:cat>
          <c:val>
            <c:numRef>
              <c:f>工作表1!$G$2:$G$36</c:f>
              <c:numCache>
                <c:formatCode>0.00_ </c:formatCode>
                <c:ptCount val="35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  <c:pt idx="33">
                  <c:v>6.36</c:v>
                </c:pt>
                <c:pt idx="34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8C-4A04-A8D7-0924A1544AB8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</c:strCache>
            </c:strRef>
          </c:cat>
          <c:val>
            <c:numRef>
              <c:f>工作表1!$H$2:$H$36</c:f>
              <c:numCache>
                <c:formatCode>0.00_ </c:formatCode>
                <c:ptCount val="35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  <c:pt idx="33">
                  <c:v>13.56</c:v>
                </c:pt>
                <c:pt idx="3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8C-4A04-A8D7-0924A1544AB8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</c:strCache>
            </c:strRef>
          </c:cat>
          <c:val>
            <c:numRef>
              <c:f>工作表1!$I$2:$I$36</c:f>
              <c:numCache>
                <c:formatCode>0.00_ </c:formatCode>
                <c:ptCount val="35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  <c:pt idx="33">
                  <c:v>10.52</c:v>
                </c:pt>
                <c:pt idx="34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8C-4A04-A8D7-0924A1544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132191"/>
        <c:axId val="1"/>
      </c:lineChart>
      <c:catAx>
        <c:axId val="468132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4681321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138999132257874"/>
          <c:y val="0.92835758783643296"/>
          <c:w val="0.68080914506270518"/>
          <c:h val="4.3232338649245645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244929</xdr:colOff>
      <xdr:row>32</xdr:row>
      <xdr:rowOff>250371</xdr:rowOff>
    </xdr:from>
    <xdr:to>
      <xdr:col>22</xdr:col>
      <xdr:colOff>451757</xdr:colOff>
      <xdr:row>53</xdr:row>
      <xdr:rowOff>119743</xdr:rowOff>
    </xdr:to>
    <xdr:graphicFrame macro="">
      <xdr:nvGraphicFramePr>
        <xdr:cNvPr id="1106" name="图表 2">
          <a:extLst>
            <a:ext uri="{FF2B5EF4-FFF2-40B4-BE49-F238E27FC236}">
              <a16:creationId xmlns:a16="http://schemas.microsoft.com/office/drawing/2014/main" id="{5B9B55A6-7949-42AA-A133-A55A2430D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topLeftCell="A27" workbookViewId="0">
      <selection activeCell="B38" sqref="B38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A35" s="6" t="s">
        <v>12</v>
      </c>
      <c r="B35" s="8">
        <v>4.76</v>
      </c>
      <c r="C35" s="8">
        <v>2.16</v>
      </c>
      <c r="D35" s="8">
        <v>6.76</v>
      </c>
      <c r="E35" s="8">
        <v>5.76</v>
      </c>
      <c r="F35" s="8">
        <v>10.56</v>
      </c>
      <c r="G35" s="8">
        <v>6.36</v>
      </c>
      <c r="H35" s="8">
        <v>13.56</v>
      </c>
      <c r="I35" s="8">
        <v>10.52</v>
      </c>
      <c r="J35" s="8"/>
    </row>
    <row r="36" spans="1:10" ht="27.75" customHeight="1">
      <c r="A36" s="6" t="s">
        <v>13</v>
      </c>
      <c r="B36" s="8">
        <v>4.9000000000000004</v>
      </c>
      <c r="C36" s="8">
        <v>2.4</v>
      </c>
      <c r="D36" s="8">
        <v>6.56</v>
      </c>
      <c r="E36" s="8">
        <v>5.8</v>
      </c>
      <c r="F36" s="8">
        <v>10.7</v>
      </c>
      <c r="G36" s="8">
        <v>7.96</v>
      </c>
      <c r="H36" s="8">
        <v>13</v>
      </c>
      <c r="I36" s="8">
        <v>10.52</v>
      </c>
      <c r="J36" s="8"/>
    </row>
    <row r="37" spans="1:10" ht="27.75" customHeight="1">
      <c r="B37" s="8">
        <f>B36/2</f>
        <v>2.4500000000000002</v>
      </c>
      <c r="C37" s="8">
        <f t="shared" ref="C37:I37" si="0">C36/2</f>
        <v>1.2</v>
      </c>
      <c r="D37" s="8">
        <f t="shared" si="0"/>
        <v>3.28</v>
      </c>
      <c r="E37" s="8">
        <f t="shared" si="0"/>
        <v>2.9</v>
      </c>
      <c r="F37" s="8">
        <f t="shared" si="0"/>
        <v>5.35</v>
      </c>
      <c r="G37" s="8">
        <f t="shared" si="0"/>
        <v>3.98</v>
      </c>
      <c r="H37" s="8">
        <f t="shared" si="0"/>
        <v>6.5</v>
      </c>
      <c r="I37" s="8">
        <f t="shared" si="0"/>
        <v>5.26</v>
      </c>
      <c r="J37" s="8"/>
    </row>
    <row r="38" spans="1:10">
      <c r="A38" s="9" t="s">
        <v>41</v>
      </c>
      <c r="B38" s="10">
        <f>B36/B35-1</f>
        <v>2.941176470588247E-2</v>
      </c>
      <c r="C38" s="10">
        <f t="shared" ref="C38:I38" si="1">C36/C35-1</f>
        <v>0.11111111111111094</v>
      </c>
      <c r="D38" s="10">
        <f t="shared" si="1"/>
        <v>-2.9585798816568087E-2</v>
      </c>
      <c r="E38" s="10">
        <f t="shared" si="1"/>
        <v>6.9444444444444198E-3</v>
      </c>
      <c r="F38" s="10">
        <f t="shared" si="1"/>
        <v>1.325757575757569E-2</v>
      </c>
      <c r="G38" s="10">
        <f t="shared" si="1"/>
        <v>0.2515723270440251</v>
      </c>
      <c r="H38" s="10">
        <f t="shared" si="1"/>
        <v>-4.1297935103244865E-2</v>
      </c>
      <c r="I38" s="10">
        <f t="shared" si="1"/>
        <v>0</v>
      </c>
      <c r="J38" s="10"/>
    </row>
    <row r="39" spans="1:10" ht="25.2" customHeight="1">
      <c r="A39" s="9" t="s">
        <v>42</v>
      </c>
      <c r="B39" s="10">
        <f>B36/B2-1</f>
        <v>0.53125</v>
      </c>
      <c r="C39" s="10">
        <f t="shared" ref="C39:I39" si="2">C36/C2-1</f>
        <v>0.33333333333333326</v>
      </c>
      <c r="D39" s="10">
        <f t="shared" si="2"/>
        <v>2.2799999999999998</v>
      </c>
      <c r="E39" s="10">
        <f t="shared" si="2"/>
        <v>1.9</v>
      </c>
      <c r="F39" s="10">
        <f t="shared" si="2"/>
        <v>-7.7586206896551713E-2</v>
      </c>
      <c r="G39" s="10">
        <f t="shared" si="2"/>
        <v>0.10555555555555562</v>
      </c>
      <c r="H39" s="10">
        <f t="shared" si="2"/>
        <v>0.96969696969696972</v>
      </c>
      <c r="I39" s="10">
        <f t="shared" si="2"/>
        <v>0.94814814814814796</v>
      </c>
      <c r="J39" s="10"/>
    </row>
    <row r="40" spans="1:10"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