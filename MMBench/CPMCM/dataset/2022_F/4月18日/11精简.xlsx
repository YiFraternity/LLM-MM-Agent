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8日\"/>
    </mc:Choice>
  </mc:AlternateContent>
  <xr:revisionPtr revIDLastSave="0" documentId="8_{B8F0B181-B66F-42B2-B068-2A630CA42EBC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6" i="1" l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</calcChain>
</file>

<file path=xl/sharedStrings.xml><?xml version="1.0" encoding="utf-8"?>
<sst xmlns="http://schemas.openxmlformats.org/spreadsheetml/2006/main" count="44" uniqueCount="33">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</sst>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55431427241"/>
          <c:y val="1.45297909823214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</c:strCache>
            </c:strRef>
          </c:cat>
          <c:val>
            <c:numRef>
              <c:f>工作表1!$B$2:$B$25</c:f>
              <c:numCache>
                <c:formatCode>0.00_ </c:formatCode>
                <c:ptCount val="24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1-48D0-AFAF-908058CF442B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</c:strCache>
            </c:strRef>
          </c:cat>
          <c:val>
            <c:numRef>
              <c:f>工作表1!$C$2:$C$25</c:f>
              <c:numCache>
                <c:formatCode>0.00_ </c:formatCode>
                <c:ptCount val="24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C1-48D0-AFAF-908058CF442B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</c:strCache>
            </c:strRef>
          </c:cat>
          <c:val>
            <c:numRef>
              <c:f>工作表1!$D$2:$D$25</c:f>
              <c:numCache>
                <c:formatCode>0.00_ 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  <c:pt idx="23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C1-48D0-AFAF-908058CF442B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</c:strCache>
            </c:strRef>
          </c:cat>
          <c:val>
            <c:numRef>
              <c:f>工作表1!$E$2:$E$25</c:f>
              <c:numCache>
                <c:formatCode>0.00_ 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C1-48D0-AFAF-908058CF442B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</c:strCache>
            </c:strRef>
          </c:cat>
          <c:val>
            <c:numRef>
              <c:f>工作表1!$F$2:$F$25</c:f>
              <c:numCache>
                <c:formatCode>0.00_ </c:formatCode>
                <c:ptCount val="24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  <c:pt idx="23">
                  <c:v>12.96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C1-48D0-AFAF-908058CF442B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</c:strCache>
            </c:strRef>
          </c:cat>
          <c:val>
            <c:numRef>
              <c:f>工作表1!$G$2:$G$25</c:f>
              <c:numCache>
                <c:formatCode>0.00_ </c:formatCode>
                <c:ptCount val="24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  <c:pt idx="23">
                  <c:v>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C1-48D0-AFAF-908058CF442B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</c:strCache>
            </c:strRef>
          </c:cat>
          <c:val>
            <c:numRef>
              <c:f>工作表1!$H$2:$H$25</c:f>
              <c:numCache>
                <c:formatCode>0.00_ </c:formatCode>
                <c:ptCount val="24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  <c:pt idx="23">
                  <c:v>10.96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C1-48D0-AFAF-908058CF442B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工作表1!$A$2:$A$25</c:f>
              <c:strCache>
                <c:ptCount val="2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</c:strCache>
            </c:strRef>
          </c:cat>
          <c:val>
            <c:numRef>
              <c:f>工作表1!$I$2:$I$25</c:f>
              <c:numCache>
                <c:formatCode>0.00_ </c:formatCode>
                <c:ptCount val="24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  <c:pt idx="23">
                  <c:v>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C1-48D0-AFAF-908058CF4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850416"/>
        <c:axId val="1"/>
      </c:lineChart>
      <c:catAx>
        <c:axId val="111585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1158504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9967151374279812"/>
          <c:y val="0.95171558069838402"/>
          <c:w val="0.63917194064035365"/>
          <c:h val="3.4640988569481411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446314</xdr:colOff>
      <xdr:row>15</xdr:row>
      <xdr:rowOff>288471</xdr:rowOff>
    </xdr:from>
    <xdr:to>
      <xdr:col>24</xdr:col>
      <xdr:colOff>604157</xdr:colOff>
      <xdr:row>37</xdr:row>
      <xdr:rowOff>146957</xdr:rowOff>
    </xdr:to>
    <xdr:graphicFrame macro="">
      <xdr:nvGraphicFramePr>
        <xdr:cNvPr id="1123" name="图表 2">
          <a:extLst>
            <a:ext uri="{FF2B5EF4-FFF2-40B4-BE49-F238E27FC236}">
              <a16:creationId xmlns:a16="http://schemas.microsoft.com/office/drawing/2014/main" id="{ACAD18A1-322D-43B9-A646-CD2825493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tabSelected="1" topLeftCell="A14" zoomScale="85" workbookViewId="0">
      <selection activeCell="A26" sqref="A26:IV26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A25" s="6" t="s">
        <v>30</v>
      </c>
      <c r="B25" s="8">
        <v>4.5599999999999996</v>
      </c>
      <c r="C25" s="8">
        <v>2.7</v>
      </c>
      <c r="D25" s="8">
        <v>6.36</v>
      </c>
      <c r="E25" s="8">
        <v>5.76</v>
      </c>
      <c r="F25" s="8">
        <v>12.96</v>
      </c>
      <c r="G25" s="8">
        <v>7.16</v>
      </c>
      <c r="H25" s="8">
        <v>10.96</v>
      </c>
      <c r="I25" s="8">
        <v>7.56</v>
      </c>
      <c r="J25" s="8"/>
    </row>
    <row r="26" spans="1:10" ht="27.75" customHeight="1">
      <c r="B26" s="8">
        <f>B25/2</f>
        <v>2.2799999999999998</v>
      </c>
      <c r="C26" s="8">
        <f t="shared" ref="C26:I26" si="0">C25/2</f>
        <v>1.35</v>
      </c>
      <c r="D26" s="8">
        <f t="shared" si="0"/>
        <v>3.18</v>
      </c>
      <c r="E26" s="8">
        <f t="shared" si="0"/>
        <v>2.88</v>
      </c>
      <c r="F26" s="8">
        <f t="shared" si="0"/>
        <v>6.48</v>
      </c>
      <c r="G26" s="8">
        <f t="shared" si="0"/>
        <v>3.58</v>
      </c>
      <c r="H26" s="8">
        <f t="shared" si="0"/>
        <v>5.48</v>
      </c>
      <c r="I26" s="8">
        <f t="shared" si="0"/>
        <v>3.78</v>
      </c>
      <c r="J26" s="8"/>
    </row>
    <row r="27" spans="1:10" ht="19.95" customHeight="1">
      <c r="A27" s="9" t="s">
        <v>31</v>
      </c>
      <c r="B27" s="10">
        <f>B25/B24-1</f>
        <v>-0.32544378698224852</v>
      </c>
      <c r="C27" s="10">
        <f t="shared" ref="C27:I27" si="1">C25/C24-1</f>
        <v>0.12500000000000022</v>
      </c>
      <c r="D27" s="10">
        <f t="shared" si="1"/>
        <v>1.0126582278481013</v>
      </c>
      <c r="E27" s="10">
        <f t="shared" si="1"/>
        <v>0</v>
      </c>
      <c r="F27" s="10">
        <f t="shared" si="1"/>
        <v>0</v>
      </c>
      <c r="G27" s="10">
        <f t="shared" si="1"/>
        <v>0</v>
      </c>
      <c r="H27" s="10">
        <f t="shared" si="1"/>
        <v>-8.3612040133779209E-2</v>
      </c>
      <c r="I27" s="10">
        <f t="shared" si="1"/>
        <v>0</v>
      </c>
      <c r="J27" s="10"/>
    </row>
    <row r="28" spans="1:10" ht="25.2" customHeight="1">
      <c r="A28" s="9" t="s">
        <v>32</v>
      </c>
      <c r="B28" s="10">
        <f>B25/B2-1</f>
        <v>0.42499999999999982</v>
      </c>
      <c r="C28" s="10">
        <f t="shared" ref="C28:I28" si="2">C25/C2-1</f>
        <v>0.5</v>
      </c>
      <c r="D28" s="10">
        <f t="shared" si="2"/>
        <v>2.1800000000000002</v>
      </c>
      <c r="E28" s="10">
        <f t="shared" si="2"/>
        <v>1.88</v>
      </c>
      <c r="F28" s="10">
        <f t="shared" si="2"/>
        <v>0.11724137931034484</v>
      </c>
      <c r="G28" s="10">
        <f t="shared" si="2"/>
        <v>-5.5555555555555358E-3</v>
      </c>
      <c r="H28" s="10">
        <f t="shared" si="2"/>
        <v>0.66060606060606086</v>
      </c>
      <c r="I28" s="10">
        <f t="shared" si="2"/>
        <v>0.39999999999999991</v>
      </c>
      <c r="J28" s="10"/>
    </row>
    <row r="29" spans="1:10"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