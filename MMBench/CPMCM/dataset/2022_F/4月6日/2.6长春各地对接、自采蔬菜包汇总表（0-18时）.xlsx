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6日\"/>
    </mc:Choice>
  </mc:AlternateContent>
  <xr:revisionPtr revIDLastSave="0" documentId="8_{E23008E9-4CE9-4419-91A7-4CA29F0FBAB2}" xr6:coauthVersionLast="36" xr6:coauthVersionMax="36" xr10:uidLastSave="{00000000-0000-0000-0000-000000000000}"/>
  <bookViews>
    <workbookView xWindow="32769" yWindow="32769" windowWidth="28800" windowHeight="12463"/>
  </bookViews>
  <sheets>
    <sheet name="4月4日全天" sheetId="6" r:id="rId1"/>
  </sheets>
  <definedNames>
    <definedName name="_xlnm.Print_Area" localSheetId="0">'4月4日全天'!$A$1:$O$26</definedName>
    <definedName name="_xlnm.Print_Titles" localSheetId="0">'4月4日全天'!$4:$6</definedName>
  </definedNames>
  <calcPr calcId="191029" fullCalcOnLoad="1"/>
</workbook>
</file>

<file path=xl/calcChain.xml><?xml version="1.0" encoding="utf-8"?>
<calcChain xmlns="http://schemas.openxmlformats.org/spreadsheetml/2006/main">
  <c r="L7" i="6" l="1"/>
  <c r="M7" i="6"/>
  <c r="N7" i="6"/>
  <c r="O7" i="6"/>
  <c r="L8" i="6"/>
  <c r="N8" i="6"/>
  <c r="N12" i="6" s="1"/>
  <c r="O8" i="6"/>
  <c r="L9" i="6"/>
  <c r="N9" i="6"/>
  <c r="O9" i="6"/>
  <c r="O12" i="6" s="1"/>
  <c r="L10" i="6"/>
  <c r="L12" i="6" s="1"/>
  <c r="M10" i="6"/>
  <c r="M12" i="6" s="1"/>
  <c r="N10" i="6"/>
  <c r="O10" i="6"/>
  <c r="L11" i="6"/>
  <c r="M11" i="6"/>
  <c r="N11" i="6"/>
  <c r="O11" i="6"/>
  <c r="D12" i="6"/>
  <c r="E12" i="6"/>
  <c r="E25" i="6" s="1"/>
  <c r="F12" i="6"/>
  <c r="F25" i="6" s="1"/>
  <c r="N25" i="6" s="1"/>
  <c r="G12" i="6"/>
  <c r="G25" i="6" s="1"/>
  <c r="O25" i="6" s="1"/>
  <c r="H12" i="6"/>
  <c r="H25" i="6" s="1"/>
  <c r="I12" i="6"/>
  <c r="I25" i="6" s="1"/>
  <c r="J12" i="6"/>
  <c r="K12" i="6"/>
  <c r="L13" i="6"/>
  <c r="N13" i="6"/>
  <c r="O13" i="6"/>
  <c r="L14" i="6"/>
  <c r="N14" i="6"/>
  <c r="O14" i="6"/>
  <c r="L15" i="6"/>
  <c r="N15" i="6"/>
  <c r="O15" i="6"/>
  <c r="L16" i="6"/>
  <c r="N16" i="6"/>
  <c r="O16" i="6"/>
  <c r="L17" i="6"/>
  <c r="N17" i="6"/>
  <c r="O17" i="6"/>
  <c r="L18" i="6"/>
  <c r="M18" i="6"/>
  <c r="N18" i="6"/>
  <c r="O18" i="6"/>
  <c r="L19" i="6"/>
  <c r="N19" i="6"/>
  <c r="O19" i="6"/>
  <c r="L20" i="6"/>
  <c r="N20" i="6"/>
  <c r="O20" i="6"/>
  <c r="L21" i="6"/>
  <c r="N21" i="6"/>
  <c r="O21" i="6"/>
  <c r="L22" i="6"/>
  <c r="N22" i="6"/>
  <c r="O22" i="6"/>
  <c r="L23" i="6"/>
  <c r="N23" i="6"/>
  <c r="O23" i="6"/>
  <c r="D24" i="6"/>
  <c r="D25" i="6" s="1"/>
  <c r="L25" i="6" s="1"/>
  <c r="F24" i="6"/>
  <c r="N24" i="6" s="1"/>
  <c r="G24" i="6"/>
  <c r="O24" i="6" s="1"/>
  <c r="H24" i="6"/>
  <c r="I24" i="6"/>
  <c r="M24" i="6" s="1"/>
  <c r="J24" i="6"/>
  <c r="J25" i="6" s="1"/>
  <c r="K24" i="6"/>
  <c r="K25" i="6" s="1"/>
  <c r="L24" i="6"/>
  <c r="M25" i="6" l="1"/>
</calcChain>
</file>

<file path=xl/sharedStrings.xml><?xml version="1.0" encoding="utf-8"?>
<sst xmlns="http://schemas.openxmlformats.org/spreadsheetml/2006/main" count="60" uniqueCount="44">
  <si>
    <t>附件2</t>
  </si>
  <si>
    <r>
      <t>4月6日</t>
    </r>
    <r>
      <rPr>
        <b/>
        <sz val="20"/>
        <rFont val="宋体"/>
      </rPr>
      <t>长春各区保供结对蔬菜包对接、自采情况表</t>
    </r>
  </si>
  <si>
    <t>统计时间段：6日0-18时</t>
  </si>
  <si>
    <t>上报时间：4月6日18时</t>
  </si>
  <si>
    <t>序号</t>
  </si>
  <si>
    <t>被包保单位</t>
  </si>
  <si>
    <t>包保单位</t>
  </si>
  <si>
    <t>对接情况</t>
  </si>
  <si>
    <t>自采情况</t>
  </si>
  <si>
    <t>合计</t>
  </si>
  <si>
    <t>接收</t>
  </si>
  <si>
    <t>发放</t>
  </si>
  <si>
    <t>自采</t>
  </si>
  <si>
    <t>接收+自采</t>
  </si>
  <si>
    <t>蔬菜包
（箱/袋）</t>
  </si>
  <si>
    <t>蔬菜总量
（吨）</t>
  </si>
  <si>
    <t>朝阳区
（57.8万人）</t>
  </si>
  <si>
    <t>德惠市</t>
  </si>
  <si>
    <t>南关区
（48.9万人）</t>
  </si>
  <si>
    <t>农安县</t>
  </si>
  <si>
    <r>
      <t xml:space="preserve">德惠市
</t>
    </r>
    <r>
      <rPr>
        <b/>
        <sz val="12"/>
        <color indexed="10"/>
        <rFont val="仿宋"/>
        <family val="3"/>
        <charset val="134"/>
      </rPr>
      <t>（调剂）</t>
    </r>
  </si>
  <si>
    <t>绿园区
（42.6万人）</t>
  </si>
  <si>
    <t>公主岭市</t>
  </si>
  <si>
    <t>二道区
（32.6万人）</t>
  </si>
  <si>
    <t>双阳区</t>
  </si>
  <si>
    <t>外县小计</t>
  </si>
  <si>
    <r>
      <t xml:space="preserve">通化地区
</t>
    </r>
    <r>
      <rPr>
        <b/>
        <sz val="12"/>
        <color indexed="10"/>
        <rFont val="仿宋"/>
        <family val="3"/>
        <charset val="134"/>
      </rPr>
      <t>（调剂）</t>
    </r>
  </si>
  <si>
    <t>宽城区
（38.5万人）</t>
  </si>
  <si>
    <t>通化市</t>
  </si>
  <si>
    <t>长春新区
（36.8万人）</t>
  </si>
  <si>
    <t>松原市</t>
  </si>
  <si>
    <t>中韩示范区</t>
  </si>
  <si>
    <t>经开区
（20.3万人）</t>
  </si>
  <si>
    <t>白山市</t>
  </si>
  <si>
    <t>白城市</t>
  </si>
  <si>
    <t>净月区
（22.8万人）</t>
  </si>
  <si>
    <t>辽源市</t>
  </si>
  <si>
    <t>莲花山
（5.1万人）</t>
  </si>
  <si>
    <r>
      <t xml:space="preserve">梅河口市
</t>
    </r>
    <r>
      <rPr>
        <b/>
        <sz val="12"/>
        <color indexed="10"/>
        <rFont val="仿宋"/>
        <family val="3"/>
        <charset val="134"/>
      </rPr>
      <t>（调剂）</t>
    </r>
  </si>
  <si>
    <t>汽开区
（21.7万人）</t>
  </si>
  <si>
    <t>四平市</t>
  </si>
  <si>
    <t>梅河口市</t>
  </si>
  <si>
    <t>九台区
（71.2万人）</t>
  </si>
  <si>
    <t>市州小计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</si>
</sst>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2"/>
      <name val="宋体"/>
    </font>
    <font>
      <b/>
      <sz val="20"/>
      <name val="仿宋"/>
      <family val="3"/>
      <charset val="134"/>
    </font>
    <font>
      <b/>
      <sz val="14"/>
      <name val="仿宋"/>
      <family val="3"/>
      <charset val="134"/>
    </font>
    <font>
      <sz val="12"/>
      <name val="仿宋"/>
      <family val="3"/>
      <charset val="134"/>
    </font>
    <font>
      <b/>
      <sz val="12"/>
      <name val="仿宋"/>
      <family val="3"/>
      <charset val="134"/>
    </font>
    <font>
      <b/>
      <sz val="12"/>
      <name val="宋体"/>
    </font>
    <font>
      <b/>
      <sz val="20"/>
      <name val="宋体"/>
    </font>
    <font>
      <b/>
      <sz val="12"/>
      <color indexed="10"/>
      <name val="仿宋"/>
      <family val="3"/>
      <charset val="134"/>
    </font>
    <font>
      <sz val="11"/>
      <color theme="1"/>
      <name val="Tahoma"/>
    </font>
    <font>
      <b/>
      <sz val="14"/>
      <name val="等线"/>
      <scheme val="minor"/>
    </font>
    <font>
      <sz val="12"/>
      <color theme="1"/>
      <name val="仿宋"/>
      <family val="3"/>
      <charset val="134"/>
    </font>
    <font>
      <b/>
      <sz val="12"/>
      <color theme="1"/>
      <name val="仿宋"/>
      <family val="3"/>
      <charset val="134"/>
    </font>
    <font>
      <b/>
      <sz val="14"/>
      <color theme="1"/>
      <name val="仿宋"/>
      <family val="3"/>
      <charset val="134"/>
    </font>
    <font>
      <sz val="12"/>
      <color theme="1"/>
      <name val="等线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>
      <alignment vertical="center"/>
    </xf>
    <xf numFmtId="0" fontId="8" fillId="0" borderId="0">
      <alignment vertical="center"/>
    </xf>
  </cellStyleXfs>
  <cellXfs count="42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6"/>
  <sheetViews>
    <sheetView tabSelected="1" view="pageBreakPreview" zoomScaleNormal="85" workbookViewId="0">
      <pane activePane="bottomRight" state="frozen"/>
      <selection activeCell="A2" sqref="A2:O2"/>
    </sheetView>
  </sheetViews>
  <sheetFormatPr defaultColWidth="9" defaultRowHeight="15" x14ac:dyDescent="0.3"/>
  <cols>
    <col min="1" max="1" width="5.5" customWidth="1"/>
    <col min="2" max="2" width="13.140625" customWidth="1"/>
    <col min="3" max="3" width="11.140625" customWidth="1"/>
    <col min="4" max="4" width="11.85546875" style="1" customWidth="1"/>
    <col min="5" max="5" width="11.85546875" customWidth="1"/>
    <col min="6" max="8" width="11.85546875" style="1" customWidth="1"/>
    <col min="9" max="9" width="11.85546875" customWidth="1"/>
    <col min="10" max="11" width="11.85546875" style="2" customWidth="1"/>
    <col min="12" max="15" width="11.85546875" customWidth="1"/>
  </cols>
  <sheetData>
    <row r="1" spans="1:15" ht="18" customHeight="1" x14ac:dyDescent="0.3">
      <c r="A1" s="22" t="s">
        <v>0</v>
      </c>
      <c r="B1" s="22"/>
    </row>
    <row r="2" spans="1:15" ht="32.049999999999997" customHeight="1" x14ac:dyDescent="0.3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ht="27" customHeight="1" x14ac:dyDescent="0.3">
      <c r="A3" s="24" t="s">
        <v>2</v>
      </c>
      <c r="B3" s="24"/>
      <c r="C3" s="24"/>
      <c r="D3" s="24"/>
      <c r="E3" s="24"/>
      <c r="F3" s="24"/>
      <c r="G3" s="24"/>
      <c r="H3" s="18"/>
      <c r="I3" s="24"/>
      <c r="J3" s="24"/>
      <c r="K3" s="24"/>
      <c r="L3" s="24" t="s">
        <v>3</v>
      </c>
      <c r="M3" s="24"/>
      <c r="N3" s="24"/>
    </row>
    <row r="4" spans="1:15" ht="27" customHeight="1" x14ac:dyDescent="0.3">
      <c r="A4" s="35" t="s">
        <v>4</v>
      </c>
      <c r="B4" s="35" t="s">
        <v>5</v>
      </c>
      <c r="C4" s="35" t="s">
        <v>6</v>
      </c>
      <c r="D4" s="25" t="s">
        <v>7</v>
      </c>
      <c r="E4" s="25"/>
      <c r="F4" s="25"/>
      <c r="G4" s="25"/>
      <c r="H4" s="26" t="s">
        <v>8</v>
      </c>
      <c r="I4" s="27"/>
      <c r="J4" s="27"/>
      <c r="K4" s="27"/>
      <c r="L4" s="28" t="s">
        <v>9</v>
      </c>
      <c r="M4" s="28"/>
      <c r="N4" s="28"/>
      <c r="O4" s="28"/>
    </row>
    <row r="5" spans="1:15" ht="27" customHeight="1" x14ac:dyDescent="0.3">
      <c r="A5" s="35"/>
      <c r="B5" s="35"/>
      <c r="C5" s="35"/>
      <c r="D5" s="25" t="s">
        <v>10</v>
      </c>
      <c r="E5" s="25"/>
      <c r="F5" s="29" t="s">
        <v>11</v>
      </c>
      <c r="G5" s="30"/>
      <c r="H5" s="26" t="s">
        <v>12</v>
      </c>
      <c r="I5" s="31"/>
      <c r="J5" s="32" t="s">
        <v>11</v>
      </c>
      <c r="K5" s="29"/>
      <c r="L5" s="25" t="s">
        <v>13</v>
      </c>
      <c r="M5" s="25"/>
      <c r="N5" s="28" t="s">
        <v>11</v>
      </c>
      <c r="O5" s="28"/>
    </row>
    <row r="6" spans="1:15" ht="41.05" customHeight="1" x14ac:dyDescent="0.3">
      <c r="A6" s="35"/>
      <c r="B6" s="35"/>
      <c r="C6" s="35"/>
      <c r="D6" s="4" t="s">
        <v>14</v>
      </c>
      <c r="E6" s="3" t="s">
        <v>15</v>
      </c>
      <c r="F6" s="4" t="s">
        <v>14</v>
      </c>
      <c r="G6" s="3" t="s">
        <v>15</v>
      </c>
      <c r="H6" s="19" t="s">
        <v>14</v>
      </c>
      <c r="I6" s="19" t="s">
        <v>15</v>
      </c>
      <c r="J6" s="19" t="s">
        <v>14</v>
      </c>
      <c r="K6" s="19" t="s">
        <v>15</v>
      </c>
      <c r="L6" s="19" t="s">
        <v>14</v>
      </c>
      <c r="M6" s="19" t="s">
        <v>15</v>
      </c>
      <c r="N6" s="19" t="s">
        <v>14</v>
      </c>
      <c r="O6" s="19" t="s">
        <v>15</v>
      </c>
    </row>
    <row r="7" spans="1:15" ht="30" customHeight="1" x14ac:dyDescent="0.3">
      <c r="A7" s="5">
        <v>1</v>
      </c>
      <c r="B7" s="6" t="s">
        <v>16</v>
      </c>
      <c r="C7" s="6" t="s">
        <v>17</v>
      </c>
      <c r="D7" s="7">
        <v>0</v>
      </c>
      <c r="E7" s="8"/>
      <c r="F7" s="7">
        <v>0</v>
      </c>
      <c r="G7" s="8"/>
      <c r="H7" s="6">
        <v>6023</v>
      </c>
      <c r="I7" s="6">
        <v>60.2</v>
      </c>
      <c r="J7" s="6">
        <v>6023</v>
      </c>
      <c r="K7" s="6">
        <v>60.2</v>
      </c>
      <c r="L7" s="5">
        <f>D7+H7</f>
        <v>6023</v>
      </c>
      <c r="M7" s="5">
        <f>E7+I7</f>
        <v>60.2</v>
      </c>
      <c r="N7" s="5">
        <f>F7+J7</f>
        <v>6023</v>
      </c>
      <c r="O7" s="5">
        <f>G7+K7</f>
        <v>60.2</v>
      </c>
    </row>
    <row r="8" spans="1:15" ht="30" customHeight="1" x14ac:dyDescent="0.3">
      <c r="A8" s="36">
        <v>2</v>
      </c>
      <c r="B8" s="39" t="s">
        <v>18</v>
      </c>
      <c r="C8" s="5" t="s">
        <v>19</v>
      </c>
      <c r="D8" s="7">
        <v>0</v>
      </c>
      <c r="E8" s="8"/>
      <c r="F8" s="7">
        <v>0</v>
      </c>
      <c r="G8" s="8"/>
      <c r="H8" s="6">
        <v>0</v>
      </c>
      <c r="I8" s="6"/>
      <c r="J8" s="6">
        <v>2400</v>
      </c>
      <c r="K8" s="6">
        <v>24</v>
      </c>
      <c r="L8" s="5">
        <f>D8+H8</f>
        <v>0</v>
      </c>
      <c r="M8" s="5"/>
      <c r="N8" s="5">
        <f t="shared" ref="N8:O11" si="0">F8+J8</f>
        <v>2400</v>
      </c>
      <c r="O8" s="5">
        <f t="shared" si="0"/>
        <v>24</v>
      </c>
    </row>
    <row r="9" spans="1:15" ht="30" customHeight="1" x14ac:dyDescent="0.3">
      <c r="A9" s="37"/>
      <c r="B9" s="40"/>
      <c r="C9" s="8" t="s">
        <v>20</v>
      </c>
      <c r="D9" s="7">
        <v>0</v>
      </c>
      <c r="E9" s="8"/>
      <c r="F9" s="7">
        <v>420</v>
      </c>
      <c r="G9" s="8">
        <v>4.2</v>
      </c>
      <c r="H9" s="6">
        <v>0</v>
      </c>
      <c r="I9" s="6"/>
      <c r="J9" s="6">
        <v>0</v>
      </c>
      <c r="K9" s="6"/>
      <c r="L9" s="5">
        <f>D9+H9</f>
        <v>0</v>
      </c>
      <c r="M9" s="5"/>
      <c r="N9" s="5">
        <f t="shared" si="0"/>
        <v>420</v>
      </c>
      <c r="O9" s="5">
        <f t="shared" si="0"/>
        <v>4.2</v>
      </c>
    </row>
    <row r="10" spans="1:15" ht="30" customHeight="1" x14ac:dyDescent="0.3">
      <c r="A10" s="5">
        <v>3</v>
      </c>
      <c r="B10" s="6" t="s">
        <v>21</v>
      </c>
      <c r="C10" s="6" t="s">
        <v>22</v>
      </c>
      <c r="D10" s="7">
        <v>0</v>
      </c>
      <c r="E10" s="8"/>
      <c r="F10" s="7">
        <v>0</v>
      </c>
      <c r="G10" s="8"/>
      <c r="H10" s="6">
        <v>22285</v>
      </c>
      <c r="I10" s="6">
        <v>150.1</v>
      </c>
      <c r="J10" s="6">
        <v>22285</v>
      </c>
      <c r="K10" s="6">
        <v>150.1</v>
      </c>
      <c r="L10" s="5">
        <f>D10+H10</f>
        <v>22285</v>
      </c>
      <c r="M10" s="5">
        <f>E10+I10</f>
        <v>150.1</v>
      </c>
      <c r="N10" s="5">
        <f t="shared" si="0"/>
        <v>22285</v>
      </c>
      <c r="O10" s="5">
        <f t="shared" si="0"/>
        <v>150.1</v>
      </c>
    </row>
    <row r="11" spans="1:15" ht="30" customHeight="1" x14ac:dyDescent="0.3">
      <c r="A11" s="5">
        <v>4</v>
      </c>
      <c r="B11" s="6" t="s">
        <v>23</v>
      </c>
      <c r="C11" s="6" t="s">
        <v>24</v>
      </c>
      <c r="D11" s="7">
        <v>5000</v>
      </c>
      <c r="E11" s="8">
        <v>50</v>
      </c>
      <c r="F11" s="7">
        <v>4000</v>
      </c>
      <c r="G11" s="8">
        <v>40</v>
      </c>
      <c r="H11" s="6">
        <v>7000</v>
      </c>
      <c r="I11" s="6">
        <v>70</v>
      </c>
      <c r="J11" s="6">
        <v>0</v>
      </c>
      <c r="K11" s="6"/>
      <c r="L11" s="5">
        <f>D11+H11</f>
        <v>12000</v>
      </c>
      <c r="M11" s="5">
        <f>E11+I11</f>
        <v>120</v>
      </c>
      <c r="N11" s="5">
        <f t="shared" si="0"/>
        <v>4000</v>
      </c>
      <c r="O11" s="5">
        <f t="shared" si="0"/>
        <v>40</v>
      </c>
    </row>
    <row r="12" spans="1:15" ht="30" customHeight="1" x14ac:dyDescent="0.3">
      <c r="A12" s="5"/>
      <c r="B12" s="9" t="s">
        <v>25</v>
      </c>
      <c r="C12" s="9"/>
      <c r="D12" s="10">
        <f>D7+D8+D10+D11+D9</f>
        <v>5000</v>
      </c>
      <c r="E12" s="10">
        <f t="shared" ref="E12:O12" si="1">E7+E8+E10+E11+E9</f>
        <v>50</v>
      </c>
      <c r="F12" s="10">
        <f t="shared" si="1"/>
        <v>4420</v>
      </c>
      <c r="G12" s="10">
        <f t="shared" si="1"/>
        <v>44.2</v>
      </c>
      <c r="H12" s="10">
        <f t="shared" si="1"/>
        <v>35308</v>
      </c>
      <c r="I12" s="10">
        <f t="shared" si="1"/>
        <v>280.3</v>
      </c>
      <c r="J12" s="10">
        <f t="shared" si="1"/>
        <v>30708</v>
      </c>
      <c r="K12" s="10">
        <f t="shared" si="1"/>
        <v>234.3</v>
      </c>
      <c r="L12" s="10">
        <f t="shared" si="1"/>
        <v>40308</v>
      </c>
      <c r="M12" s="10">
        <f t="shared" si="1"/>
        <v>330.3</v>
      </c>
      <c r="N12" s="10">
        <f t="shared" si="1"/>
        <v>35128</v>
      </c>
      <c r="O12" s="10">
        <f t="shared" si="1"/>
        <v>278.5</v>
      </c>
    </row>
    <row r="13" spans="1:15" ht="30" customHeight="1" x14ac:dyDescent="0.3">
      <c r="A13" s="5">
        <v>5</v>
      </c>
      <c r="B13" s="6" t="s">
        <v>18</v>
      </c>
      <c r="C13" s="8" t="s">
        <v>26</v>
      </c>
      <c r="D13" s="7">
        <v>0</v>
      </c>
      <c r="E13" s="7"/>
      <c r="F13" s="7">
        <v>400</v>
      </c>
      <c r="G13" s="7">
        <v>4</v>
      </c>
      <c r="H13" s="7"/>
      <c r="I13" s="7"/>
      <c r="J13" s="7"/>
      <c r="K13" s="7"/>
      <c r="L13" s="7">
        <f>D13+H13</f>
        <v>0</v>
      </c>
      <c r="M13" s="7"/>
      <c r="N13" s="7">
        <f>F13+J13</f>
        <v>400</v>
      </c>
      <c r="O13" s="7">
        <f>G13+K13</f>
        <v>4</v>
      </c>
    </row>
    <row r="14" spans="1:15" ht="30" customHeight="1" x14ac:dyDescent="0.3">
      <c r="A14" s="5">
        <v>5</v>
      </c>
      <c r="B14" s="6" t="s">
        <v>27</v>
      </c>
      <c r="C14" s="6" t="s">
        <v>28</v>
      </c>
      <c r="D14" s="7">
        <v>0</v>
      </c>
      <c r="E14" s="8"/>
      <c r="F14" s="7">
        <v>50</v>
      </c>
      <c r="G14" s="8">
        <v>0.5</v>
      </c>
      <c r="H14" s="6">
        <v>0</v>
      </c>
      <c r="I14" s="6"/>
      <c r="J14" s="6">
        <v>0</v>
      </c>
      <c r="K14" s="6"/>
      <c r="L14" s="5">
        <f t="shared" ref="L14:L25" si="2">D14+H14</f>
        <v>0</v>
      </c>
      <c r="M14" s="5"/>
      <c r="N14" s="5">
        <f t="shared" ref="N14:N25" si="3">F14+J14</f>
        <v>50</v>
      </c>
      <c r="O14" s="5">
        <f t="shared" ref="O14:O25" si="4">G14+K14</f>
        <v>0.5</v>
      </c>
    </row>
    <row r="15" spans="1:15" ht="30" customHeight="1" x14ac:dyDescent="0.3">
      <c r="A15" s="5">
        <v>6</v>
      </c>
      <c r="B15" s="6" t="s">
        <v>29</v>
      </c>
      <c r="C15" s="6" t="s">
        <v>30</v>
      </c>
      <c r="D15" s="11">
        <v>0</v>
      </c>
      <c r="E15" s="5"/>
      <c r="F15" s="11">
        <v>0</v>
      </c>
      <c r="G15" s="11"/>
      <c r="H15" s="20">
        <v>0</v>
      </c>
      <c r="I15" s="20"/>
      <c r="J15" s="5">
        <v>2600</v>
      </c>
      <c r="K15" s="5">
        <v>28.6</v>
      </c>
      <c r="L15" s="5">
        <f t="shared" si="2"/>
        <v>0</v>
      </c>
      <c r="M15" s="5"/>
      <c r="N15" s="5">
        <f t="shared" si="3"/>
        <v>2600</v>
      </c>
      <c r="O15" s="5">
        <f t="shared" si="4"/>
        <v>28.6</v>
      </c>
    </row>
    <row r="16" spans="1:15" ht="30" customHeight="1" x14ac:dyDescent="0.3">
      <c r="A16" s="5">
        <v>7</v>
      </c>
      <c r="B16" s="6" t="s">
        <v>31</v>
      </c>
      <c r="C16" s="6" t="s">
        <v>30</v>
      </c>
      <c r="D16" s="7">
        <v>0</v>
      </c>
      <c r="E16" s="8"/>
      <c r="F16" s="7">
        <v>0</v>
      </c>
      <c r="G16" s="8"/>
      <c r="H16" s="6">
        <v>0</v>
      </c>
      <c r="I16" s="6"/>
      <c r="J16" s="6">
        <v>308</v>
      </c>
      <c r="K16" s="6">
        <v>2.5</v>
      </c>
      <c r="L16" s="5">
        <f t="shared" si="2"/>
        <v>0</v>
      </c>
      <c r="M16" s="5"/>
      <c r="N16" s="5">
        <f t="shared" si="3"/>
        <v>308</v>
      </c>
      <c r="O16" s="5">
        <f t="shared" si="4"/>
        <v>2.5</v>
      </c>
    </row>
    <row r="17" spans="1:15" ht="30" customHeight="1" x14ac:dyDescent="0.3">
      <c r="A17" s="38">
        <v>8</v>
      </c>
      <c r="B17" s="41" t="s">
        <v>32</v>
      </c>
      <c r="C17" s="6" t="s">
        <v>33</v>
      </c>
      <c r="D17" s="7">
        <v>0</v>
      </c>
      <c r="E17" s="8"/>
      <c r="F17" s="7">
        <v>0</v>
      </c>
      <c r="G17" s="8"/>
      <c r="H17" s="6">
        <v>0</v>
      </c>
      <c r="I17" s="6"/>
      <c r="J17" s="6">
        <v>0</v>
      </c>
      <c r="K17" s="6"/>
      <c r="L17" s="5">
        <f t="shared" si="2"/>
        <v>0</v>
      </c>
      <c r="M17" s="5"/>
      <c r="N17" s="5">
        <f t="shared" si="3"/>
        <v>0</v>
      </c>
      <c r="O17" s="5">
        <f t="shared" si="4"/>
        <v>0</v>
      </c>
    </row>
    <row r="18" spans="1:15" ht="30" customHeight="1" x14ac:dyDescent="0.3">
      <c r="A18" s="38"/>
      <c r="B18" s="41"/>
      <c r="C18" s="6" t="s">
        <v>34</v>
      </c>
      <c r="D18" s="7">
        <v>0</v>
      </c>
      <c r="E18" s="8"/>
      <c r="F18" s="7">
        <v>6626</v>
      </c>
      <c r="G18" s="8">
        <v>73</v>
      </c>
      <c r="H18" s="6">
        <v>2600</v>
      </c>
      <c r="I18" s="6">
        <v>28.6</v>
      </c>
      <c r="J18" s="6">
        <v>2600</v>
      </c>
      <c r="K18" s="6">
        <v>28.6</v>
      </c>
      <c r="L18" s="5">
        <f t="shared" si="2"/>
        <v>2600</v>
      </c>
      <c r="M18" s="5">
        <f>E18+I18</f>
        <v>28.6</v>
      </c>
      <c r="N18" s="5">
        <f t="shared" si="3"/>
        <v>9226</v>
      </c>
      <c r="O18" s="5">
        <f t="shared" si="4"/>
        <v>101.6</v>
      </c>
    </row>
    <row r="19" spans="1:15" ht="30" customHeight="1" x14ac:dyDescent="0.3">
      <c r="A19" s="5">
        <v>9</v>
      </c>
      <c r="B19" s="6" t="s">
        <v>35</v>
      </c>
      <c r="C19" s="6" t="s">
        <v>36</v>
      </c>
      <c r="D19" s="7">
        <v>0</v>
      </c>
      <c r="E19" s="8"/>
      <c r="F19" s="7">
        <v>0</v>
      </c>
      <c r="G19" s="8"/>
      <c r="H19" s="6">
        <v>0</v>
      </c>
      <c r="I19" s="6"/>
      <c r="J19" s="6">
        <v>5083</v>
      </c>
      <c r="K19" s="6">
        <v>51</v>
      </c>
      <c r="L19" s="5">
        <f t="shared" si="2"/>
        <v>0</v>
      </c>
      <c r="M19" s="5"/>
      <c r="N19" s="5">
        <f t="shared" si="3"/>
        <v>5083</v>
      </c>
      <c r="O19" s="5">
        <f t="shared" si="4"/>
        <v>51</v>
      </c>
    </row>
    <row r="20" spans="1:15" ht="30" customHeight="1" x14ac:dyDescent="0.3">
      <c r="A20" s="12">
        <v>10</v>
      </c>
      <c r="B20" s="6" t="s">
        <v>37</v>
      </c>
      <c r="C20" s="6" t="s">
        <v>38</v>
      </c>
      <c r="D20" s="7">
        <v>0</v>
      </c>
      <c r="E20" s="8"/>
      <c r="F20" s="7">
        <v>0</v>
      </c>
      <c r="G20" s="8"/>
      <c r="H20" s="6">
        <v>0</v>
      </c>
      <c r="I20" s="6"/>
      <c r="J20" s="6">
        <v>0</v>
      </c>
      <c r="K20" s="6"/>
      <c r="L20" s="5">
        <f t="shared" si="2"/>
        <v>0</v>
      </c>
      <c r="M20" s="5"/>
      <c r="N20" s="5">
        <f t="shared" si="3"/>
        <v>0</v>
      </c>
      <c r="O20" s="5">
        <f t="shared" si="4"/>
        <v>0</v>
      </c>
    </row>
    <row r="21" spans="1:15" ht="30" customHeight="1" x14ac:dyDescent="0.3">
      <c r="A21" s="38">
        <v>11</v>
      </c>
      <c r="B21" s="41" t="s">
        <v>39</v>
      </c>
      <c r="C21" s="6" t="s">
        <v>40</v>
      </c>
      <c r="D21" s="11">
        <v>0</v>
      </c>
      <c r="E21" s="5"/>
      <c r="F21" s="11">
        <v>0</v>
      </c>
      <c r="G21" s="11"/>
      <c r="H21" s="6">
        <v>0</v>
      </c>
      <c r="I21" s="6"/>
      <c r="J21" s="5">
        <v>0</v>
      </c>
      <c r="K21" s="5"/>
      <c r="L21" s="5">
        <f t="shared" si="2"/>
        <v>0</v>
      </c>
      <c r="M21" s="5"/>
      <c r="N21" s="5">
        <f t="shared" si="3"/>
        <v>0</v>
      </c>
      <c r="O21" s="5">
        <f t="shared" si="4"/>
        <v>0</v>
      </c>
    </row>
    <row r="22" spans="1:15" ht="30" customHeight="1" x14ac:dyDescent="0.3">
      <c r="A22" s="38"/>
      <c r="B22" s="41"/>
      <c r="C22" s="6" t="s">
        <v>41</v>
      </c>
      <c r="D22" s="11">
        <v>0</v>
      </c>
      <c r="E22" s="5"/>
      <c r="F22" s="11">
        <v>5085</v>
      </c>
      <c r="G22" s="11">
        <v>66.2</v>
      </c>
      <c r="H22" s="11">
        <v>0</v>
      </c>
      <c r="I22" s="5"/>
      <c r="J22" s="5">
        <v>0</v>
      </c>
      <c r="K22" s="5"/>
      <c r="L22" s="5">
        <f t="shared" si="2"/>
        <v>0</v>
      </c>
      <c r="M22" s="5"/>
      <c r="N22" s="5">
        <f t="shared" si="3"/>
        <v>5085</v>
      </c>
      <c r="O22" s="5">
        <f t="shared" si="4"/>
        <v>66.2</v>
      </c>
    </row>
    <row r="23" spans="1:15" ht="30" customHeight="1" x14ac:dyDescent="0.3">
      <c r="A23" s="5">
        <v>12</v>
      </c>
      <c r="B23" s="7" t="s">
        <v>42</v>
      </c>
      <c r="C23" s="6" t="s">
        <v>41</v>
      </c>
      <c r="D23" s="11">
        <v>0</v>
      </c>
      <c r="E23" s="5"/>
      <c r="F23" s="11">
        <v>0</v>
      </c>
      <c r="G23" s="11"/>
      <c r="H23" s="11">
        <v>0</v>
      </c>
      <c r="I23" s="5"/>
      <c r="J23" s="5">
        <v>0</v>
      </c>
      <c r="K23" s="5"/>
      <c r="L23" s="5">
        <f t="shared" si="2"/>
        <v>0</v>
      </c>
      <c r="M23" s="5"/>
      <c r="N23" s="5">
        <f t="shared" si="3"/>
        <v>0</v>
      </c>
      <c r="O23" s="5">
        <f t="shared" si="4"/>
        <v>0</v>
      </c>
    </row>
    <row r="24" spans="1:15" ht="30" customHeight="1" x14ac:dyDescent="0.3">
      <c r="A24" s="13"/>
      <c r="B24" s="14" t="s">
        <v>43</v>
      </c>
      <c r="C24" s="15"/>
      <c r="D24" s="16">
        <f>SUM(D14:D23)</f>
        <v>0</v>
      </c>
      <c r="E24" s="16"/>
      <c r="F24" s="16">
        <f t="shared" ref="F24:K24" si="5">SUM(F14:F23)</f>
        <v>11761</v>
      </c>
      <c r="G24" s="16">
        <f t="shared" si="5"/>
        <v>139.69999999999999</v>
      </c>
      <c r="H24" s="16">
        <f t="shared" si="5"/>
        <v>2600</v>
      </c>
      <c r="I24" s="16">
        <f t="shared" si="5"/>
        <v>28.6</v>
      </c>
      <c r="J24" s="16">
        <f t="shared" si="5"/>
        <v>10591</v>
      </c>
      <c r="K24" s="16">
        <f t="shared" si="5"/>
        <v>110.7</v>
      </c>
      <c r="L24" s="21">
        <f t="shared" si="2"/>
        <v>2600</v>
      </c>
      <c r="M24" s="21">
        <f>E24+I24</f>
        <v>28.6</v>
      </c>
      <c r="N24" s="21">
        <f t="shared" si="3"/>
        <v>22352</v>
      </c>
      <c r="O24" s="21">
        <f t="shared" si="4"/>
        <v>250.39999999999998</v>
      </c>
    </row>
    <row r="25" spans="1:15" ht="30" customHeight="1" x14ac:dyDescent="0.3">
      <c r="A25" s="17"/>
      <c r="B25" s="14" t="s">
        <v>9</v>
      </c>
      <c r="C25" s="14"/>
      <c r="D25" s="16">
        <f>D12+D24</f>
        <v>5000</v>
      </c>
      <c r="E25" s="16">
        <f t="shared" ref="E25:K25" si="6">E12+E24</f>
        <v>50</v>
      </c>
      <c r="F25" s="16">
        <f t="shared" si="6"/>
        <v>16181</v>
      </c>
      <c r="G25" s="16">
        <f t="shared" si="6"/>
        <v>183.89999999999998</v>
      </c>
      <c r="H25" s="16">
        <f t="shared" si="6"/>
        <v>37908</v>
      </c>
      <c r="I25" s="16">
        <f t="shared" si="6"/>
        <v>308.90000000000003</v>
      </c>
      <c r="J25" s="16">
        <f t="shared" si="6"/>
        <v>41299</v>
      </c>
      <c r="K25" s="16">
        <f t="shared" si="6"/>
        <v>345</v>
      </c>
      <c r="L25" s="21">
        <f t="shared" si="2"/>
        <v>42908</v>
      </c>
      <c r="M25" s="21">
        <f>E25+I25</f>
        <v>358.90000000000003</v>
      </c>
      <c r="N25" s="21">
        <f t="shared" si="3"/>
        <v>57480</v>
      </c>
      <c r="O25" s="21">
        <f t="shared" si="4"/>
        <v>528.9</v>
      </c>
    </row>
    <row r="26" spans="1:15" ht="36" customHeight="1" x14ac:dyDescent="0.3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</row>
  </sheetData>
  <mergeCells count="25">
    <mergeCell ref="A26:O26"/>
    <mergeCell ref="A4:A6"/>
    <mergeCell ref="A8:A9"/>
    <mergeCell ref="A17:A18"/>
    <mergeCell ref="A21:A22"/>
    <mergeCell ref="B4:B6"/>
    <mergeCell ref="B8:B9"/>
    <mergeCell ref="B17:B18"/>
    <mergeCell ref="B21:B22"/>
    <mergeCell ref="C4:C6"/>
    <mergeCell ref="D4:G4"/>
    <mergeCell ref="H4:K4"/>
    <mergeCell ref="L4:O4"/>
    <mergeCell ref="D5:E5"/>
    <mergeCell ref="F5:G5"/>
    <mergeCell ref="H5:I5"/>
    <mergeCell ref="J5:K5"/>
    <mergeCell ref="L5:M5"/>
    <mergeCell ref="N5:O5"/>
    <mergeCell ref="A1:B1"/>
    <mergeCell ref="A2:O2"/>
    <mergeCell ref="A3:D3"/>
    <mergeCell ref="E3:G3"/>
    <mergeCell ref="I3:K3"/>
    <mergeCell ref="L3:N3"/>
  </mergeCells>
  <phoneticPr fontId="14" type="noConversion"/>
  <printOptions horizontalCentered="1"/>
  <pageMargins left="0.2361111111111111" right="0.19652777777777777" top="0.39305555555555555" bottom="0.2361111111111111" header="0.11805555555555555" footer="3.888888888888889E-2"/>
  <pageSetup paperSize="9" scale="78" fitToHeight="0" orientation="landscape" r:id="rId1"/>
  <headerFooter alignWithMargins="0"/>
  <rowBreaks count="2" manualBreakCount="2">
    <brk id="26" max="16383" man="1"/>
    <brk id="26" max="14" man="1"/>
  </rowBreaks>
  <ignoredErrors>
    <ignoredError sqref="L12:O1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4月4日全天</vt:lpstr>
      <vt:lpstr>'4月4日全天'!Print_Area</vt:lpstr>
      <vt:lpstr>'4月4日全天'!Print_Titles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1996-12-23T17:32:42Z</dcterms:created>
  <dcterms:modified xsi:type="dcterms:W3CDTF">2025-03-30T13:25:45Z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