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30日\"/>
    </mc:Choice>
  </mc:AlternateContent>
  <xr:revisionPtr revIDLastSave="0" documentId="8_{8D942DE0-CF79-4F44-BD0C-8507F407BF24}" xr6:coauthVersionLast="36" xr6:coauthVersionMax="36" xr10:uidLastSave="{00000000-0000-0000-0000-000000000000}"/>
  <bookViews>
    <workbookView xWindow="32769" yWindow="32769" windowWidth="16980" windowHeight="4680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C28" i="1" l="1"/>
  <c r="D28" i="1"/>
  <c r="E28" i="1"/>
  <c r="F28" i="1"/>
  <c r="G28" i="1"/>
  <c r="H28" i="1"/>
  <c r="I28" i="1"/>
  <c r="J28" i="1"/>
  <c r="B28" i="1"/>
  <c r="C27" i="1"/>
  <c r="D27" i="1"/>
  <c r="E27" i="1"/>
  <c r="F27" i="1"/>
  <c r="G27" i="1"/>
  <c r="H27" i="1"/>
  <c r="I27" i="1"/>
  <c r="J27" i="1"/>
  <c r="B27" i="1"/>
  <c r="C26" i="1"/>
  <c r="D26" i="1"/>
  <c r="E26" i="1"/>
  <c r="F26" i="1"/>
  <c r="G26" i="1"/>
  <c r="H26" i="1"/>
  <c r="I26" i="1"/>
  <c r="J26" i="1"/>
  <c r="B26" i="1"/>
</calcChain>
</file>

<file path=xl/sharedStrings.xml><?xml version="1.0" encoding="utf-8"?>
<sst xmlns="http://schemas.openxmlformats.org/spreadsheetml/2006/main" count="36" uniqueCount="36">
  <si>
    <t>日期</t>
  </si>
  <si>
    <t>大白菜</t>
  </si>
  <si>
    <t>土豆</t>
  </si>
  <si>
    <t>白萝卜</t>
  </si>
  <si>
    <t>圆葱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</si>
  <si>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</si>
  <si>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</si>
  <si>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</si>
  <si>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</si>
  <si>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</si>
  <si>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</si>
  <si>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</si>
  <si>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</si>
  <si>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</si>
  <si>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</si>
  <si>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</si>
  <si>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</si>
  <si>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</si>
  <si>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西红柿</t>
    <phoneticPr fontId="1" type="noConversion"/>
  </si>
  <si>
    <t>黄瓜</t>
    <phoneticPr fontId="1" type="noConversion"/>
  </si>
  <si>
    <t>青椒</t>
    <phoneticPr fontId="1" type="noConversion"/>
  </si>
  <si>
    <t>生菜</t>
    <phoneticPr fontId="1" type="noConversion"/>
  </si>
  <si>
    <t>20日</t>
  </si>
  <si>
    <t>水果（平均）</t>
    <phoneticPr fontId="1" type="noConversion"/>
  </si>
  <si>
    <t>21日</t>
  </si>
  <si>
    <t>22日</t>
  </si>
  <si>
    <t>23日</t>
  </si>
  <si>
    <t>24日</t>
  </si>
  <si>
    <t>25日</t>
  </si>
  <si>
    <t>较昨日</t>
    <phoneticPr fontId="1" type="noConversion"/>
  </si>
  <si>
    <t>较疫情初期</t>
    <phoneticPr fontId="1" type="noConversion"/>
  </si>
  <si>
    <t>26日</t>
    <phoneticPr fontId="1" type="noConversion"/>
  </si>
  <si>
    <t>27日</t>
  </si>
  <si>
    <t>28日</t>
  </si>
  <si>
    <t>29日</t>
  </si>
  <si>
    <t>30日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</si>
</sst>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1">
    <font>
      <sz val="12"/>
      <name val="方正仿宋_GBK"/>
      <charset val="134"/>
    </font>
    <font>
      <sz val="9"/>
      <name val="方正仿宋_GBK"/>
      <charset val="134"/>
    </font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6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Protection="1">
      <alignment vertical="center"/>
    </xf>
    <xf numFmtId="176" fontId="7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Protection="1">
      <alignment vertical="center"/>
    </xf>
    <xf numFmtId="10" fontId="2" fillId="0" borderId="0" xfId="0" applyNumberFormat="1" applyFont="1" applyProtection="1">
      <alignment vertical="center"/>
    </xf>
    <xf numFmtId="0" fontId="8" fillId="0" borderId="0" xfId="0" applyFont="1" applyProtection="1">
      <alignment vertical="center"/>
    </xf>
    <xf numFmtId="176" fontId="9" fillId="0" borderId="1" xfId="0" applyNumberFormat="1" applyFont="1" applyBorder="1" applyAlignment="1" applyProtection="1">
      <alignment horizontal="center" vertical="center" wrapText="1"/>
      <protection locked="0"/>
    </xf>
    <xf numFmtId="176" fontId="4" fillId="0" borderId="2" xfId="0" applyNumberFormat="1" applyFont="1" applyBorder="1" applyAlignment="1" applyProtection="1">
      <alignment horizontal="center" vertical="center" wrapText="1"/>
      <protection locked="0"/>
    </xf>
    <xf numFmtId="176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10" fillId="0" borderId="1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点调重点企业蔬菜价格变化图表</a:t>
            </a:r>
            <a:endParaRPr lang="en-US" altLang="zh-CN" sz="1600" b="1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（数据来源：市商务局点调的</a:t>
            </a:r>
            <a:r>
              <a:rPr lang="en-US" altLang="zh-CN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51</a:t>
            </a: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家欧亚连锁超市）</a:t>
            </a:r>
          </a:p>
        </c:rich>
      </c:tx>
      <c:layout>
        <c:manualLayout>
          <c:xMode val="edge"/>
          <c:yMode val="edge"/>
          <c:x val="0.28239169256385327"/>
          <c:y val="3.65882705137085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</c:strCache>
            </c:strRef>
          </c:cat>
          <c:val>
            <c:numRef>
              <c:f>工作表1!$B$2:$B$25</c:f>
              <c:numCache>
                <c:formatCode>0.00_ </c:formatCode>
                <c:ptCount val="24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D-4436-885E-356DC5C44679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</c:strCache>
            </c:strRef>
          </c:cat>
          <c:val>
            <c:numRef>
              <c:f>工作表1!$C$2:$C$25</c:f>
              <c:numCache>
                <c:formatCode>0.00_ </c:formatCode>
                <c:ptCount val="24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7D-4436-885E-356DC5C44679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</c:strCache>
            </c:strRef>
          </c:cat>
          <c:val>
            <c:numRef>
              <c:f>工作表1!$D$2:$D$25</c:f>
              <c:numCache>
                <c:formatCode>0.00_ 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7D-4436-885E-356DC5C44679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</c:strCache>
            </c:strRef>
          </c:cat>
          <c:val>
            <c:numRef>
              <c:f>工作表1!$E$2:$E$25</c:f>
              <c:numCache>
                <c:formatCode>0.00_ 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7D-4436-885E-356DC5C44679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</c:strCache>
            </c:strRef>
          </c:cat>
          <c:val>
            <c:numRef>
              <c:f>工作表1!$F$2:$F$25</c:f>
              <c:numCache>
                <c:formatCode>0.00_ </c:formatCode>
                <c:ptCount val="24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7D-4436-885E-356DC5C44679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</c:strCache>
            </c:strRef>
          </c:cat>
          <c:val>
            <c:numRef>
              <c:f>工作表1!$G$2:$G$25</c:f>
              <c:numCache>
                <c:formatCode>0.00_ </c:formatCode>
                <c:ptCount val="24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7D-4436-885E-356DC5C44679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</c:strCache>
            </c:strRef>
          </c:cat>
          <c:val>
            <c:numRef>
              <c:f>工作表1!$H$2:$H$25</c:f>
              <c:numCache>
                <c:formatCode>0.00_ </c:formatCode>
                <c:ptCount val="24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7D-4436-885E-356DC5C44679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</c:strCache>
            </c:strRef>
          </c:cat>
          <c:val>
            <c:numRef>
              <c:f>工作表1!$I$2:$I$25</c:f>
              <c:numCache>
                <c:formatCode>0.00_ </c:formatCode>
                <c:ptCount val="24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7D-4436-885E-356DC5C44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714975"/>
        <c:axId val="1"/>
      </c:lineChart>
      <c:catAx>
        <c:axId val="54371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日期（</a:t>
                </a:r>
                <a:r>
                  <a:rPr lang="en-US" altLang="zh-CN"/>
                  <a:t>3</a:t>
                </a:r>
                <a:r>
                  <a:rPr lang="zh-CN" altLang="en-US"/>
                  <a:t>月）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价格（单位：元</a:t>
                </a:r>
                <a:r>
                  <a:rPr lang="en-US" altLang="zh-CN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/</a:t>
                </a: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公斤）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3714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473074575457767"/>
          <c:y val="0.939723086047068"/>
          <c:w val="0.70195807234255092"/>
          <c:h val="4.4957580546009082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146957</xdr:colOff>
      <xdr:row>18</xdr:row>
      <xdr:rowOff>21771</xdr:rowOff>
    </xdr:from>
    <xdr:to>
      <xdr:col>15</xdr:col>
      <xdr:colOff>16329</xdr:colOff>
      <xdr:row>33</xdr:row>
      <xdr:rowOff>16329</xdr:rowOff>
    </xdr:to>
    <xdr:graphicFrame macro="">
      <xdr:nvGraphicFramePr>
        <xdr:cNvPr id="1075" name="图表 2">
          <a:extLst>
            <a:ext uri="{FF2B5EF4-FFF2-40B4-BE49-F238E27FC236}">
              <a16:creationId xmlns:a16="http://schemas.microsoft.com/office/drawing/2014/main" id="{6284769F-2346-4AE2-9B41-35A733E9F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8"/>
  <sheetViews>
    <sheetView tabSelected="1" topLeftCell="A19" zoomScaleNormal="100" workbookViewId="0">
      <selection activeCell="Q23" sqref="Q23"/>
    </sheetView>
  </sheetViews>
  <sheetFormatPr defaultColWidth="9" defaultRowHeight="15"/>
  <cols>
    <col min="1" max="1" width="8.5703125" style="1" customWidth="1"/>
    <col min="2" max="2" width="8.5" style="1" customWidth="1"/>
    <col min="3" max="5" width="7.5" style="1" customWidth="1"/>
    <col min="6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2" t="s">
        <v>19</v>
      </c>
      <c r="H1" s="2" t="s">
        <v>20</v>
      </c>
      <c r="I1" s="2" t="s">
        <v>21</v>
      </c>
      <c r="J1" s="7" t="s">
        <v>23</v>
      </c>
    </row>
    <row r="2" spans="1:17" ht="27" customHeight="1">
      <c r="A2" s="3" t="s">
        <v>5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8">
        <v>3.6</v>
      </c>
    </row>
    <row r="3" spans="1:17" ht="27" customHeight="1">
      <c r="A3" s="3" t="s">
        <v>6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8">
        <v>3.7</v>
      </c>
    </row>
    <row r="4" spans="1:17" ht="27" customHeight="1">
      <c r="A4" s="3" t="s">
        <v>7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8">
        <v>3.6</v>
      </c>
      <c r="Q4" s="6"/>
    </row>
    <row r="5" spans="1:17" ht="27" customHeight="1">
      <c r="A5" s="3" t="s">
        <v>8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8">
        <v>3.6</v>
      </c>
    </row>
    <row r="6" spans="1:17" ht="27" customHeight="1">
      <c r="A6" s="3" t="s">
        <v>9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8">
        <v>3.8</v>
      </c>
    </row>
    <row r="7" spans="1:17" ht="27" customHeight="1">
      <c r="A7" s="3" t="s">
        <v>10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8">
        <v>3.5</v>
      </c>
    </row>
    <row r="8" spans="1:17" ht="27" customHeight="1">
      <c r="A8" s="3" t="s">
        <v>11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8">
        <v>3.5</v>
      </c>
    </row>
    <row r="9" spans="1:17" ht="27" customHeight="1">
      <c r="A9" s="3" t="s">
        <v>12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8">
        <v>3.5</v>
      </c>
    </row>
    <row r="10" spans="1:17" ht="28.5" customHeight="1">
      <c r="A10" s="3" t="s">
        <v>13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8">
        <v>3.5</v>
      </c>
    </row>
    <row r="11" spans="1:17" ht="31.5" customHeight="1">
      <c r="A11" s="3" t="s">
        <v>14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8">
        <v>3.5</v>
      </c>
    </row>
    <row r="12" spans="1:17" ht="27" customHeight="1">
      <c r="A12" s="3" t="s">
        <v>15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8">
        <v>3.5</v>
      </c>
    </row>
    <row r="13" spans="1:17" ht="26.25" customHeight="1">
      <c r="A13" s="3" t="s">
        <v>16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8">
        <v>3.5</v>
      </c>
    </row>
    <row r="14" spans="1:17" ht="26.25" customHeight="1">
      <c r="A14" s="2" t="s">
        <v>17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8">
        <v>7.2</v>
      </c>
    </row>
    <row r="15" spans="1:17" ht="31.95" customHeight="1">
      <c r="A15" s="2" t="s">
        <v>22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8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8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8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8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8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8">
        <v>7.2</v>
      </c>
    </row>
    <row r="21" spans="1:10" ht="35.700000000000003" customHeight="1">
      <c r="A21" s="12" t="s">
        <v>31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4">
        <v>7</v>
      </c>
    </row>
    <row r="22" spans="1:10" ht="35.700000000000003" customHeight="1">
      <c r="A22" s="12" t="s">
        <v>32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8">
        <v>7.2</v>
      </c>
    </row>
    <row r="23" spans="1:10" ht="35.700000000000003" customHeight="1">
      <c r="A23" s="12" t="s">
        <v>33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8">
        <v>7.2</v>
      </c>
    </row>
    <row r="24" spans="1:10" ht="35.700000000000003" customHeight="1">
      <c r="A24" s="12" t="s">
        <v>34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8">
        <v>7.2</v>
      </c>
    </row>
    <row r="25" spans="1:10" ht="35.700000000000003" customHeight="1">
      <c r="A25" s="15" t="s">
        <v>35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8">
        <v>7.2</v>
      </c>
    </row>
    <row r="26" spans="1:10" ht="27.75" customHeight="1">
      <c r="B26" s="9">
        <f>B25/2</f>
        <v>2.2999999999999998</v>
      </c>
      <c r="C26" s="9">
        <f t="shared" ref="C26:J26" si="0">C25/2</f>
        <v>1.2</v>
      </c>
      <c r="D26" s="9">
        <f t="shared" si="0"/>
        <v>1.5</v>
      </c>
      <c r="E26" s="9">
        <f t="shared" si="0"/>
        <v>1.5</v>
      </c>
      <c r="F26" s="9">
        <f t="shared" si="0"/>
        <v>6</v>
      </c>
      <c r="G26" s="9">
        <f t="shared" si="0"/>
        <v>5.05</v>
      </c>
      <c r="H26" s="9">
        <f t="shared" si="0"/>
        <v>5.5</v>
      </c>
      <c r="I26" s="9">
        <f t="shared" si="0"/>
        <v>2.54</v>
      </c>
      <c r="J26" s="9">
        <f t="shared" si="0"/>
        <v>3.6</v>
      </c>
    </row>
    <row r="27" spans="1:10">
      <c r="A27" s="11" t="s">
        <v>29</v>
      </c>
      <c r="B27" s="10">
        <f>B25/B24-1</f>
        <v>-1.2875536480686844E-2</v>
      </c>
      <c r="C27" s="10">
        <f t="shared" ref="C27:J27" si="1">C25/C24-1</f>
        <v>0.33333333333333326</v>
      </c>
      <c r="D27" s="10">
        <f t="shared" si="1"/>
        <v>0.5625</v>
      </c>
      <c r="E27" s="10">
        <f t="shared" si="1"/>
        <v>0.19999999999999996</v>
      </c>
      <c r="F27" s="10">
        <f t="shared" si="1"/>
        <v>-7.6923076923076872E-2</v>
      </c>
      <c r="G27" s="10">
        <f t="shared" si="1"/>
        <v>0.40277777777777768</v>
      </c>
      <c r="H27" s="10">
        <f t="shared" si="1"/>
        <v>-0.38888888888888884</v>
      </c>
      <c r="I27" s="10">
        <f t="shared" si="1"/>
        <v>0</v>
      </c>
      <c r="J27" s="10">
        <f t="shared" si="1"/>
        <v>0</v>
      </c>
    </row>
    <row r="28" spans="1:10" ht="25.2" customHeight="1">
      <c r="A28" s="11" t="s">
        <v>30</v>
      </c>
      <c r="B28" s="10">
        <f>B25/B2-1</f>
        <v>0.43749999999999978</v>
      </c>
      <c r="C28" s="10">
        <f t="shared" ref="C28:J28" si="2">C25/C2-1</f>
        <v>0.33333333333333326</v>
      </c>
      <c r="D28" s="10">
        <f t="shared" si="2"/>
        <v>0.5</v>
      </c>
      <c r="E28" s="10">
        <f t="shared" si="2"/>
        <v>0.5</v>
      </c>
      <c r="F28" s="10">
        <f t="shared" si="2"/>
        <v>3.4482758620689724E-2</v>
      </c>
      <c r="G28" s="10">
        <f t="shared" si="2"/>
        <v>0.40277777777777768</v>
      </c>
      <c r="H28" s="10">
        <f t="shared" si="2"/>
        <v>0.66666666666666674</v>
      </c>
      <c r="I28" s="10">
        <f t="shared" si="2"/>
        <v>-5.9259259259259345E-2</v>
      </c>
      <c r="J28" s="10">
        <f t="shared" si="2"/>
        <v>1</v>
      </c>
    </row>
  </sheetData>
  <phoneticPr fontId="1" type="noConversion"/>
  <pageMargins left="0.70060688679612526" right="0.70060688679612526" top="0.75198932895510218" bottom="0.75198932895510218" header="0.29926813962891347" footer="0.29926813962891347"/>
  <pageSetup paperSize="9" scale="79" firstPageNumber="42949672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2022-03-14T02:25:23Z</dcterms:created>
  <dcterms:modified xsi:type="dcterms:W3CDTF">2025-03-30T13:16:50Z</dcterms:modified>
</cp:coreProperties>
</file>