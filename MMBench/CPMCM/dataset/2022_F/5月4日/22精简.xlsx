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4日\"/>
    </mc:Choice>
  </mc:AlternateContent>
  <xr:revisionPtr revIDLastSave="0" documentId="8_{D01A550A-80B1-46F7-821A-B80B1D8EABD5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</calcChain>
</file>

<file path=xl/sharedStrings.xml><?xml version="1.0" encoding="utf-8"?>
<sst xmlns="http://schemas.openxmlformats.org/spreadsheetml/2006/main" count="36" uniqueCount="22">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</sst>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79300050075"/>
          <c:y val="1.45295063923461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</c:strCache>
            </c:strRef>
          </c:cat>
          <c:val>
            <c:numRef>
              <c:f>工作表1!$B$2:$B$17</c:f>
              <c:numCache>
                <c:formatCode>0.00_ </c:formatCode>
                <c:ptCount val="16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5-4267-9E2B-AFD235969093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</c:strCache>
            </c:strRef>
          </c:cat>
          <c:val>
            <c:numRef>
              <c:f>工作表1!$C$2:$C$17</c:f>
              <c:numCache>
                <c:formatCode>0.00_ </c:formatCode>
                <c:ptCount val="16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35-4267-9E2B-AFD235969093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</c:strCache>
            </c:strRef>
          </c:cat>
          <c:val>
            <c:numRef>
              <c:f>工作表1!$D$2:$D$17</c:f>
              <c:numCache>
                <c:formatCode>0.00_ 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35-4267-9E2B-AFD235969093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</c:strCache>
            </c:strRef>
          </c:cat>
          <c:val>
            <c:numRef>
              <c:f>工作表1!$E$2:$E$17</c:f>
              <c:numCache>
                <c:formatCode>0.00_ 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35-4267-9E2B-AFD235969093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</c:strCache>
            </c:strRef>
          </c:cat>
          <c:val>
            <c:numRef>
              <c:f>工作表1!$F$2:$F$17</c:f>
              <c:numCache>
                <c:formatCode>0.00_ </c:formatCode>
                <c:ptCount val="16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35-4267-9E2B-AFD235969093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</c:strCache>
            </c:strRef>
          </c:cat>
          <c:val>
            <c:numRef>
              <c:f>工作表1!$G$2:$G$17</c:f>
              <c:numCache>
                <c:formatCode>0.00_ </c:formatCode>
                <c:ptCount val="16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35-4267-9E2B-AFD235969093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</c:strCache>
            </c:strRef>
          </c:cat>
          <c:val>
            <c:numRef>
              <c:f>工作表1!$H$2:$H$17</c:f>
              <c:numCache>
                <c:formatCode>0.00_ </c:formatCode>
                <c:ptCount val="16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35-4267-9E2B-AFD235969093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工作表1!$A$2:$A$17</c:f>
              <c:strCache>
                <c:ptCount val="16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</c:strCache>
            </c:strRef>
          </c:cat>
          <c:val>
            <c:numRef>
              <c:f>工作表1!$I$2:$I$17</c:f>
              <c:numCache>
                <c:formatCode>0.00_ </c:formatCode>
                <c:ptCount val="16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35-4267-9E2B-AFD235969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276176"/>
        <c:axId val="1"/>
      </c:lineChart>
      <c:catAx>
        <c:axId val="118727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1872761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238852972303879"/>
          <c:y val="0.9487248371977629"/>
          <c:w val="0.5443027298102816"/>
          <c:h val="3.544891230434119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54429</xdr:colOff>
      <xdr:row>5</xdr:row>
      <xdr:rowOff>315686</xdr:rowOff>
    </xdr:from>
    <xdr:to>
      <xdr:col>25</xdr:col>
      <xdr:colOff>511629</xdr:colOff>
      <xdr:row>23</xdr:row>
      <xdr:rowOff>27214</xdr:rowOff>
    </xdr:to>
    <xdr:graphicFrame macro="">
      <xdr:nvGraphicFramePr>
        <xdr:cNvPr id="1144" name="图表 2">
          <a:extLst>
            <a:ext uri="{FF2B5EF4-FFF2-40B4-BE49-F238E27FC236}">
              <a16:creationId xmlns:a16="http://schemas.microsoft.com/office/drawing/2014/main" id="{551C8B2B-0A18-4F8D-B1E6-D64044512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0.15746</cdr:x>
      <cdr:y>0.89329</cdr:y>
    </cdr:from>
    <cdr:to>
      <cdr:x>0.46059</cdr:x>
      <cdr:y>0.92549</cdr:y>
    </cdr:to>
    <cdr:sp macro="" textlink="">
      <cdr:nvSpPr>
        <cdr:cNvPr id="122882" name="文本框 1">
          <a:extLst xmlns:a="http://schemas.openxmlformats.org/drawingml/2006/main">
            <a:ext uri="{FF2B5EF4-FFF2-40B4-BE49-F238E27FC236}">
              <a16:creationId xmlns:a16="http://schemas.microsoft.com/office/drawing/2014/main" id="{313D1A34-4D51-4B29-AEDD-2A4C14E667EB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02439" y="5218793"/>
          <a:ext cx="3466432" cy="1880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tabSelected="1" topLeftCell="A6" zoomScale="85" workbookViewId="0">
      <selection activeCell="A19" sqref="A19:IV19"/>
    </sheetView>
  </sheetViews>
  <sheetFormatPr defaultRowHeight="15"/>
  <cols>
    <col min="1" max="1" width="8.5625" style="1" customWidth="1"/>
    <col min="2" max="2" width="8.5" style="1" customWidth="1"/>
    <col min="3" max="3" width="8.25" style="1" customWidth="1"/>
    <col min="4" max="4" width="8.375" style="1" customWidth="1"/>
    <col min="5" max="5" width="8.31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27.75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7.75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7.75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7.75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7.75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7.75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7.75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7.75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7.75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7.75" customHeight="1">
      <c r="B18" s="8">
        <f>B17/2</f>
        <v>1.68</v>
      </c>
      <c r="C18" s="8">
        <f t="shared" ref="C18:I18" si="0">C17/2</f>
        <v>1.28</v>
      </c>
      <c r="D18" s="8">
        <f t="shared" si="0"/>
        <v>1.88</v>
      </c>
      <c r="E18" s="8">
        <f t="shared" si="0"/>
        <v>1.98</v>
      </c>
      <c r="F18" s="8">
        <f t="shared" si="0"/>
        <v>5.68</v>
      </c>
      <c r="G18" s="8">
        <f t="shared" si="0"/>
        <v>4.28</v>
      </c>
      <c r="H18" s="8">
        <f t="shared" si="0"/>
        <v>4.38</v>
      </c>
      <c r="I18" s="8">
        <f t="shared" si="0"/>
        <v>1.88</v>
      </c>
      <c r="J18" s="8"/>
    </row>
    <row r="19" spans="1:10" ht="19.95" customHeight="1">
      <c r="A19" s="9" t="s">
        <v>20</v>
      </c>
      <c r="B19" s="10">
        <f>B17/B16-1</f>
        <v>-0.10638297872340419</v>
      </c>
      <c r="C19" s="10">
        <f t="shared" ref="C19:I19" si="1">C17/C16-1</f>
        <v>0</v>
      </c>
      <c r="D19" s="10">
        <f t="shared" si="1"/>
        <v>0</v>
      </c>
      <c r="E19" s="10">
        <f t="shared" si="1"/>
        <v>0</v>
      </c>
      <c r="F19" s="10">
        <f t="shared" si="1"/>
        <v>0</v>
      </c>
      <c r="G19" s="10">
        <f t="shared" si="1"/>
        <v>0.53956834532374121</v>
      </c>
      <c r="H19" s="10">
        <f t="shared" si="1"/>
        <v>0</v>
      </c>
      <c r="I19" s="10">
        <f t="shared" si="1"/>
        <v>-9.6153846153846256E-2</v>
      </c>
      <c r="J19" s="10"/>
    </row>
    <row r="20" spans="1:10" ht="25.2" customHeight="1">
      <c r="A20" s="9" t="s">
        <v>21</v>
      </c>
      <c r="B20" s="10">
        <f>B17/B2-1</f>
        <v>4.9999999999999822E-2</v>
      </c>
      <c r="C20" s="10">
        <f t="shared" ref="C20:I20" si="2">C17/C2-1</f>
        <v>0.42222222222222228</v>
      </c>
      <c r="D20" s="10">
        <f t="shared" si="2"/>
        <v>0.87999999999999989</v>
      </c>
      <c r="E20" s="10">
        <f t="shared" si="2"/>
        <v>0.98</v>
      </c>
      <c r="F20" s="10">
        <f t="shared" si="2"/>
        <v>-2.0689655172413834E-2</v>
      </c>
      <c r="G20" s="10">
        <f t="shared" si="2"/>
        <v>0.18888888888888888</v>
      </c>
      <c r="H20" s="10">
        <f t="shared" si="2"/>
        <v>0.32727272727272738</v>
      </c>
      <c r="I20" s="10">
        <f t="shared" si="2"/>
        <v>-0.30370370370370381</v>
      </c>
      <c r="J20" s="10"/>
    </row>
    <row r="21" spans="1:10" ht="26.7" customHeight="1"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