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3日\"/>
    </mc:Choice>
  </mc:AlternateContent>
  <xr:revisionPtr revIDLastSave="0" documentId="8_{312442A7-95D1-4B76-93B9-3A387797F058}" xr6:coauthVersionLast="36" xr6:coauthVersionMax="36" xr10:uidLastSave="{00000000-0000-0000-0000-000000000000}"/>
  <bookViews>
    <workbookView xWindow="32769" yWindow="32769" windowWidth="28800" windowHeight="12463"/>
  </bookViews>
  <sheets>
    <sheet name="4月2日全天" sheetId="6" r:id="rId1"/>
  </sheets>
  <definedNames>
    <definedName name="_xlnm.Print_Area" localSheetId="0">'4月2日全天'!$A$1:$K$28</definedName>
    <definedName name="_xlnm.Print_Titles" localSheetId="0">'4月2日全天'!$4:$5</definedName>
  </definedNames>
  <calcPr calcId="191029" fullCalcOnLoad="1"/>
</workbook>
</file>

<file path=xl/calcChain.xml><?xml version="1.0" encoding="utf-8"?>
<calcChain xmlns="http://schemas.openxmlformats.org/spreadsheetml/2006/main">
  <c r="K6" i="6" l="1"/>
  <c r="K10" i="6" s="1"/>
  <c r="K8" i="6"/>
  <c r="K9" i="6"/>
  <c r="D10" i="6"/>
  <c r="G10" i="6"/>
  <c r="H10" i="6"/>
  <c r="I10" i="6"/>
  <c r="K12" i="6"/>
  <c r="K13" i="6"/>
  <c r="K14" i="6"/>
  <c r="K15" i="6"/>
  <c r="K24" i="6" s="1"/>
  <c r="K25" i="6" s="1"/>
  <c r="K18" i="6"/>
  <c r="K19" i="6"/>
  <c r="K20" i="6"/>
  <c r="D24" i="6"/>
  <c r="E24" i="6"/>
  <c r="F24" i="6"/>
  <c r="G24" i="6"/>
  <c r="H24" i="6"/>
  <c r="I24" i="6"/>
  <c r="I25" i="6" s="1"/>
  <c r="D25" i="6"/>
  <c r="E25" i="6"/>
  <c r="F25" i="6"/>
  <c r="G25" i="6"/>
  <c r="H25" i="6"/>
</calcChain>
</file>

<file path=xl/sharedStrings.xml><?xml version="1.0" encoding="utf-8"?>
<sst xmlns="http://schemas.openxmlformats.org/spreadsheetml/2006/main" count="56" uniqueCount="48">
  <si>
    <t>附件4</t>
  </si>
  <si>
    <t>4月2日长春各区保供结对蔬菜包对接、自采情况表</t>
  </si>
  <si>
    <t xml:space="preserve"> 统计时间段：4月2日8时-4月3日8时</t>
  </si>
  <si>
    <t xml:space="preserve">            报送时间：4月3日8时</t>
  </si>
  <si>
    <t>序号</t>
  </si>
  <si>
    <t>被包保单位</t>
  </si>
  <si>
    <t>包保单位</t>
  </si>
  <si>
    <t>对接情况</t>
  </si>
  <si>
    <t>自采情况</t>
  </si>
  <si>
    <t>蔬菜包
投放总量
（对接+自采）</t>
  </si>
  <si>
    <t>接收车
数量
（辆）</t>
  </si>
  <si>
    <t>接收
蔬菜包
（箱/袋）</t>
  </si>
  <si>
    <t>蔬菜总量
（吨）</t>
  </si>
  <si>
    <t>发放量
（箱/袋）</t>
  </si>
  <si>
    <t>自采
蔬菜包
（箱/袋）</t>
  </si>
  <si>
    <t>自采
蔬菜总量
（吨）</t>
  </si>
  <si>
    <t>采购来源</t>
  </si>
  <si>
    <t>朝阳区
（57.8万人）</t>
  </si>
  <si>
    <t>德惠市</t>
  </si>
  <si>
    <t>各大商超</t>
  </si>
  <si>
    <t>南关区
（48.9万人）</t>
  </si>
  <si>
    <t>农安县</t>
  </si>
  <si>
    <t>绿园区
（42.6万人）</t>
  </si>
  <si>
    <t>公主岭市</t>
  </si>
  <si>
    <t>二道区
（32.6万人）</t>
  </si>
  <si>
    <t>双阳区</t>
  </si>
  <si>
    <t>外县市小计</t>
  </si>
  <si>
    <r>
      <t xml:space="preserve">通化地区
</t>
    </r>
    <r>
      <rPr>
        <b/>
        <sz val="12"/>
        <color indexed="10"/>
        <rFont val="仿宋"/>
        <charset val="134"/>
      </rPr>
      <t>（调剂）</t>
    </r>
  </si>
  <si>
    <t>宽城区
（38.5万人）</t>
  </si>
  <si>
    <t>通化市</t>
  </si>
  <si>
    <t>域内企业</t>
  </si>
  <si>
    <t>长春新区
（36.8万人）</t>
  </si>
  <si>
    <t>松原市</t>
  </si>
  <si>
    <t>外地购入</t>
  </si>
  <si>
    <t>中韩示范区</t>
  </si>
  <si>
    <t>经开区
（20.3万人）</t>
  </si>
  <si>
    <t>白山市</t>
  </si>
  <si>
    <t>白城市</t>
  </si>
  <si>
    <t>净月区
（22.8万人）</t>
  </si>
  <si>
    <t>辽源市</t>
  </si>
  <si>
    <t>莲花山
（5.1万人）</t>
  </si>
  <si>
    <t>汽开区
（21.7万人）</t>
  </si>
  <si>
    <t>四平市</t>
  </si>
  <si>
    <t>梅河口市</t>
  </si>
  <si>
    <t>九台区
（71.2万人）</t>
  </si>
  <si>
    <t>市州小计</t>
  </si>
  <si>
    <t>合计</t>
  </si>
  <si>
    <r>
      <t>备注：</t>
    </r>
    <r>
      <rPr>
        <sz val="12"/>
        <rFont val="宋体"/>
        <charset val="134"/>
      </rPr>
      <t xml:space="preserve">
        1. 4月2日8时至4月3日8时，省内市州驰援蔬菜包37669份、432吨（较前一日减少4712份、22.6吨），已送往我市各城区、开发区，正在有序发放。
同时，利用海吉星供应体系在外县（市）分拣、保障主城区蔬菜包无。通过结对保供，全天接收蔬菜包总计37669份、432吨。（较前一日减少21096份、172.9吨）。
        全市各城区、开发区充分利用各种渠道采购蔬菜包28290份、约200吨。（较前一日减少53425份、减少531吨）。
       通过结对保供和自采渠道，全天各类蔬菜包达到65959份、约652吨。（较前一日减少74521份、减少683.9吨）。
      2.4月2日8时至18时，通化地区对接汽开区9车；4月2日8时至4月3日8时，通化地区将原9车调剂到经开区5车，故通化地区给汽开剩余4车。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</si>
</sst>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2"/>
      <name val="宋体"/>
      <charset val="134"/>
    </font>
    <font>
      <sz val="14"/>
      <name val="仿宋"/>
      <charset val="134"/>
    </font>
    <font>
      <b/>
      <sz val="14"/>
      <name val="仿宋"/>
      <charset val="134"/>
    </font>
    <font>
      <sz val="12"/>
      <name val="仿宋"/>
      <charset val="134"/>
    </font>
    <font>
      <b/>
      <sz val="12"/>
      <name val="仿宋"/>
      <charset val="134"/>
    </font>
    <font>
      <b/>
      <sz val="12"/>
      <name val="宋体"/>
      <charset val="134"/>
    </font>
    <font>
      <b/>
      <sz val="12"/>
      <color indexed="10"/>
      <name val="仿宋"/>
      <charset val="134"/>
    </font>
    <font>
      <sz val="11"/>
      <color theme="1"/>
      <name val="Tahoma"/>
    </font>
    <font>
      <b/>
      <sz val="14"/>
      <name val="等线 Light"/>
      <charset val="134"/>
      <scheme val="major"/>
    </font>
    <font>
      <b/>
      <sz val="20"/>
      <name val="等线 Light"/>
      <charset val="134"/>
      <scheme val="major"/>
    </font>
    <font>
      <sz val="12"/>
      <color theme="1"/>
      <name val="仿宋"/>
      <charset val="134"/>
    </font>
    <font>
      <sz val="14"/>
      <name val="等线"/>
      <charset val="134"/>
      <scheme val="minor"/>
    </font>
    <font>
      <b/>
      <sz val="14"/>
      <color theme="1"/>
      <name val="仿宋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58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8"/>
  <sheetViews>
    <sheetView tabSelected="1" view="pageBreakPreview" zoomScaleNormal="85" workbookViewId="0">
      <pane activePane="bottomRight" state="frozen"/>
      <selection activeCell="E11" activeCellId="3" sqref="E22 E17 E12 E11"/>
    </sheetView>
  </sheetViews>
  <sheetFormatPr defaultColWidth="9" defaultRowHeight="15" x14ac:dyDescent="0.3"/>
  <cols>
    <col min="1" max="1" width="6.35546875" customWidth="1"/>
    <col min="2" max="2" width="13.140625" customWidth="1"/>
    <col min="3" max="3" width="15.640625" customWidth="1"/>
    <col min="4" max="4" width="11.35546875" customWidth="1"/>
    <col min="5" max="5" width="12.5" style="1" customWidth="1"/>
    <col min="6" max="6" width="11.35546875" customWidth="1"/>
    <col min="7" max="7" width="13" customWidth="1"/>
    <col min="8" max="8" width="12.2109375" style="1" customWidth="1"/>
    <col min="9" max="9" width="11.35546875" customWidth="1"/>
    <col min="10" max="10" width="15.640625" style="2" customWidth="1"/>
    <col min="11" max="11" width="12.85546875" customWidth="1"/>
  </cols>
  <sheetData>
    <row r="1" spans="1:11" ht="27" customHeight="1" x14ac:dyDescent="0.3">
      <c r="A1" s="22" t="s">
        <v>0</v>
      </c>
      <c r="B1" s="22"/>
    </row>
    <row r="2" spans="1:11" ht="31" customHeight="1" x14ac:dyDescent="0.3">
      <c r="B2" s="23" t="s">
        <v>1</v>
      </c>
      <c r="C2" s="23"/>
      <c r="D2" s="23"/>
      <c r="E2" s="24"/>
      <c r="F2" s="23"/>
      <c r="G2" s="23"/>
      <c r="H2" s="24"/>
      <c r="I2" s="23"/>
      <c r="J2" s="25"/>
      <c r="K2" s="23"/>
    </row>
    <row r="3" spans="1:11" ht="29.05" customHeight="1" x14ac:dyDescent="0.3">
      <c r="A3" s="26" t="s">
        <v>2</v>
      </c>
      <c r="B3" s="26"/>
      <c r="C3" s="26"/>
      <c r="D3" s="26"/>
      <c r="E3" s="27"/>
      <c r="F3" s="28"/>
      <c r="G3" s="28"/>
      <c r="H3" s="29" t="s">
        <v>3</v>
      </c>
      <c r="I3" s="30"/>
      <c r="J3" s="30"/>
      <c r="K3" s="30"/>
    </row>
    <row r="4" spans="1:11" ht="31" customHeight="1" x14ac:dyDescent="0.3">
      <c r="A4" s="43" t="s">
        <v>4</v>
      </c>
      <c r="B4" s="43" t="s">
        <v>5</v>
      </c>
      <c r="C4" s="43" t="s">
        <v>6</v>
      </c>
      <c r="D4" s="31" t="s">
        <v>7</v>
      </c>
      <c r="E4" s="32"/>
      <c r="F4" s="33"/>
      <c r="G4" s="34"/>
      <c r="H4" s="35" t="s">
        <v>8</v>
      </c>
      <c r="I4" s="36"/>
      <c r="J4" s="37"/>
      <c r="K4" s="54" t="s">
        <v>9</v>
      </c>
    </row>
    <row r="5" spans="1:11" ht="65.05" customHeight="1" x14ac:dyDescent="0.3">
      <c r="A5" s="43"/>
      <c r="B5" s="43"/>
      <c r="C5" s="43"/>
      <c r="D5" s="3" t="s">
        <v>10</v>
      </c>
      <c r="E5" s="15" t="s">
        <v>11</v>
      </c>
      <c r="F5" s="3" t="s">
        <v>12</v>
      </c>
      <c r="G5" s="3" t="s">
        <v>13</v>
      </c>
      <c r="H5" s="16" t="s">
        <v>14</v>
      </c>
      <c r="I5" s="16" t="s">
        <v>15</v>
      </c>
      <c r="J5" s="16" t="s">
        <v>16</v>
      </c>
      <c r="K5" s="54"/>
    </row>
    <row r="6" spans="1:11" ht="42" customHeight="1" x14ac:dyDescent="0.3">
      <c r="A6" s="4">
        <v>1</v>
      </c>
      <c r="B6" s="5" t="s">
        <v>17</v>
      </c>
      <c r="C6" s="6" t="s">
        <v>18</v>
      </c>
      <c r="D6" s="7">
        <v>0</v>
      </c>
      <c r="E6" s="7"/>
      <c r="F6" s="4"/>
      <c r="G6" s="4">
        <v>0</v>
      </c>
      <c r="H6" s="7">
        <v>8005</v>
      </c>
      <c r="I6" s="4">
        <v>80</v>
      </c>
      <c r="J6" s="4" t="s">
        <v>19</v>
      </c>
      <c r="K6" s="4">
        <f>E6+H6</f>
        <v>8005</v>
      </c>
    </row>
    <row r="7" spans="1:11" ht="42" customHeight="1" x14ac:dyDescent="0.3">
      <c r="A7" s="8">
        <v>2</v>
      </c>
      <c r="B7" s="9" t="s">
        <v>20</v>
      </c>
      <c r="C7" s="6" t="s">
        <v>21</v>
      </c>
      <c r="D7" s="4">
        <v>0</v>
      </c>
      <c r="E7" s="7"/>
      <c r="F7" s="4"/>
      <c r="G7" s="4">
        <v>0</v>
      </c>
      <c r="H7" s="17">
        <v>9805</v>
      </c>
      <c r="I7" s="8">
        <v>98</v>
      </c>
      <c r="J7" s="8" t="s">
        <v>19</v>
      </c>
      <c r="K7" s="8">
        <v>9805</v>
      </c>
    </row>
    <row r="8" spans="1:11" ht="58" customHeight="1" x14ac:dyDescent="0.3">
      <c r="A8" s="4">
        <v>3</v>
      </c>
      <c r="B8" s="9" t="s">
        <v>22</v>
      </c>
      <c r="C8" s="5" t="s">
        <v>23</v>
      </c>
      <c r="D8" s="7">
        <v>0</v>
      </c>
      <c r="E8" s="7"/>
      <c r="F8" s="7"/>
      <c r="G8" s="7">
        <v>0</v>
      </c>
      <c r="H8" s="17">
        <v>0</v>
      </c>
      <c r="I8" s="17"/>
      <c r="J8" s="20"/>
      <c r="K8" s="17">
        <f>E8+H8</f>
        <v>0</v>
      </c>
    </row>
    <row r="9" spans="1:11" ht="42" customHeight="1" x14ac:dyDescent="0.3">
      <c r="A9" s="4">
        <v>4</v>
      </c>
      <c r="B9" s="9" t="s">
        <v>24</v>
      </c>
      <c r="C9" s="6" t="s">
        <v>25</v>
      </c>
      <c r="D9" s="4">
        <v>0</v>
      </c>
      <c r="E9" s="7"/>
      <c r="F9" s="4"/>
      <c r="G9" s="8">
        <v>12000</v>
      </c>
      <c r="H9" s="17">
        <v>0</v>
      </c>
      <c r="I9" s="8"/>
      <c r="J9" s="8"/>
      <c r="K9" s="8">
        <f>E9+H9</f>
        <v>0</v>
      </c>
    </row>
    <row r="10" spans="1:11" ht="42" customHeight="1" x14ac:dyDescent="0.3">
      <c r="A10" s="38" t="s">
        <v>26</v>
      </c>
      <c r="B10" s="38"/>
      <c r="C10" s="38"/>
      <c r="D10" s="10">
        <f t="shared" ref="D10:I10" si="0">SUM(D6:D9)</f>
        <v>0</v>
      </c>
      <c r="E10" s="10"/>
      <c r="F10" s="10"/>
      <c r="G10" s="10">
        <f t="shared" si="0"/>
        <v>12000</v>
      </c>
      <c r="H10" s="10">
        <f t="shared" si="0"/>
        <v>17810</v>
      </c>
      <c r="I10" s="10">
        <f t="shared" si="0"/>
        <v>178</v>
      </c>
      <c r="J10" s="10"/>
      <c r="K10" s="10">
        <f>SUM(K6:K9)</f>
        <v>17810</v>
      </c>
    </row>
    <row r="11" spans="1:11" ht="42" customHeight="1" x14ac:dyDescent="0.3">
      <c r="A11" s="11">
        <v>1</v>
      </c>
      <c r="B11" s="11" t="s">
        <v>20</v>
      </c>
      <c r="C11" s="12" t="s">
        <v>27</v>
      </c>
      <c r="D11" s="7">
        <v>7</v>
      </c>
      <c r="E11" s="7">
        <v>7437</v>
      </c>
      <c r="F11" s="7">
        <v>75</v>
      </c>
      <c r="G11" s="7">
        <v>4392</v>
      </c>
      <c r="H11" s="7"/>
      <c r="I11" s="7"/>
      <c r="J11" s="4" t="s">
        <v>19</v>
      </c>
      <c r="K11" s="7">
        <v>7437</v>
      </c>
    </row>
    <row r="12" spans="1:11" ht="42" customHeight="1" x14ac:dyDescent="0.3">
      <c r="A12" s="7">
        <v>2</v>
      </c>
      <c r="B12" s="11" t="s">
        <v>28</v>
      </c>
      <c r="C12" s="7" t="s">
        <v>29</v>
      </c>
      <c r="D12" s="7">
        <v>3</v>
      </c>
      <c r="E12" s="7">
        <v>3227</v>
      </c>
      <c r="F12" s="7">
        <v>33</v>
      </c>
      <c r="G12" s="7">
        <v>2526</v>
      </c>
      <c r="H12" s="7">
        <v>2480</v>
      </c>
      <c r="I12" s="7">
        <v>22</v>
      </c>
      <c r="J12" s="7" t="s">
        <v>30</v>
      </c>
      <c r="K12" s="7">
        <f>E12+H12</f>
        <v>5707</v>
      </c>
    </row>
    <row r="13" spans="1:11" ht="60" customHeight="1" x14ac:dyDescent="0.3">
      <c r="A13" s="4">
        <v>3</v>
      </c>
      <c r="B13" s="5" t="s">
        <v>31</v>
      </c>
      <c r="C13" s="6" t="s">
        <v>32</v>
      </c>
      <c r="D13" s="4">
        <v>0</v>
      </c>
      <c r="E13" s="7"/>
      <c r="F13" s="4"/>
      <c r="G13" s="4">
        <v>11000</v>
      </c>
      <c r="H13" s="7">
        <v>8000</v>
      </c>
      <c r="I13" s="7"/>
      <c r="J13" s="21" t="s">
        <v>33</v>
      </c>
      <c r="K13" s="4">
        <f t="shared" ref="K13:K14" si="1">E13+H13</f>
        <v>8000</v>
      </c>
    </row>
    <row r="14" spans="1:11" ht="36" customHeight="1" x14ac:dyDescent="0.3">
      <c r="A14" s="4">
        <v>4</v>
      </c>
      <c r="B14" s="6" t="s">
        <v>34</v>
      </c>
      <c r="C14" s="6" t="s">
        <v>32</v>
      </c>
      <c r="D14" s="4">
        <v>0</v>
      </c>
      <c r="E14" s="7"/>
      <c r="F14" s="4"/>
      <c r="G14" s="4">
        <v>0</v>
      </c>
      <c r="H14" s="7">
        <v>0</v>
      </c>
      <c r="I14" s="4"/>
      <c r="J14" s="4"/>
      <c r="K14" s="4">
        <f t="shared" si="1"/>
        <v>0</v>
      </c>
    </row>
    <row r="15" spans="1:11" ht="36" customHeight="1" x14ac:dyDescent="0.3">
      <c r="A15" s="44">
        <v>5</v>
      </c>
      <c r="B15" s="47" t="s">
        <v>35</v>
      </c>
      <c r="C15" s="5" t="s">
        <v>36</v>
      </c>
      <c r="D15" s="7">
        <v>0</v>
      </c>
      <c r="E15" s="7"/>
      <c r="F15" s="7"/>
      <c r="G15" s="49">
        <v>2939</v>
      </c>
      <c r="H15" s="49">
        <v>0</v>
      </c>
      <c r="I15" s="52"/>
      <c r="J15" s="52"/>
      <c r="K15" s="49">
        <f>E16+E17</f>
        <v>7823</v>
      </c>
    </row>
    <row r="16" spans="1:11" ht="36" customHeight="1" x14ac:dyDescent="0.3">
      <c r="A16" s="45"/>
      <c r="B16" s="48"/>
      <c r="C16" s="5" t="s">
        <v>37</v>
      </c>
      <c r="D16" s="7">
        <v>2</v>
      </c>
      <c r="E16" s="7">
        <v>2939</v>
      </c>
      <c r="F16" s="7">
        <v>32</v>
      </c>
      <c r="G16" s="50"/>
      <c r="H16" s="50"/>
      <c r="I16" s="53"/>
      <c r="J16" s="53"/>
      <c r="K16" s="50"/>
    </row>
    <row r="17" spans="1:11" ht="36" customHeight="1" x14ac:dyDescent="0.3">
      <c r="A17" s="46"/>
      <c r="B17" s="48"/>
      <c r="C17" s="12" t="s">
        <v>27</v>
      </c>
      <c r="D17" s="7">
        <v>5</v>
      </c>
      <c r="E17" s="7">
        <v>4884</v>
      </c>
      <c r="F17" s="7">
        <v>48</v>
      </c>
      <c r="G17" s="51"/>
      <c r="H17" s="50"/>
      <c r="I17" s="53"/>
      <c r="J17" s="53"/>
      <c r="K17" s="50"/>
    </row>
    <row r="18" spans="1:11" ht="36" customHeight="1" x14ac:dyDescent="0.3">
      <c r="A18" s="4">
        <v>6</v>
      </c>
      <c r="B18" s="5" t="s">
        <v>38</v>
      </c>
      <c r="C18" s="5" t="s">
        <v>39</v>
      </c>
      <c r="D18" s="7">
        <v>0</v>
      </c>
      <c r="E18" s="7"/>
      <c r="F18" s="4"/>
      <c r="G18" s="4">
        <v>0</v>
      </c>
      <c r="H18" s="7">
        <v>0</v>
      </c>
      <c r="I18" s="7"/>
      <c r="J18" s="4"/>
      <c r="K18" s="4">
        <f>E18+H18</f>
        <v>0</v>
      </c>
    </row>
    <row r="19" spans="1:11" ht="36" customHeight="1" x14ac:dyDescent="0.3">
      <c r="A19" s="4">
        <v>7</v>
      </c>
      <c r="B19" s="5" t="s">
        <v>40</v>
      </c>
      <c r="C19" s="5" t="s">
        <v>39</v>
      </c>
      <c r="D19" s="4">
        <v>0</v>
      </c>
      <c r="E19" s="7"/>
      <c r="F19" s="4"/>
      <c r="G19" s="4">
        <v>0</v>
      </c>
      <c r="H19" s="7">
        <v>0</v>
      </c>
      <c r="I19" s="4"/>
      <c r="J19" s="4"/>
      <c r="K19" s="4">
        <f>E19+H19</f>
        <v>0</v>
      </c>
    </row>
    <row r="20" spans="1:11" ht="36" customHeight="1" x14ac:dyDescent="0.3">
      <c r="A20" s="44">
        <v>8</v>
      </c>
      <c r="B20" s="47" t="s">
        <v>41</v>
      </c>
      <c r="C20" s="5" t="s">
        <v>42</v>
      </c>
      <c r="D20" s="4">
        <v>0</v>
      </c>
      <c r="E20" s="7"/>
      <c r="F20" s="7"/>
      <c r="G20" s="49">
        <v>15000</v>
      </c>
      <c r="H20" s="49">
        <v>0</v>
      </c>
      <c r="I20" s="44"/>
      <c r="J20" s="44"/>
      <c r="K20" s="49">
        <f>E20+E21+E22+H20</f>
        <v>19182</v>
      </c>
    </row>
    <row r="21" spans="1:11" ht="36" customHeight="1" x14ac:dyDescent="0.3">
      <c r="A21" s="45"/>
      <c r="B21" s="48"/>
      <c r="C21" s="5" t="s">
        <v>43</v>
      </c>
      <c r="D21" s="4">
        <v>12</v>
      </c>
      <c r="E21" s="7">
        <v>15000</v>
      </c>
      <c r="F21" s="4">
        <v>202</v>
      </c>
      <c r="G21" s="50"/>
      <c r="H21" s="50"/>
      <c r="I21" s="45"/>
      <c r="J21" s="45"/>
      <c r="K21" s="50"/>
    </row>
    <row r="22" spans="1:11" ht="36" customHeight="1" x14ac:dyDescent="0.3">
      <c r="A22" s="45"/>
      <c r="B22" s="48"/>
      <c r="C22" s="12" t="s">
        <v>27</v>
      </c>
      <c r="D22" s="7">
        <v>4</v>
      </c>
      <c r="E22" s="7">
        <v>4182</v>
      </c>
      <c r="F22" s="7">
        <v>42</v>
      </c>
      <c r="G22" s="50"/>
      <c r="H22" s="50"/>
      <c r="I22" s="45"/>
      <c r="J22" s="45"/>
      <c r="K22" s="50"/>
    </row>
    <row r="23" spans="1:11" ht="36" customHeight="1" x14ac:dyDescent="0.3">
      <c r="A23" s="8">
        <v>9</v>
      </c>
      <c r="B23" s="9" t="s">
        <v>44</v>
      </c>
      <c r="C23" s="5" t="s">
        <v>43</v>
      </c>
      <c r="D23" s="13">
        <v>0</v>
      </c>
      <c r="E23" s="18">
        <v>0</v>
      </c>
      <c r="F23" s="19"/>
      <c r="G23" s="8"/>
      <c r="H23" s="17">
        <v>0</v>
      </c>
      <c r="I23" s="8"/>
      <c r="J23" s="8"/>
      <c r="K23" s="8">
        <v>0</v>
      </c>
    </row>
    <row r="24" spans="1:11" ht="36" customHeight="1" x14ac:dyDescent="0.3">
      <c r="A24" s="39" t="s">
        <v>45</v>
      </c>
      <c r="B24" s="39"/>
      <c r="C24" s="39"/>
      <c r="D24" s="10">
        <f t="shared" ref="D24:I24" si="2">SUM(D11:D23)</f>
        <v>33</v>
      </c>
      <c r="E24" s="10">
        <f t="shared" si="2"/>
        <v>37669</v>
      </c>
      <c r="F24" s="10">
        <f t="shared" si="2"/>
        <v>432</v>
      </c>
      <c r="G24" s="10">
        <f>SUM(G11:G23)</f>
        <v>35857</v>
      </c>
      <c r="H24" s="10">
        <f t="shared" si="2"/>
        <v>10480</v>
      </c>
      <c r="I24" s="10">
        <f t="shared" si="2"/>
        <v>22</v>
      </c>
      <c r="J24" s="10"/>
      <c r="K24" s="10">
        <f>SUM(K11:K23)</f>
        <v>48149</v>
      </c>
    </row>
    <row r="25" spans="1:11" ht="36" customHeight="1" x14ac:dyDescent="0.3">
      <c r="A25" s="40" t="s">
        <v>46</v>
      </c>
      <c r="B25" s="41"/>
      <c r="C25" s="42"/>
      <c r="D25" s="14">
        <f t="shared" ref="D25:I25" si="3">D24+D10</f>
        <v>33</v>
      </c>
      <c r="E25" s="14">
        <f t="shared" si="3"/>
        <v>37669</v>
      </c>
      <c r="F25" s="14">
        <f t="shared" si="3"/>
        <v>432</v>
      </c>
      <c r="G25" s="14">
        <f t="shared" si="3"/>
        <v>47857</v>
      </c>
      <c r="H25" s="14">
        <f t="shared" si="3"/>
        <v>28290</v>
      </c>
      <c r="I25" s="14">
        <f t="shared" si="3"/>
        <v>200</v>
      </c>
      <c r="J25" s="14"/>
      <c r="K25" s="14">
        <f>K24+K10</f>
        <v>65959</v>
      </c>
    </row>
    <row r="26" spans="1:11" ht="31" customHeight="1" x14ac:dyDescent="0.3">
      <c r="A26" s="55" t="s">
        <v>47</v>
      </c>
      <c r="B26" s="56"/>
      <c r="C26" s="56"/>
      <c r="D26" s="56"/>
      <c r="E26" s="57"/>
      <c r="F26" s="56"/>
      <c r="G26" s="56"/>
      <c r="H26" s="57"/>
      <c r="I26" s="56"/>
      <c r="J26" s="56"/>
      <c r="K26" s="56"/>
    </row>
    <row r="27" spans="1:11" ht="31" customHeight="1" x14ac:dyDescent="0.3">
      <c r="A27" s="56"/>
      <c r="B27" s="56"/>
      <c r="C27" s="56"/>
      <c r="D27" s="56"/>
      <c r="E27" s="57"/>
      <c r="F27" s="56"/>
      <c r="G27" s="56"/>
      <c r="H27" s="57"/>
      <c r="I27" s="56"/>
      <c r="J27" s="56"/>
      <c r="K27" s="56"/>
    </row>
    <row r="28" spans="1:11" ht="56.05" customHeight="1" x14ac:dyDescent="0.3">
      <c r="A28" s="56"/>
      <c r="B28" s="56"/>
      <c r="C28" s="56"/>
      <c r="D28" s="56"/>
      <c r="E28" s="57"/>
      <c r="F28" s="56"/>
      <c r="G28" s="56"/>
      <c r="H28" s="57"/>
      <c r="I28" s="56"/>
      <c r="J28" s="56"/>
      <c r="K28" s="56"/>
    </row>
  </sheetData>
  <mergeCells count="29">
    <mergeCell ref="J15:J17"/>
    <mergeCell ref="J20:J22"/>
    <mergeCell ref="K4:K5"/>
    <mergeCell ref="K15:K17"/>
    <mergeCell ref="K20:K22"/>
    <mergeCell ref="A26:K28"/>
    <mergeCell ref="G15:G17"/>
    <mergeCell ref="G20:G22"/>
    <mergeCell ref="H15:H17"/>
    <mergeCell ref="H20:H22"/>
    <mergeCell ref="I15:I17"/>
    <mergeCell ref="I20:I22"/>
    <mergeCell ref="A10:C10"/>
    <mergeCell ref="A24:C24"/>
    <mergeCell ref="A25:C25"/>
    <mergeCell ref="A4:A5"/>
    <mergeCell ref="A15:A17"/>
    <mergeCell ref="A20:A22"/>
    <mergeCell ref="B4:B5"/>
    <mergeCell ref="B15:B17"/>
    <mergeCell ref="B20:B22"/>
    <mergeCell ref="C4:C5"/>
    <mergeCell ref="A1:B1"/>
    <mergeCell ref="B2:K2"/>
    <mergeCell ref="A3:E3"/>
    <mergeCell ref="F3:G3"/>
    <mergeCell ref="H3:K3"/>
    <mergeCell ref="D4:G4"/>
    <mergeCell ref="H4:J4"/>
  </mergeCells>
  <phoneticPr fontId="13" type="noConversion"/>
  <printOptions horizontalCentered="1"/>
  <pageMargins left="0.2361111111111111" right="0.19652777777777777" top="0.39305555555555555" bottom="0.2361111111111111" header="0.11805555555555555" footer="3.888888888888889E-2"/>
  <pageSetup paperSize="9" scale="9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4月2日全天</vt:lpstr>
      <vt:lpstr>'4月2日全天'!Print_Area</vt:lpstr>
      <vt:lpstr>'4月2日全天'!Print_Titles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1996-12-19T01:32:42Z</dcterms:created>
  <dcterms:modified xsi:type="dcterms:W3CDTF">2025-03-30T13:25:07Z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