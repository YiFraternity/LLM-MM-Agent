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7日\"/>
    </mc:Choice>
  </mc:AlternateContent>
  <xr:revisionPtr revIDLastSave="0" documentId="8_{DEB5F57B-F511-4FF2-B7AB-9A2BE01BDD8D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5" i="1" l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</calcChain>
</file>

<file path=xl/sharedStrings.xml><?xml version="1.0" encoding="utf-8"?>
<sst xmlns="http://schemas.openxmlformats.org/spreadsheetml/2006/main" count="53" uniqueCount="40">
  <si>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</si>
  <si>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</si>
  <si>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</si>
  <si>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</si>
  <si>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</si>
  <si>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</si>
  <si>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</si>
  <si>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</si>
  <si>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</si>
  <si>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</si>
  <si>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</si>
  <si>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</si>
  <si>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</si>
  <si>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</si>
  <si>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</si>
  <si>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</si>
  <si>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</si>
  <si>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</si>
  <si>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</si>
  <si>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</si>
  <si>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</si>
  <si>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</si>
  <si>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</si>
  <si>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</si>
  <si>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</si>
  <si>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</si>
  <si>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</si>
  <si>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</si>
  <si>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</si>
  <si>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</si>
  <si>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</si>
  <si>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</si>
  <si>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</si>
  <si>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</si>
  <si>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23日</t>
  </si>
  <si>
    <t>24日</t>
  </si>
  <si>
    <t>26日</t>
  </si>
  <si>
    <t>27日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</si>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</sst>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65903311551"/>
          <c:y val="1.452973915719818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</c:strCache>
            </c:strRef>
          </c:cat>
          <c:val>
            <c:numRef>
              <c:f>工作表1!$B$2:$B$34</c:f>
              <c:numCache>
                <c:formatCode>0.00_ </c:formatCode>
                <c:ptCount val="33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4.96</c:v>
                </c:pt>
                <c:pt idx="29">
                  <c:v>4.96</c:v>
                </c:pt>
                <c:pt idx="30">
                  <c:v>4.3600000000000003</c:v>
                </c:pt>
                <c:pt idx="31">
                  <c:v>4.3600000000000003</c:v>
                </c:pt>
                <c:pt idx="32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5-4302-9113-4C567AB0B44E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</c:strCache>
            </c:strRef>
          </c:cat>
          <c:val>
            <c:numRef>
              <c:f>工作表1!$C$2:$C$34</c:f>
              <c:numCache>
                <c:formatCode>0.00_ </c:formatCode>
                <c:ptCount val="33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A5-4302-9113-4C567AB0B44E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</c:strCache>
            </c:strRef>
          </c:cat>
          <c:val>
            <c:numRef>
              <c:f>工作表1!$D$2:$D$34</c:f>
              <c:numCache>
                <c:formatCode>0.00_ </c:formatCode>
                <c:ptCount val="33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  <c:pt idx="28">
                  <c:v>6.36</c:v>
                </c:pt>
                <c:pt idx="29">
                  <c:v>6.36</c:v>
                </c:pt>
                <c:pt idx="30">
                  <c:v>6.36</c:v>
                </c:pt>
                <c:pt idx="31">
                  <c:v>6.36</c:v>
                </c:pt>
                <c:pt idx="32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A5-4302-9113-4C567AB0B44E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</c:strCache>
            </c:strRef>
          </c:cat>
          <c:val>
            <c:numRef>
              <c:f>工作表1!$E$2:$E$34</c:f>
              <c:numCache>
                <c:formatCode>0.00_ </c:formatCode>
                <c:ptCount val="33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  <c:pt idx="28">
                  <c:v>5.76</c:v>
                </c:pt>
                <c:pt idx="29">
                  <c:v>5.76</c:v>
                </c:pt>
                <c:pt idx="30">
                  <c:v>5.76</c:v>
                </c:pt>
                <c:pt idx="31">
                  <c:v>3.96</c:v>
                </c:pt>
                <c:pt idx="32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A5-4302-9113-4C567AB0B44E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</c:strCache>
            </c:strRef>
          </c:cat>
          <c:val>
            <c:numRef>
              <c:f>工作表1!$F$2:$F$34</c:f>
              <c:numCache>
                <c:formatCode>0.00_ </c:formatCode>
                <c:ptCount val="33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  <c:pt idx="26">
                  <c:v>12.96</c:v>
                </c:pt>
                <c:pt idx="27">
                  <c:v>12.76</c:v>
                </c:pt>
                <c:pt idx="28">
                  <c:v>12.36</c:v>
                </c:pt>
                <c:pt idx="29">
                  <c:v>11.36</c:v>
                </c:pt>
                <c:pt idx="30">
                  <c:v>10.56</c:v>
                </c:pt>
                <c:pt idx="31">
                  <c:v>10.56</c:v>
                </c:pt>
                <c:pt idx="32">
                  <c:v>10.16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A5-4302-9113-4C567AB0B44E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</c:strCache>
            </c:strRef>
          </c:cat>
          <c:val>
            <c:numRef>
              <c:f>工作表1!$G$2:$G$34</c:f>
              <c:numCache>
                <c:formatCode>0.00_ </c:formatCode>
                <c:ptCount val="33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6.56</c:v>
                </c:pt>
                <c:pt idx="30">
                  <c:v>6.96</c:v>
                </c:pt>
                <c:pt idx="31">
                  <c:v>6.96</c:v>
                </c:pt>
                <c:pt idx="32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A5-4302-9113-4C567AB0B44E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</c:strCache>
            </c:strRef>
          </c:cat>
          <c:val>
            <c:numRef>
              <c:f>工作表1!$H$2:$H$34</c:f>
              <c:numCache>
                <c:formatCode>0.00_ </c:formatCode>
                <c:ptCount val="33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  <c:pt idx="26">
                  <c:v>11.16</c:v>
                </c:pt>
                <c:pt idx="27">
                  <c:v>9.9600000000000009</c:v>
                </c:pt>
                <c:pt idx="28">
                  <c:v>11.96</c:v>
                </c:pt>
                <c:pt idx="29">
                  <c:v>7.56</c:v>
                </c:pt>
                <c:pt idx="30">
                  <c:v>9.56</c:v>
                </c:pt>
                <c:pt idx="31">
                  <c:v>7.56</c:v>
                </c:pt>
                <c:pt idx="32">
                  <c:v>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A5-4302-9113-4C567AB0B44E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</c:strCache>
            </c:strRef>
          </c:cat>
          <c:val>
            <c:numRef>
              <c:f>工作表1!$I$2:$I$34</c:f>
              <c:numCache>
                <c:formatCode>0.00_ </c:formatCode>
                <c:ptCount val="33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5.16</c:v>
                </c:pt>
                <c:pt idx="29">
                  <c:v>4.5599999999999996</c:v>
                </c:pt>
                <c:pt idx="30">
                  <c:v>4.5599999999999996</c:v>
                </c:pt>
                <c:pt idx="31">
                  <c:v>4.5599999999999996</c:v>
                </c:pt>
                <c:pt idx="32">
                  <c:v>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7A5-4302-9113-4C567AB0B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73824"/>
        <c:axId val="1"/>
      </c:lineChart>
      <c:catAx>
        <c:axId val="76897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7689738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209761971833663"/>
          <c:y val="0.94869824523001733"/>
          <c:w val="0.54939380633111634"/>
          <c:h val="3.612277887649365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10886</xdr:colOff>
      <xdr:row>24</xdr:row>
      <xdr:rowOff>261257</xdr:rowOff>
    </xdr:from>
    <xdr:to>
      <xdr:col>28</xdr:col>
      <xdr:colOff>391886</xdr:colOff>
      <xdr:row>44</xdr:row>
      <xdr:rowOff>108857</xdr:rowOff>
    </xdr:to>
    <xdr:graphicFrame macro="">
      <xdr:nvGraphicFramePr>
        <xdr:cNvPr id="1134" name="图表 2">
          <a:extLst>
            <a:ext uri="{FF2B5EF4-FFF2-40B4-BE49-F238E27FC236}">
              <a16:creationId xmlns:a16="http://schemas.microsoft.com/office/drawing/2014/main" id="{03E4783E-96DC-40C6-8ADA-865C2B047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tabSelected="1" topLeftCell="A21" zoomScale="85" workbookViewId="0">
      <selection activeCell="A36" sqref="A36:IV36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A28" s="6" t="s">
        <v>32</v>
      </c>
      <c r="B28" s="8">
        <v>4.5599999999999996</v>
      </c>
      <c r="C28" s="8">
        <v>2.7</v>
      </c>
      <c r="D28" s="8">
        <v>6.36</v>
      </c>
      <c r="E28" s="8">
        <v>5.76</v>
      </c>
      <c r="F28" s="8">
        <v>12.96</v>
      </c>
      <c r="G28" s="8">
        <v>6.96</v>
      </c>
      <c r="H28" s="8">
        <v>11.16</v>
      </c>
      <c r="I28" s="8">
        <v>4.5599999999999996</v>
      </c>
      <c r="J28" s="8"/>
    </row>
    <row r="29" spans="1:10" ht="27.75" customHeight="1">
      <c r="A29" s="6" t="s">
        <v>33</v>
      </c>
      <c r="B29" s="8">
        <v>4.5599999999999996</v>
      </c>
      <c r="C29" s="8">
        <v>2.7</v>
      </c>
      <c r="D29" s="8">
        <v>6.36</v>
      </c>
      <c r="E29" s="8">
        <v>5.76</v>
      </c>
      <c r="F29" s="8">
        <v>12.76</v>
      </c>
      <c r="G29" s="8">
        <v>6.96</v>
      </c>
      <c r="H29" s="8">
        <v>9.9600000000000009</v>
      </c>
      <c r="I29" s="8">
        <v>4.5599999999999996</v>
      </c>
      <c r="J29" s="8"/>
    </row>
    <row r="30" spans="1:10" ht="27.75" customHeight="1">
      <c r="A30" s="6" t="s">
        <v>34</v>
      </c>
      <c r="B30" s="8">
        <v>4.96</v>
      </c>
      <c r="C30" s="8">
        <v>2.7</v>
      </c>
      <c r="D30" s="8">
        <v>6.36</v>
      </c>
      <c r="E30" s="8">
        <v>5.76</v>
      </c>
      <c r="F30" s="8">
        <v>12.36</v>
      </c>
      <c r="G30" s="8">
        <v>6.96</v>
      </c>
      <c r="H30" s="8">
        <v>11.96</v>
      </c>
      <c r="I30" s="8">
        <v>5.16</v>
      </c>
      <c r="J30" s="8"/>
    </row>
    <row r="31" spans="1:10" ht="27.75" customHeight="1">
      <c r="A31" s="6" t="s">
        <v>35</v>
      </c>
      <c r="B31" s="8">
        <v>4.96</v>
      </c>
      <c r="C31" s="8">
        <v>2.7</v>
      </c>
      <c r="D31" s="8">
        <v>6.36</v>
      </c>
      <c r="E31" s="8">
        <v>5.76</v>
      </c>
      <c r="F31" s="8">
        <v>11.36</v>
      </c>
      <c r="G31" s="8">
        <v>6.56</v>
      </c>
      <c r="H31" s="8">
        <v>7.56</v>
      </c>
      <c r="I31" s="8">
        <v>4.5599999999999996</v>
      </c>
      <c r="J31" s="8"/>
    </row>
    <row r="32" spans="1:10" ht="27.75" customHeight="1">
      <c r="A32" s="6" t="s">
        <v>14</v>
      </c>
      <c r="B32" s="8">
        <v>4.3600000000000003</v>
      </c>
      <c r="C32" s="8">
        <v>2.7</v>
      </c>
      <c r="D32" s="8">
        <v>6.36</v>
      </c>
      <c r="E32" s="8">
        <v>5.76</v>
      </c>
      <c r="F32" s="8">
        <v>10.56</v>
      </c>
      <c r="G32" s="8">
        <v>6.96</v>
      </c>
      <c r="H32" s="8">
        <v>9.56</v>
      </c>
      <c r="I32" s="8">
        <v>4.5599999999999996</v>
      </c>
      <c r="J32" s="8"/>
    </row>
    <row r="33" spans="1:10" ht="27.75" customHeight="1">
      <c r="A33" s="6" t="s">
        <v>36</v>
      </c>
      <c r="B33" s="8">
        <v>4.3600000000000003</v>
      </c>
      <c r="C33" s="8">
        <v>2.7</v>
      </c>
      <c r="D33" s="8">
        <v>6.36</v>
      </c>
      <c r="E33" s="8">
        <v>3.96</v>
      </c>
      <c r="F33" s="8">
        <v>10.56</v>
      </c>
      <c r="G33" s="8">
        <v>6.96</v>
      </c>
      <c r="H33" s="8">
        <v>7.56</v>
      </c>
      <c r="I33" s="8">
        <v>4.5599999999999996</v>
      </c>
      <c r="J33" s="8"/>
    </row>
    <row r="34" spans="1:10" ht="27.75" customHeight="1">
      <c r="A34" s="6" t="s">
        <v>37</v>
      </c>
      <c r="B34" s="8">
        <v>3.76</v>
      </c>
      <c r="C34" s="8">
        <v>2.7</v>
      </c>
      <c r="D34" s="8">
        <v>6.36</v>
      </c>
      <c r="E34" s="8">
        <v>3.96</v>
      </c>
      <c r="F34" s="8">
        <v>10.16</v>
      </c>
      <c r="G34" s="8">
        <v>6.96</v>
      </c>
      <c r="H34" s="8">
        <v>8.76</v>
      </c>
      <c r="I34" s="8">
        <v>4.16</v>
      </c>
      <c r="J34" s="8"/>
    </row>
    <row r="35" spans="1:10" ht="27.75" customHeight="1">
      <c r="B35" s="8">
        <f>B34/2</f>
        <v>1.88</v>
      </c>
      <c r="C35" s="8">
        <f t="shared" ref="C35:I35" si="0">C34/2</f>
        <v>1.35</v>
      </c>
      <c r="D35" s="8">
        <f t="shared" si="0"/>
        <v>3.18</v>
      </c>
      <c r="E35" s="8">
        <f t="shared" si="0"/>
        <v>1.98</v>
      </c>
      <c r="F35" s="8">
        <f t="shared" si="0"/>
        <v>5.08</v>
      </c>
      <c r="G35" s="8">
        <f t="shared" si="0"/>
        <v>3.48</v>
      </c>
      <c r="H35" s="8">
        <f t="shared" si="0"/>
        <v>4.38</v>
      </c>
      <c r="I35" s="8">
        <f t="shared" si="0"/>
        <v>2.08</v>
      </c>
      <c r="J35" s="8"/>
    </row>
    <row r="36" spans="1:10" ht="19.95" customHeight="1">
      <c r="A36" s="9" t="s">
        <v>38</v>
      </c>
      <c r="B36" s="10">
        <f>B34/B33-1</f>
        <v>-0.13761467889908263</v>
      </c>
      <c r="C36" s="10">
        <f t="shared" ref="C36:I36" si="1">C34/C33-1</f>
        <v>0</v>
      </c>
      <c r="D36" s="10">
        <f t="shared" si="1"/>
        <v>0</v>
      </c>
      <c r="E36" s="10">
        <f t="shared" si="1"/>
        <v>0</v>
      </c>
      <c r="F36" s="10">
        <f t="shared" si="1"/>
        <v>-3.7878787878787956E-2</v>
      </c>
      <c r="G36" s="10">
        <f t="shared" si="1"/>
        <v>0</v>
      </c>
      <c r="H36" s="10">
        <f t="shared" si="1"/>
        <v>0.15873015873015883</v>
      </c>
      <c r="I36" s="10">
        <f t="shared" si="1"/>
        <v>-8.7719298245613975E-2</v>
      </c>
      <c r="J36" s="10"/>
    </row>
    <row r="37" spans="1:10" ht="25.2" customHeight="1">
      <c r="A37" s="9" t="s">
        <v>39</v>
      </c>
      <c r="B37" s="10">
        <f>B34/B2-1</f>
        <v>0.17499999999999982</v>
      </c>
      <c r="C37" s="10">
        <f t="shared" ref="C37:I37" si="2">C34/C2-1</f>
        <v>0.5</v>
      </c>
      <c r="D37" s="10">
        <f t="shared" si="2"/>
        <v>2.1800000000000002</v>
      </c>
      <c r="E37" s="10">
        <f t="shared" si="2"/>
        <v>0.98</v>
      </c>
      <c r="F37" s="10">
        <f t="shared" si="2"/>
        <v>-0.12413793103448267</v>
      </c>
      <c r="G37" s="10">
        <f t="shared" si="2"/>
        <v>-3.3333333333333326E-2</v>
      </c>
      <c r="H37" s="10">
        <f t="shared" si="2"/>
        <v>0.32727272727272738</v>
      </c>
      <c r="I37" s="10">
        <f t="shared" si="2"/>
        <v>-0.22962962962962963</v>
      </c>
      <c r="J37" s="10"/>
    </row>
    <row r="38" spans="1:10" ht="26.7" customHeight="1">
      <c r="B38" s="2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7</v>
      </c>
      <c r="I38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