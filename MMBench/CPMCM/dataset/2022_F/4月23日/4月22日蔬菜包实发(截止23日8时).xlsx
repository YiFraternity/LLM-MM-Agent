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3日\"/>
    </mc:Choice>
  </mc:AlternateContent>
  <xr:revisionPtr revIDLastSave="0" documentId="8_{419B2F07-3E4F-438F-9410-EAD80C47169B}" xr6:coauthVersionLast="36" xr6:coauthVersionMax="36" xr10:uidLastSave="{00000000-0000-0000-0000-000000000000}"/>
  <bookViews>
    <workbookView xWindow="32769" yWindow="32769" windowWidth="19817" windowHeight="7860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H4" i="3"/>
  <c r="I4" i="3"/>
  <c r="F5" i="3"/>
  <c r="F4" i="3" s="1"/>
  <c r="F6" i="3"/>
  <c r="F7" i="3"/>
  <c r="F8" i="3"/>
  <c r="F9" i="3"/>
  <c r="F10" i="3"/>
  <c r="F11" i="3"/>
  <c r="F12" i="3"/>
  <c r="F13" i="3"/>
</calcChain>
</file>

<file path=xl/sharedStrings.xml><?xml version="1.0" encoding="utf-8"?>
<sst xmlns="http://schemas.openxmlformats.org/spreadsheetml/2006/main" count="34" uniqueCount="23">
  <si>
    <t>序号</t>
  </si>
  <si>
    <t>城区、开发区</t>
  </si>
  <si>
    <t>备注</t>
  </si>
  <si>
    <t>箱数</t>
  </si>
  <si>
    <t>重量（吨）</t>
  </si>
  <si>
    <t>合计</t>
  </si>
  <si>
    <t>朝阳</t>
  </si>
  <si>
    <t>无需求</t>
  </si>
  <si>
    <t>南关</t>
  </si>
  <si>
    <t>宽城</t>
  </si>
  <si>
    <t>二道</t>
  </si>
  <si>
    <t>绿园</t>
  </si>
  <si>
    <t>新区</t>
  </si>
  <si>
    <t>经开</t>
  </si>
  <si>
    <t>净月</t>
  </si>
  <si>
    <t>汽开</t>
  </si>
  <si>
    <r>
      <t>4月20</t>
    </r>
    <r>
      <rPr>
        <b/>
        <sz val="11"/>
        <rFont val="宋体"/>
        <charset val="134"/>
      </rPr>
      <t>日提报需求量</t>
    </r>
    <phoneticPr fontId="2" type="noConversion"/>
  </si>
  <si>
    <t>4月22日蔬菜包（箱）发放表</t>
    <phoneticPr fontId="2" type="noConversion"/>
  </si>
  <si>
    <t>4月22日实际发放量</t>
    <phoneticPr fontId="2" type="noConversion"/>
  </si>
  <si>
    <r>
      <t>4月21</t>
    </r>
    <r>
      <rPr>
        <b/>
        <sz val="11"/>
        <rFont val="宋体"/>
        <charset val="134"/>
      </rPr>
      <t>日提报需求量</t>
    </r>
    <phoneticPr fontId="2" type="noConversion"/>
  </si>
  <si>
    <t>宽城区正式申报无需求，21日下午临时提报6500箱急用，22日又临时急用增加1500箱。</t>
    <phoneticPr fontId="2" type="noConversion"/>
  </si>
  <si>
    <t xml:space="preserve">    注：22日到货3645箱32,81吨，发放给各区7997箱71.97吨，截止22日库存21442箱192.98吨。</t>
    <phoneticPr fontId="2" type="noConversion"/>
  </si>
  <si>
    <t>制表时间：4月23日8时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</si>
</sst>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_ "/>
    <numFmt numFmtId="179" formatCode="0.00_ "/>
  </numFmts>
  <fonts count="8" x14ac:knownFonts="1">
    <font>
      <sz val="11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b/>
      <sz val="18"/>
      <color rgb="FF00000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right" vertical="center" indent="1"/>
    </xf>
    <xf numFmtId="177" fontId="4" fillId="3" borderId="1" xfId="0" applyNumberFormat="1" applyFont="1" applyFill="1" applyBorder="1" applyAlignment="1">
      <alignment horizontal="right" vertical="center" indent="1"/>
    </xf>
    <xf numFmtId="0" fontId="4" fillId="3" borderId="1" xfId="0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right" vertical="center" indent="1"/>
    </xf>
    <xf numFmtId="179" fontId="4" fillId="5" borderId="1" xfId="0" applyNumberFormat="1" applyFont="1" applyFill="1" applyBorder="1" applyAlignment="1">
      <alignment horizontal="right" vertical="center" indent="1"/>
    </xf>
    <xf numFmtId="0" fontId="4" fillId="0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right" vertical="center" indent="1"/>
    </xf>
    <xf numFmtId="0" fontId="4" fillId="0" borderId="1" xfId="0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176" fontId="0" fillId="5" borderId="1" xfId="0" applyNumberFormat="1" applyFont="1" applyFill="1" applyBorder="1" applyAlignment="1">
      <alignment horizontal="right" vertical="center" indent="1"/>
    </xf>
    <xf numFmtId="0" fontId="6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79" fontId="4" fillId="0" borderId="4" xfId="0" applyNumberFormat="1" applyFont="1" applyFill="1" applyBorder="1" applyAlignment="1">
      <alignment horizontal="center" vertical="center"/>
    </xf>
    <xf numFmtId="176" fontId="0" fillId="5" borderId="4" xfId="0" applyNumberFormat="1" applyFont="1" applyFill="1" applyBorder="1" applyAlignment="1">
      <alignment horizontal="right" vertical="center" indent="1"/>
    </xf>
    <xf numFmtId="179" fontId="4" fillId="5" borderId="4" xfId="0" applyNumberFormat="1" applyFont="1" applyFill="1" applyBorder="1" applyAlignment="1">
      <alignment horizontal="right" vertical="center" indent="1"/>
    </xf>
    <xf numFmtId="0" fontId="4" fillId="0" borderId="4" xfId="0" applyFont="1" applyFill="1" applyBorder="1" applyAlignment="1">
      <alignment horizontal="center" vertical="center" wrapText="1"/>
    </xf>
    <xf numFmtId="49" fontId="4" fillId="0" borderId="0" xfId="0" applyNumberFormat="1" applyFont="1" applyFill="1">
      <alignment vertical="center"/>
    </xf>
    <xf numFmtId="49" fontId="5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179" fontId="4" fillId="4" borderId="5" xfId="0" applyNumberFormat="1" applyFont="1" applyFill="1" applyBorder="1" applyAlignment="1">
      <alignment horizontal="center" vertical="center"/>
    </xf>
    <xf numFmtId="179" fontId="4" fillId="0" borderId="5" xfId="0" applyNumberFormat="1" applyFont="1" applyFill="1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0" fontId="0" fillId="5" borderId="0" xfId="0" applyNumberFormat="1" applyFill="1" applyAlignment="1">
      <alignment horizontal="left" vertical="center" wrapText="1"/>
    </xf>
    <xf numFmtId="0" fontId="0" fillId="5" borderId="0" xfId="0" applyNumberFormat="1" applyFont="1" applyFill="1" applyAlignment="1">
      <alignment horizontal="left" vertical="center" wrapText="1"/>
    </xf>
    <xf numFmtId="49" fontId="7" fillId="0" borderId="0" xfId="0" applyNumberFormat="1" applyFont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wrapText="1"/>
    </xf>
    <xf numFmtId="49" fontId="3" fillId="2" borderId="9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SheetLayoutView="100" workbookViewId="0">
      <selection activeCell="D19" sqref="D19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9" ht="40" customHeight="1" x14ac:dyDescent="0.3">
      <c r="A1" s="39" t="s">
        <v>17</v>
      </c>
      <c r="B1" s="39"/>
      <c r="C1" s="39"/>
      <c r="D1" s="39"/>
      <c r="E1" s="39"/>
      <c r="F1" s="39"/>
      <c r="G1" s="39"/>
      <c r="H1" s="39"/>
      <c r="I1" s="39"/>
    </row>
    <row r="2" spans="1:9" ht="27" customHeight="1" x14ac:dyDescent="0.3">
      <c r="A2" s="43" t="s">
        <v>0</v>
      </c>
      <c r="B2" s="45" t="s">
        <v>1</v>
      </c>
      <c r="C2" s="40" t="s">
        <v>16</v>
      </c>
      <c r="D2" s="40"/>
      <c r="E2" s="40" t="s">
        <v>18</v>
      </c>
      <c r="F2" s="40"/>
      <c r="G2" s="47" t="s">
        <v>2</v>
      </c>
      <c r="H2" s="40" t="s">
        <v>19</v>
      </c>
      <c r="I2" s="41"/>
    </row>
    <row r="3" spans="1:9" ht="27" customHeight="1" x14ac:dyDescent="0.3">
      <c r="A3" s="44"/>
      <c r="B3" s="46"/>
      <c r="C3" s="1" t="s">
        <v>3</v>
      </c>
      <c r="D3" s="1" t="s">
        <v>4</v>
      </c>
      <c r="E3" s="1" t="s">
        <v>3</v>
      </c>
      <c r="F3" s="1" t="s">
        <v>4</v>
      </c>
      <c r="G3" s="48"/>
      <c r="H3" s="1" t="s">
        <v>3</v>
      </c>
      <c r="I3" s="33" t="s">
        <v>4</v>
      </c>
    </row>
    <row r="4" spans="1:9" ht="28" customHeight="1" x14ac:dyDescent="0.3">
      <c r="A4" s="2"/>
      <c r="B4" s="3" t="s">
        <v>5</v>
      </c>
      <c r="C4" s="4">
        <f>SUM(C5:C13)</f>
        <v>0</v>
      </c>
      <c r="D4" s="5">
        <f>SUM(D5:D13)</f>
        <v>0</v>
      </c>
      <c r="E4" s="6">
        <f>SUM(E5:E13)</f>
        <v>7997</v>
      </c>
      <c r="F4" s="7">
        <f>SUM(F5:F13)</f>
        <v>71.972999999999999</v>
      </c>
      <c r="G4" s="8"/>
      <c r="H4" s="9">
        <f>SUM(H5:H13)</f>
        <v>3000</v>
      </c>
      <c r="I4" s="34">
        <f>SUM(I5:I13)</f>
        <v>27</v>
      </c>
    </row>
    <row r="5" spans="1:9" ht="28" customHeight="1" x14ac:dyDescent="0.3">
      <c r="A5" s="10">
        <v>1</v>
      </c>
      <c r="B5" s="11" t="s">
        <v>6</v>
      </c>
      <c r="C5" s="12">
        <v>0</v>
      </c>
      <c r="D5" s="13">
        <v>0</v>
      </c>
      <c r="E5" s="14">
        <v>0</v>
      </c>
      <c r="F5" s="15">
        <f t="shared" ref="F5:F13" si="0">E5*18/2000</f>
        <v>0</v>
      </c>
      <c r="G5" s="16" t="s">
        <v>7</v>
      </c>
      <c r="H5" s="12">
        <v>0</v>
      </c>
      <c r="I5" s="35">
        <v>0</v>
      </c>
    </row>
    <row r="6" spans="1:9" ht="28" customHeight="1" x14ac:dyDescent="0.3">
      <c r="A6" s="10">
        <v>2</v>
      </c>
      <c r="B6" s="11" t="s">
        <v>8</v>
      </c>
      <c r="C6" s="12">
        <v>0</v>
      </c>
      <c r="D6" s="13">
        <v>0</v>
      </c>
      <c r="E6" s="17">
        <v>0</v>
      </c>
      <c r="F6" s="15">
        <f t="shared" si="0"/>
        <v>0</v>
      </c>
      <c r="G6" s="16" t="s">
        <v>7</v>
      </c>
      <c r="H6" s="12">
        <v>0</v>
      </c>
      <c r="I6" s="35">
        <v>0</v>
      </c>
    </row>
    <row r="7" spans="1:9" ht="60.75" customHeight="1" x14ac:dyDescent="0.3">
      <c r="A7" s="10">
        <v>3</v>
      </c>
      <c r="B7" s="11" t="s">
        <v>9</v>
      </c>
      <c r="C7" s="12">
        <v>0</v>
      </c>
      <c r="D7" s="13">
        <v>0</v>
      </c>
      <c r="E7" s="17">
        <v>7997</v>
      </c>
      <c r="F7" s="15">
        <f t="shared" si="0"/>
        <v>71.972999999999999</v>
      </c>
      <c r="G7" s="18" t="s">
        <v>20</v>
      </c>
      <c r="H7" s="12">
        <v>3000</v>
      </c>
      <c r="I7" s="35">
        <v>27</v>
      </c>
    </row>
    <row r="8" spans="1:9" ht="28" customHeight="1" x14ac:dyDescent="0.3">
      <c r="A8" s="10">
        <v>4</v>
      </c>
      <c r="B8" s="11" t="s">
        <v>10</v>
      </c>
      <c r="C8" s="12">
        <v>0</v>
      </c>
      <c r="D8" s="13">
        <v>0</v>
      </c>
      <c r="E8" s="17">
        <v>0</v>
      </c>
      <c r="F8" s="15">
        <f t="shared" si="0"/>
        <v>0</v>
      </c>
      <c r="G8" s="16" t="s">
        <v>7</v>
      </c>
      <c r="H8" s="12">
        <v>0</v>
      </c>
      <c r="I8" s="35">
        <v>0</v>
      </c>
    </row>
    <row r="9" spans="1:9" ht="28" customHeight="1" x14ac:dyDescent="0.3">
      <c r="A9" s="10">
        <v>5</v>
      </c>
      <c r="B9" s="19" t="s">
        <v>11</v>
      </c>
      <c r="C9" s="12">
        <v>0</v>
      </c>
      <c r="D9" s="13">
        <v>0</v>
      </c>
      <c r="E9" s="17">
        <v>0</v>
      </c>
      <c r="F9" s="15">
        <f t="shared" si="0"/>
        <v>0</v>
      </c>
      <c r="G9" s="16" t="s">
        <v>7</v>
      </c>
      <c r="H9" s="12">
        <v>0</v>
      </c>
      <c r="I9" s="35">
        <v>0</v>
      </c>
    </row>
    <row r="10" spans="1:9" ht="28" customHeight="1" x14ac:dyDescent="0.3">
      <c r="A10" s="10">
        <v>6</v>
      </c>
      <c r="B10" s="19" t="s">
        <v>12</v>
      </c>
      <c r="C10" s="12">
        <v>0</v>
      </c>
      <c r="D10" s="13">
        <v>0</v>
      </c>
      <c r="E10" s="20">
        <v>0</v>
      </c>
      <c r="F10" s="15">
        <f t="shared" si="0"/>
        <v>0</v>
      </c>
      <c r="G10" s="16" t="s">
        <v>7</v>
      </c>
      <c r="H10" s="12">
        <v>0</v>
      </c>
      <c r="I10" s="35">
        <v>0</v>
      </c>
    </row>
    <row r="11" spans="1:9" ht="28" customHeight="1" x14ac:dyDescent="0.3">
      <c r="A11" s="10">
        <v>7</v>
      </c>
      <c r="B11" s="19" t="s">
        <v>13</v>
      </c>
      <c r="C11" s="12">
        <v>0</v>
      </c>
      <c r="D11" s="13">
        <v>0</v>
      </c>
      <c r="E11" s="20">
        <v>0</v>
      </c>
      <c r="F11" s="15">
        <f t="shared" si="0"/>
        <v>0</v>
      </c>
      <c r="G11" s="16" t="s">
        <v>7</v>
      </c>
      <c r="H11" s="12">
        <v>0</v>
      </c>
      <c r="I11" s="35">
        <v>0</v>
      </c>
    </row>
    <row r="12" spans="1:9" ht="28" customHeight="1" x14ac:dyDescent="0.3">
      <c r="A12" s="10">
        <v>8</v>
      </c>
      <c r="B12" s="19" t="s">
        <v>14</v>
      </c>
      <c r="C12" s="12">
        <v>0</v>
      </c>
      <c r="D12" s="13">
        <v>0</v>
      </c>
      <c r="E12" s="20">
        <v>0</v>
      </c>
      <c r="F12" s="15">
        <f t="shared" si="0"/>
        <v>0</v>
      </c>
      <c r="G12" s="16" t="s">
        <v>7</v>
      </c>
      <c r="H12" s="12">
        <v>0</v>
      </c>
      <c r="I12" s="35">
        <v>0</v>
      </c>
    </row>
    <row r="13" spans="1:9" ht="28" customHeight="1" x14ac:dyDescent="0.3">
      <c r="A13" s="21">
        <v>9</v>
      </c>
      <c r="B13" s="22" t="s">
        <v>15</v>
      </c>
      <c r="C13" s="23">
        <v>0</v>
      </c>
      <c r="D13" s="24">
        <v>0</v>
      </c>
      <c r="E13" s="25">
        <v>0</v>
      </c>
      <c r="F13" s="26">
        <f t="shared" si="0"/>
        <v>0</v>
      </c>
      <c r="G13" s="27" t="s">
        <v>7</v>
      </c>
      <c r="H13" s="23">
        <v>0</v>
      </c>
      <c r="I13" s="36">
        <v>0</v>
      </c>
    </row>
    <row r="14" spans="1:9" ht="25.5" customHeight="1" x14ac:dyDescent="0.3">
      <c r="A14" s="28"/>
      <c r="B14" s="29"/>
      <c r="C14" s="30"/>
      <c r="D14" s="31"/>
      <c r="E14" s="32"/>
      <c r="F14" s="31"/>
      <c r="G14" s="42" t="s">
        <v>22</v>
      </c>
      <c r="H14" s="42"/>
      <c r="I14" s="42"/>
    </row>
    <row r="15" spans="1:9" ht="23.25" customHeight="1" x14ac:dyDescent="0.3">
      <c r="A15" s="37" t="s">
        <v>21</v>
      </c>
      <c r="B15" s="38"/>
      <c r="C15" s="38"/>
      <c r="D15" s="38"/>
      <c r="E15" s="38"/>
      <c r="F15" s="38"/>
      <c r="G15" s="38"/>
      <c r="H15" s="38"/>
      <c r="I15" s="38"/>
    </row>
    <row r="16" spans="1:9" ht="23.25" customHeight="1" x14ac:dyDescent="0.3">
      <c r="A16" s="38"/>
      <c r="B16" s="38"/>
      <c r="C16" s="38"/>
      <c r="D16" s="38"/>
      <c r="E16" s="38"/>
      <c r="F16" s="38"/>
      <c r="G16" s="38"/>
      <c r="H16" s="38"/>
      <c r="I16" s="38"/>
    </row>
  </sheetData>
  <mergeCells count="9">
    <mergeCell ref="A15:I16"/>
    <mergeCell ref="A1:I1"/>
    <mergeCell ref="C2:D2"/>
    <mergeCell ref="E2:F2"/>
    <mergeCell ref="H2:I2"/>
    <mergeCell ref="G14:I14"/>
    <mergeCell ref="A2:A3"/>
    <mergeCell ref="B2:B3"/>
    <mergeCell ref="G2:G3"/>
  </mergeCells>
  <phoneticPr fontId="2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2022-04-15T15:18:26Z</cp:lastPrinted>
  <dcterms:created xsi:type="dcterms:W3CDTF">2022-04-06T21:31:00Z</dcterms:created>
  <dcterms:modified xsi:type="dcterms:W3CDTF">2025-03-30T13:21:53Z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3796BE9F032A4D41BADFAF8B29E6E9C5</vt:lpwstr>
  </property>
  <property fmtid="{D5CDD505-2E9C-101B-9397-08002B2CF9AE}" pid="3" name="KSOProductBuildVer">
    <vt:lpwstr>2052-11.1.0.11372</vt:lpwstr>
  </property>
</Properties>
</file>