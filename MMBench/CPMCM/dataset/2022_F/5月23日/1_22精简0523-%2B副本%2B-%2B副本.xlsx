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23日\"/>
    </mc:Choice>
  </mc:AlternateContent>
  <xr:revisionPtr revIDLastSave="0" documentId="8_{D44EA6FE-7211-4069-B7BB-120C2D586D0F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7" i="1" l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</calcChain>
</file>

<file path=xl/sharedStrings.xml><?xml version="1.0" encoding="utf-8"?>
<sst xmlns="http://schemas.openxmlformats.org/spreadsheetml/2006/main" count="55" uniqueCount="37">
  <si>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</si>
  <si>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</si>
  <si>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</si>
  <si>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</si>
  <si>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</si>
  <si>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</si>
  <si>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</si>
  <si>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</si>
  <si>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</si>
  <si>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</si>
  <si>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</si>
  <si>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</si>
  <si>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</si>
  <si>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</si>
  <si>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</si>
  <si>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</si>
  <si>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</si>
  <si>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</si>
  <si>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</si>
  <si>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</si>
  <si>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</si>
  <si>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</si>
  <si>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</si>
  <si>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</si>
  <si>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</si>
  <si>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</si>
  <si>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</si>
  <si>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</si>
  <si>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</si>
  <si>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</si>
  <si>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</si>
  <si>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</si>
  <si>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21日</t>
  </si>
  <si>
    <t>22日</t>
  </si>
  <si>
    <t>23日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</si>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</sst>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25937688728627"/>
          <c:y val="2.410171178450696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00000000000001"/>
          <c:y val="0.20400000000000001"/>
          <c:w val="0.84599999999999997"/>
          <c:h val="0.59425000000000006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  <c:pt idx="32">
                  <c:v>21日</c:v>
                </c:pt>
                <c:pt idx="33">
                  <c:v>22日</c:v>
                </c:pt>
                <c:pt idx="34">
                  <c:v>23日</c:v>
                </c:pt>
              </c:strCache>
            </c:strRef>
          </c:cat>
          <c:val>
            <c:numRef>
              <c:f>工作表1!$B$2:$B$36</c:f>
              <c:numCache>
                <c:formatCode>0.00_ </c:formatCode>
                <c:ptCount val="35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2.76</c:v>
                </c:pt>
                <c:pt idx="25">
                  <c:v>2.76</c:v>
                </c:pt>
                <c:pt idx="26">
                  <c:v>2.96</c:v>
                </c:pt>
                <c:pt idx="27">
                  <c:v>2.96</c:v>
                </c:pt>
                <c:pt idx="28">
                  <c:v>2.96</c:v>
                </c:pt>
                <c:pt idx="29">
                  <c:v>2.96</c:v>
                </c:pt>
                <c:pt idx="30">
                  <c:v>2.76</c:v>
                </c:pt>
                <c:pt idx="31">
                  <c:v>2.76</c:v>
                </c:pt>
                <c:pt idx="32">
                  <c:v>2.56</c:v>
                </c:pt>
                <c:pt idx="33">
                  <c:v>2.56</c:v>
                </c:pt>
                <c:pt idx="34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5-49FE-AB93-17D7C015B34A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  <c:pt idx="32">
                  <c:v>21日</c:v>
                </c:pt>
                <c:pt idx="33">
                  <c:v>22日</c:v>
                </c:pt>
                <c:pt idx="34">
                  <c:v>23日</c:v>
                </c:pt>
              </c:strCache>
            </c:strRef>
          </c:cat>
          <c:val>
            <c:numRef>
              <c:f>工作表1!$C$2:$C$36</c:f>
              <c:numCache>
                <c:formatCode>0.00_ </c:formatCode>
                <c:ptCount val="35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  <c:pt idx="21">
                  <c:v>2.96</c:v>
                </c:pt>
                <c:pt idx="22">
                  <c:v>2.96</c:v>
                </c:pt>
                <c:pt idx="23">
                  <c:v>2.96</c:v>
                </c:pt>
                <c:pt idx="24">
                  <c:v>2.96</c:v>
                </c:pt>
                <c:pt idx="25">
                  <c:v>2.96</c:v>
                </c:pt>
                <c:pt idx="26">
                  <c:v>1.98</c:v>
                </c:pt>
                <c:pt idx="27">
                  <c:v>1.98</c:v>
                </c:pt>
                <c:pt idx="28">
                  <c:v>1.98</c:v>
                </c:pt>
                <c:pt idx="29">
                  <c:v>1.98</c:v>
                </c:pt>
                <c:pt idx="30">
                  <c:v>1.98</c:v>
                </c:pt>
                <c:pt idx="31">
                  <c:v>1.98</c:v>
                </c:pt>
                <c:pt idx="32">
                  <c:v>1.98</c:v>
                </c:pt>
                <c:pt idx="33">
                  <c:v>1.98</c:v>
                </c:pt>
                <c:pt idx="34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25-49FE-AB93-17D7C015B34A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  <c:pt idx="32">
                  <c:v>21日</c:v>
                </c:pt>
                <c:pt idx="33">
                  <c:v>22日</c:v>
                </c:pt>
                <c:pt idx="34">
                  <c:v>23日</c:v>
                </c:pt>
              </c:strCache>
            </c:strRef>
          </c:cat>
          <c:val>
            <c:numRef>
              <c:f>工作表1!$D$2:$D$36</c:f>
              <c:numCache>
                <c:formatCode>0.00_ 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  <c:pt idx="23">
                  <c:v>3.76</c:v>
                </c:pt>
                <c:pt idx="24">
                  <c:v>3.76</c:v>
                </c:pt>
                <c:pt idx="25">
                  <c:v>3.76</c:v>
                </c:pt>
                <c:pt idx="26">
                  <c:v>3.76</c:v>
                </c:pt>
                <c:pt idx="27">
                  <c:v>3.76</c:v>
                </c:pt>
                <c:pt idx="28">
                  <c:v>3.76</c:v>
                </c:pt>
                <c:pt idx="29">
                  <c:v>2.56</c:v>
                </c:pt>
                <c:pt idx="30">
                  <c:v>2.56</c:v>
                </c:pt>
                <c:pt idx="31">
                  <c:v>2.56</c:v>
                </c:pt>
                <c:pt idx="32">
                  <c:v>2.56</c:v>
                </c:pt>
                <c:pt idx="33">
                  <c:v>2.56</c:v>
                </c:pt>
                <c:pt idx="34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25-49FE-AB93-17D7C015B34A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  <c:pt idx="32">
                  <c:v>21日</c:v>
                </c:pt>
                <c:pt idx="33">
                  <c:v>22日</c:v>
                </c:pt>
                <c:pt idx="34">
                  <c:v>23日</c:v>
                </c:pt>
              </c:strCache>
            </c:strRef>
          </c:cat>
          <c:val>
            <c:numRef>
              <c:f>工作表1!$E$2:$E$36</c:f>
              <c:numCache>
                <c:formatCode>0.00_ 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  <c:pt idx="23">
                  <c:v>3.96</c:v>
                </c:pt>
                <c:pt idx="24">
                  <c:v>3.96</c:v>
                </c:pt>
                <c:pt idx="25">
                  <c:v>3.96</c:v>
                </c:pt>
                <c:pt idx="26">
                  <c:v>3.96</c:v>
                </c:pt>
                <c:pt idx="27">
                  <c:v>3.96</c:v>
                </c:pt>
                <c:pt idx="28">
                  <c:v>3.96</c:v>
                </c:pt>
                <c:pt idx="29">
                  <c:v>3.96</c:v>
                </c:pt>
                <c:pt idx="30">
                  <c:v>3.96</c:v>
                </c:pt>
                <c:pt idx="31">
                  <c:v>3.36</c:v>
                </c:pt>
                <c:pt idx="32">
                  <c:v>3.36</c:v>
                </c:pt>
                <c:pt idx="33">
                  <c:v>3.36</c:v>
                </c:pt>
                <c:pt idx="34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25-49FE-AB93-17D7C015B34A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  <c:pt idx="32">
                  <c:v>21日</c:v>
                </c:pt>
                <c:pt idx="33">
                  <c:v>22日</c:v>
                </c:pt>
                <c:pt idx="34">
                  <c:v>23日</c:v>
                </c:pt>
              </c:strCache>
            </c:strRef>
          </c:cat>
          <c:val>
            <c:numRef>
              <c:f>工作表1!$F$2:$F$36</c:f>
              <c:numCache>
                <c:formatCode>0.00_ </c:formatCode>
                <c:ptCount val="35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  <c:pt idx="21">
                  <c:v>9.76</c:v>
                </c:pt>
                <c:pt idx="22">
                  <c:v>9.76</c:v>
                </c:pt>
                <c:pt idx="23">
                  <c:v>9.9600000000000009</c:v>
                </c:pt>
                <c:pt idx="24">
                  <c:v>9.9600000000000009</c:v>
                </c:pt>
                <c:pt idx="25">
                  <c:v>9.16</c:v>
                </c:pt>
                <c:pt idx="26">
                  <c:v>9.36</c:v>
                </c:pt>
                <c:pt idx="27">
                  <c:v>9.36</c:v>
                </c:pt>
                <c:pt idx="28">
                  <c:v>9.36</c:v>
                </c:pt>
                <c:pt idx="29">
                  <c:v>9.9600000000000009</c:v>
                </c:pt>
                <c:pt idx="30">
                  <c:v>9.9600000000000009</c:v>
                </c:pt>
                <c:pt idx="31">
                  <c:v>6.56</c:v>
                </c:pt>
                <c:pt idx="32">
                  <c:v>5.98</c:v>
                </c:pt>
                <c:pt idx="33">
                  <c:v>5.98</c:v>
                </c:pt>
                <c:pt idx="34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25-49FE-AB93-17D7C015B34A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  <c:pt idx="32">
                  <c:v>21日</c:v>
                </c:pt>
                <c:pt idx="33">
                  <c:v>22日</c:v>
                </c:pt>
                <c:pt idx="34">
                  <c:v>23日</c:v>
                </c:pt>
              </c:strCache>
            </c:strRef>
          </c:cat>
          <c:val>
            <c:numRef>
              <c:f>工作表1!$G$2:$G$36</c:f>
              <c:numCache>
                <c:formatCode>0.00_ </c:formatCode>
                <c:ptCount val="35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  <c:pt idx="21">
                  <c:v>5.98</c:v>
                </c:pt>
                <c:pt idx="22">
                  <c:v>5.36</c:v>
                </c:pt>
                <c:pt idx="23">
                  <c:v>5.76</c:v>
                </c:pt>
                <c:pt idx="24">
                  <c:v>5.16</c:v>
                </c:pt>
                <c:pt idx="25">
                  <c:v>5.36</c:v>
                </c:pt>
                <c:pt idx="26">
                  <c:v>5.36</c:v>
                </c:pt>
                <c:pt idx="27">
                  <c:v>5.76</c:v>
                </c:pt>
                <c:pt idx="28">
                  <c:v>5.96</c:v>
                </c:pt>
                <c:pt idx="29">
                  <c:v>5.96</c:v>
                </c:pt>
                <c:pt idx="30">
                  <c:v>5.96</c:v>
                </c:pt>
                <c:pt idx="31">
                  <c:v>5.76</c:v>
                </c:pt>
                <c:pt idx="32">
                  <c:v>5.76</c:v>
                </c:pt>
                <c:pt idx="33">
                  <c:v>5.76</c:v>
                </c:pt>
                <c:pt idx="34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25-49FE-AB93-17D7C015B34A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  <c:pt idx="32">
                  <c:v>21日</c:v>
                </c:pt>
                <c:pt idx="33">
                  <c:v>22日</c:v>
                </c:pt>
                <c:pt idx="34">
                  <c:v>23日</c:v>
                </c:pt>
              </c:strCache>
            </c:strRef>
          </c:cat>
          <c:val>
            <c:numRef>
              <c:f>工作表1!$H$2:$H$36</c:f>
              <c:numCache>
                <c:formatCode>0.00_ </c:formatCode>
                <c:ptCount val="35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4.96</c:v>
                </c:pt>
                <c:pt idx="25">
                  <c:v>4.5599999999999996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4.5599999999999996</c:v>
                </c:pt>
                <c:pt idx="29">
                  <c:v>4.5599999999999996</c:v>
                </c:pt>
                <c:pt idx="30">
                  <c:v>3.96</c:v>
                </c:pt>
                <c:pt idx="31">
                  <c:v>3.96</c:v>
                </c:pt>
                <c:pt idx="32">
                  <c:v>3.96</c:v>
                </c:pt>
                <c:pt idx="33">
                  <c:v>3.96</c:v>
                </c:pt>
                <c:pt idx="34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25-49FE-AB93-17D7C015B34A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  <c:pt idx="32">
                  <c:v>21日</c:v>
                </c:pt>
                <c:pt idx="33">
                  <c:v>22日</c:v>
                </c:pt>
                <c:pt idx="34">
                  <c:v>23日</c:v>
                </c:pt>
              </c:strCache>
            </c:strRef>
          </c:cat>
          <c:val>
            <c:numRef>
              <c:f>工作表1!$I$2:$I$36</c:f>
              <c:numCache>
                <c:formatCode>0.00_ </c:formatCode>
                <c:ptCount val="35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  <c:pt idx="21">
                  <c:v>3.96</c:v>
                </c:pt>
                <c:pt idx="22">
                  <c:v>3.76</c:v>
                </c:pt>
                <c:pt idx="23">
                  <c:v>3.56</c:v>
                </c:pt>
                <c:pt idx="24">
                  <c:v>3.56</c:v>
                </c:pt>
                <c:pt idx="25">
                  <c:v>3.36</c:v>
                </c:pt>
                <c:pt idx="26">
                  <c:v>3.56</c:v>
                </c:pt>
                <c:pt idx="27">
                  <c:v>3.56</c:v>
                </c:pt>
                <c:pt idx="28">
                  <c:v>4.5599999999999996</c:v>
                </c:pt>
                <c:pt idx="29">
                  <c:v>4.76</c:v>
                </c:pt>
                <c:pt idx="30">
                  <c:v>4.5599999999999996</c:v>
                </c:pt>
                <c:pt idx="31">
                  <c:v>4.5599999999999996</c:v>
                </c:pt>
                <c:pt idx="32">
                  <c:v>4.5599999999999996</c:v>
                </c:pt>
                <c:pt idx="33">
                  <c:v>4.5599999999999996</c:v>
                </c:pt>
                <c:pt idx="34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25-49FE-AB93-17D7C015B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457375"/>
        <c:axId val="1"/>
      </c:lineChart>
      <c:catAx>
        <c:axId val="15944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0"/>
              <c:y val="0.53747628061615005"/>
            </c:manualLayout>
          </c:layout>
          <c:overlay val="0"/>
        </c:title>
        <c:numFmt formatCode="0.00_ 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5944573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5457172252991878"/>
          <c:y val="0.9043264187485468"/>
          <c:w val="0.55630513867593812"/>
          <c:h val="3.3253258447255976E-2"/>
        </c:manualLayout>
      </c:layout>
      <c:overlay val="0"/>
      <c:spPr>
        <a:noFill/>
        <a:ln w="127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511629</xdr:colOff>
      <xdr:row>27</xdr:row>
      <xdr:rowOff>76200</xdr:rowOff>
    </xdr:from>
    <xdr:to>
      <xdr:col>28</xdr:col>
      <xdr:colOff>272143</xdr:colOff>
      <xdr:row>52</xdr:row>
      <xdr:rowOff>65314</xdr:rowOff>
    </xdr:to>
    <xdr:graphicFrame macro="">
      <xdr:nvGraphicFramePr>
        <xdr:cNvPr id="1027" name="图表 1">
          <a:extLst>
            <a:ext uri="{FF2B5EF4-FFF2-40B4-BE49-F238E27FC236}">
              <a16:creationId xmlns:a16="http://schemas.microsoft.com/office/drawing/2014/main" id="{B16642DF-A6E5-47F8-AD19-3DFADE55E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tabSelected="1" topLeftCell="A26" zoomScale="85" workbookViewId="0">
      <selection activeCell="A39" sqref="A39:IV39"/>
    </sheetView>
  </sheetViews>
  <sheetFormatPr defaultColWidth="9" defaultRowHeight="15"/>
  <cols>
    <col min="1" max="1" width="8.640625" style="1" bestFit="1" customWidth="1"/>
    <col min="2" max="2" width="8.5" style="1" bestFit="1" customWidth="1"/>
    <col min="3" max="3" width="8.2109375" style="1" bestFit="1" customWidth="1"/>
    <col min="4" max="5" width="8.35546875" style="1" bestFit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.1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.1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.1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.1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.1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.1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.1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.1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.1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.1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.1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.1" customHeight="1">
      <c r="A20" s="6" t="s">
        <v>10</v>
      </c>
      <c r="B20" s="8">
        <v>3.56</v>
      </c>
      <c r="C20" s="8">
        <v>2.56</v>
      </c>
      <c r="D20" s="8">
        <v>3.76</v>
      </c>
      <c r="E20" s="8">
        <v>3.96</v>
      </c>
      <c r="F20" s="8">
        <v>7.96</v>
      </c>
      <c r="G20" s="8">
        <v>5.98</v>
      </c>
      <c r="H20" s="8">
        <v>6.36</v>
      </c>
      <c r="I20" s="8">
        <v>3.96</v>
      </c>
      <c r="J20" s="8"/>
    </row>
    <row r="21" spans="1:10" ht="28.1" customHeight="1">
      <c r="A21" s="6" t="s">
        <v>22</v>
      </c>
      <c r="B21" s="8">
        <v>3.56</v>
      </c>
      <c r="C21" s="8">
        <v>2.56</v>
      </c>
      <c r="D21" s="8">
        <v>3.76</v>
      </c>
      <c r="E21" s="8">
        <v>3.96</v>
      </c>
      <c r="F21" s="8">
        <v>7.96</v>
      </c>
      <c r="G21" s="8">
        <v>5.98</v>
      </c>
      <c r="H21" s="8">
        <v>6.36</v>
      </c>
      <c r="I21" s="8">
        <v>3.56</v>
      </c>
      <c r="J21" s="8"/>
    </row>
    <row r="22" spans="1:10" ht="28.1" customHeight="1">
      <c r="A22" s="6" t="s">
        <v>23</v>
      </c>
      <c r="B22" s="8">
        <v>3.56</v>
      </c>
      <c r="C22" s="8">
        <v>2.96</v>
      </c>
      <c r="D22" s="8">
        <v>3.76</v>
      </c>
      <c r="E22" s="8">
        <v>3.96</v>
      </c>
      <c r="F22" s="8">
        <v>9.76</v>
      </c>
      <c r="G22" s="8">
        <v>6.76</v>
      </c>
      <c r="H22" s="8">
        <v>5.76</v>
      </c>
      <c r="I22" s="8">
        <v>4.3600000000000003</v>
      </c>
      <c r="J22" s="8"/>
    </row>
    <row r="23" spans="1:10" ht="28.1" customHeight="1">
      <c r="A23" s="6" t="s">
        <v>11</v>
      </c>
      <c r="B23" s="8">
        <v>3.56</v>
      </c>
      <c r="C23" s="8">
        <v>2.96</v>
      </c>
      <c r="D23" s="8">
        <v>3.76</v>
      </c>
      <c r="E23" s="8">
        <v>3.96</v>
      </c>
      <c r="F23" s="8">
        <v>9.76</v>
      </c>
      <c r="G23" s="8">
        <v>5.98</v>
      </c>
      <c r="H23" s="8">
        <v>5.76</v>
      </c>
      <c r="I23" s="8">
        <v>3.96</v>
      </c>
      <c r="J23" s="8"/>
    </row>
    <row r="24" spans="1:10" ht="28.1" customHeight="1">
      <c r="A24" s="6" t="s">
        <v>24</v>
      </c>
      <c r="B24" s="8">
        <v>3.56</v>
      </c>
      <c r="C24" s="8">
        <v>2.96</v>
      </c>
      <c r="D24" s="8">
        <v>3.76</v>
      </c>
      <c r="E24" s="8">
        <v>3.96</v>
      </c>
      <c r="F24" s="8">
        <v>9.76</v>
      </c>
      <c r="G24" s="8">
        <v>5.36</v>
      </c>
      <c r="H24" s="8">
        <v>5.76</v>
      </c>
      <c r="I24" s="8">
        <v>3.76</v>
      </c>
      <c r="J24" s="8"/>
    </row>
    <row r="25" spans="1:10" ht="28.1" customHeight="1">
      <c r="A25" s="6" t="s">
        <v>25</v>
      </c>
      <c r="B25" s="8">
        <v>3.56</v>
      </c>
      <c r="C25" s="8">
        <v>2.96</v>
      </c>
      <c r="D25" s="8">
        <v>3.76</v>
      </c>
      <c r="E25" s="8">
        <v>3.96</v>
      </c>
      <c r="F25" s="8">
        <v>9.9600000000000009</v>
      </c>
      <c r="G25" s="8">
        <v>5.76</v>
      </c>
      <c r="H25" s="8">
        <v>5.76</v>
      </c>
      <c r="I25" s="8">
        <v>3.56</v>
      </c>
      <c r="J25" s="8"/>
    </row>
    <row r="26" spans="1:10" ht="28.1" customHeight="1">
      <c r="A26" s="6" t="s">
        <v>26</v>
      </c>
      <c r="B26" s="8">
        <v>2.76</v>
      </c>
      <c r="C26" s="8">
        <v>2.96</v>
      </c>
      <c r="D26" s="8">
        <v>3.76</v>
      </c>
      <c r="E26" s="8">
        <v>3.96</v>
      </c>
      <c r="F26" s="8">
        <v>9.9600000000000009</v>
      </c>
      <c r="G26" s="8">
        <v>5.16</v>
      </c>
      <c r="H26" s="8">
        <v>4.96</v>
      </c>
      <c r="I26" s="8">
        <v>3.56</v>
      </c>
      <c r="J26" s="8"/>
    </row>
    <row r="27" spans="1:10" ht="28.1" customHeight="1">
      <c r="A27" s="6" t="s">
        <v>27</v>
      </c>
      <c r="B27" s="8">
        <v>2.76</v>
      </c>
      <c r="C27" s="8">
        <v>2.96</v>
      </c>
      <c r="D27" s="8">
        <v>3.76</v>
      </c>
      <c r="E27" s="8">
        <v>3.96</v>
      </c>
      <c r="F27" s="8">
        <v>9.16</v>
      </c>
      <c r="G27" s="8">
        <v>5.36</v>
      </c>
      <c r="H27" s="8">
        <v>4.5599999999999996</v>
      </c>
      <c r="I27" s="8">
        <v>3.36</v>
      </c>
      <c r="J27" s="8"/>
    </row>
    <row r="28" spans="1:10" ht="28.1" customHeight="1">
      <c r="A28" s="6" t="s">
        <v>12</v>
      </c>
      <c r="B28" s="8">
        <v>2.96</v>
      </c>
      <c r="C28" s="8">
        <v>1.98</v>
      </c>
      <c r="D28" s="8">
        <v>3.76</v>
      </c>
      <c r="E28" s="8">
        <v>3.96</v>
      </c>
      <c r="F28" s="8">
        <v>9.36</v>
      </c>
      <c r="G28" s="8">
        <v>5.36</v>
      </c>
      <c r="H28" s="8">
        <v>4.5599999999999996</v>
      </c>
      <c r="I28" s="8">
        <v>3.56</v>
      </c>
      <c r="J28" s="8"/>
    </row>
    <row r="29" spans="1:10" ht="28.1" customHeight="1">
      <c r="A29" s="6" t="s">
        <v>28</v>
      </c>
      <c r="B29" s="8">
        <v>2.96</v>
      </c>
      <c r="C29" s="8">
        <v>1.98</v>
      </c>
      <c r="D29" s="8">
        <v>3.76</v>
      </c>
      <c r="E29" s="8">
        <v>3.96</v>
      </c>
      <c r="F29" s="8">
        <v>9.36</v>
      </c>
      <c r="G29" s="8">
        <v>5.76</v>
      </c>
      <c r="H29" s="8">
        <v>4.5599999999999996</v>
      </c>
      <c r="I29" s="8">
        <v>3.56</v>
      </c>
      <c r="J29" s="8"/>
    </row>
    <row r="30" spans="1:10" ht="28.1" customHeight="1">
      <c r="A30" s="6" t="s">
        <v>29</v>
      </c>
      <c r="B30" s="8">
        <v>2.96</v>
      </c>
      <c r="C30" s="8">
        <v>1.98</v>
      </c>
      <c r="D30" s="8">
        <v>3.76</v>
      </c>
      <c r="E30" s="8">
        <v>3.96</v>
      </c>
      <c r="F30" s="8">
        <v>9.36</v>
      </c>
      <c r="G30" s="8">
        <v>5.96</v>
      </c>
      <c r="H30" s="8">
        <v>4.5599999999999996</v>
      </c>
      <c r="I30" s="8">
        <v>4.5599999999999996</v>
      </c>
      <c r="J30" s="8"/>
    </row>
    <row r="31" spans="1:10" ht="28.1" customHeight="1">
      <c r="A31" s="6" t="s">
        <v>30</v>
      </c>
      <c r="B31" s="8">
        <v>2.96</v>
      </c>
      <c r="C31" s="8">
        <v>1.98</v>
      </c>
      <c r="D31" s="8">
        <v>2.56</v>
      </c>
      <c r="E31" s="8">
        <v>3.96</v>
      </c>
      <c r="F31" s="8">
        <v>9.9600000000000009</v>
      </c>
      <c r="G31" s="8">
        <v>5.96</v>
      </c>
      <c r="H31" s="8">
        <v>4.5599999999999996</v>
      </c>
      <c r="I31" s="8">
        <v>4.76</v>
      </c>
      <c r="J31" s="8"/>
    </row>
    <row r="32" spans="1:10" ht="28.1" customHeight="1">
      <c r="A32" s="6" t="s">
        <v>31</v>
      </c>
      <c r="B32" s="8">
        <v>2.76</v>
      </c>
      <c r="C32" s="8">
        <v>1.98</v>
      </c>
      <c r="D32" s="8">
        <v>2.56</v>
      </c>
      <c r="E32" s="8">
        <v>3.96</v>
      </c>
      <c r="F32" s="8">
        <v>9.9600000000000009</v>
      </c>
      <c r="G32" s="8">
        <v>5.96</v>
      </c>
      <c r="H32" s="8">
        <v>3.96</v>
      </c>
      <c r="I32" s="8">
        <v>4.5599999999999996</v>
      </c>
      <c r="J32" s="8"/>
    </row>
    <row r="33" spans="1:10" ht="28.1" customHeight="1">
      <c r="A33" s="6" t="s">
        <v>13</v>
      </c>
      <c r="B33" s="8">
        <v>2.76</v>
      </c>
      <c r="C33" s="8">
        <v>1.98</v>
      </c>
      <c r="D33" s="8">
        <v>2.56</v>
      </c>
      <c r="E33" s="8">
        <v>3.36</v>
      </c>
      <c r="F33" s="8">
        <v>6.56</v>
      </c>
      <c r="G33" s="8">
        <v>5.76</v>
      </c>
      <c r="H33" s="8">
        <v>3.96</v>
      </c>
      <c r="I33" s="8">
        <v>4.5599999999999996</v>
      </c>
      <c r="J33" s="8"/>
    </row>
    <row r="34" spans="1:10" ht="28.1" customHeight="1">
      <c r="A34" s="6" t="s">
        <v>32</v>
      </c>
      <c r="B34" s="8">
        <v>2.56</v>
      </c>
      <c r="C34" s="8">
        <v>1.98</v>
      </c>
      <c r="D34" s="8">
        <v>2.56</v>
      </c>
      <c r="E34" s="8">
        <v>3.36</v>
      </c>
      <c r="F34" s="8">
        <v>5.98</v>
      </c>
      <c r="G34" s="8">
        <v>5.76</v>
      </c>
      <c r="H34" s="8">
        <v>3.96</v>
      </c>
      <c r="I34" s="8">
        <v>4.5599999999999996</v>
      </c>
      <c r="J34" s="8"/>
    </row>
    <row r="35" spans="1:10" ht="28.1" customHeight="1">
      <c r="A35" s="6" t="s">
        <v>33</v>
      </c>
      <c r="B35" s="8">
        <v>2.56</v>
      </c>
      <c r="C35" s="8">
        <v>1.98</v>
      </c>
      <c r="D35" s="8">
        <v>2.56</v>
      </c>
      <c r="E35" s="8">
        <v>3.36</v>
      </c>
      <c r="F35" s="8">
        <v>5.98</v>
      </c>
      <c r="G35" s="8">
        <v>5.76</v>
      </c>
      <c r="H35" s="8">
        <v>3.96</v>
      </c>
      <c r="I35" s="8">
        <v>4.5599999999999996</v>
      </c>
      <c r="J35" s="8"/>
    </row>
    <row r="36" spans="1:10" ht="28.1" customHeight="1">
      <c r="A36" s="6" t="s">
        <v>34</v>
      </c>
      <c r="B36" s="8">
        <v>2.56</v>
      </c>
      <c r="C36" s="8">
        <v>3.56</v>
      </c>
      <c r="D36" s="8">
        <v>2.56</v>
      </c>
      <c r="E36" s="8">
        <v>2.96</v>
      </c>
      <c r="F36" s="8">
        <v>5.96</v>
      </c>
      <c r="G36" s="8">
        <v>5.16</v>
      </c>
      <c r="H36" s="8">
        <v>4.3600000000000003</v>
      </c>
      <c r="I36" s="8">
        <v>5.16</v>
      </c>
      <c r="J36" s="8"/>
    </row>
    <row r="37" spans="1:10" ht="28.1" customHeight="1">
      <c r="B37" s="8">
        <f t="shared" ref="B37:I37" si="0">B36/2</f>
        <v>1.28</v>
      </c>
      <c r="C37" s="8">
        <f t="shared" si="0"/>
        <v>1.78</v>
      </c>
      <c r="D37" s="8">
        <f t="shared" si="0"/>
        <v>1.28</v>
      </c>
      <c r="E37" s="8">
        <f t="shared" si="0"/>
        <v>1.48</v>
      </c>
      <c r="F37" s="8">
        <f t="shared" si="0"/>
        <v>2.98</v>
      </c>
      <c r="G37" s="8">
        <f t="shared" si="0"/>
        <v>2.58</v>
      </c>
      <c r="H37" s="8">
        <f t="shared" si="0"/>
        <v>2.1800000000000002</v>
      </c>
      <c r="I37" s="8">
        <f t="shared" si="0"/>
        <v>2.58</v>
      </c>
      <c r="J37" s="8"/>
    </row>
    <row r="38" spans="1:10" ht="19.95" customHeight="1">
      <c r="A38" s="9" t="s">
        <v>35</v>
      </c>
      <c r="B38" s="10">
        <f t="shared" ref="B38:I38" si="1">B36/B35-1</f>
        <v>0</v>
      </c>
      <c r="C38" s="10">
        <f t="shared" si="1"/>
        <v>0.79797979797979801</v>
      </c>
      <c r="D38" s="10">
        <f t="shared" si="1"/>
        <v>0</v>
      </c>
      <c r="E38" s="10">
        <f t="shared" si="1"/>
        <v>-0.11904761904761907</v>
      </c>
      <c r="F38" s="10">
        <f t="shared" si="1"/>
        <v>-3.3444816053512794E-3</v>
      </c>
      <c r="G38" s="10">
        <f t="shared" si="1"/>
        <v>-0.10416666666666663</v>
      </c>
      <c r="H38" s="10">
        <f t="shared" si="1"/>
        <v>0.10101010101010099</v>
      </c>
      <c r="I38" s="10">
        <f t="shared" si="1"/>
        <v>0.13157894736842124</v>
      </c>
      <c r="J38" s="10"/>
    </row>
    <row r="39" spans="1:10" ht="25.1" customHeight="1">
      <c r="A39" s="9" t="s">
        <v>36</v>
      </c>
      <c r="B39" s="10">
        <f t="shared" ref="B39:I39" si="2">B36/B2-1</f>
        <v>-0.20000000000000007</v>
      </c>
      <c r="C39" s="10">
        <f t="shared" si="2"/>
        <v>0.97777777777777786</v>
      </c>
      <c r="D39" s="10">
        <f t="shared" si="2"/>
        <v>0.28000000000000003</v>
      </c>
      <c r="E39" s="10">
        <f t="shared" si="2"/>
        <v>0.48</v>
      </c>
      <c r="F39" s="10">
        <f t="shared" si="2"/>
        <v>-0.48620689655172411</v>
      </c>
      <c r="G39" s="10">
        <f t="shared" si="2"/>
        <v>-0.28333333333333333</v>
      </c>
      <c r="H39" s="10">
        <f t="shared" si="2"/>
        <v>-0.33939393939393936</v>
      </c>
      <c r="I39" s="10">
        <f t="shared" si="2"/>
        <v>-4.4444444444444509E-2</v>
      </c>
      <c r="J39" s="10"/>
    </row>
    <row r="40" spans="1:10" ht="26.25" customHeight="1"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