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4日\"/>
    </mc:Choice>
  </mc:AlternateContent>
  <xr:revisionPtr revIDLastSave="0" documentId="8_{7D1F462B-F412-4B4A-9CE0-CC2064852DCC}" xr6:coauthVersionLast="36" xr6:coauthVersionMax="36" xr10:uidLastSave="{00000000-0000-0000-0000-000000000000}"/>
  <bookViews>
    <workbookView xWindow="32769" yWindow="32769" windowWidth="28800" windowHeight="12317"/>
  </bookViews>
  <sheets>
    <sheet name="4.14" sheetId="6" r:id="rId1"/>
  </sheets>
  <definedNames>
    <definedName name="_xlnm.Print_Area" localSheetId="0">'4.14'!$A$1:$S$20</definedName>
    <definedName name="_xlnm.Print_Titles" localSheetId="0">'4.14'!$1:$6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P20" i="6" s="1"/>
  <c r="Q7" i="6"/>
  <c r="Q20" i="6" s="1"/>
  <c r="R7" i="6"/>
  <c r="S7" i="6"/>
  <c r="P8" i="6"/>
  <c r="Q8" i="6"/>
  <c r="R8" i="6"/>
  <c r="S8" i="6"/>
  <c r="P9" i="6"/>
  <c r="Q9" i="6"/>
  <c r="R9" i="6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D20" i="6"/>
  <c r="E20" i="6"/>
  <c r="F20" i="6"/>
  <c r="G20" i="6"/>
  <c r="H20" i="6"/>
  <c r="I20" i="6"/>
  <c r="J20" i="6"/>
  <c r="K20" i="6"/>
  <c r="L20" i="6"/>
  <c r="M20" i="6"/>
  <c r="N20" i="6"/>
  <c r="O20" i="6"/>
  <c r="R20" i="6"/>
  <c r="S20" i="6"/>
</calcChain>
</file>

<file path=xl/sharedStrings.xml><?xml version="1.0" encoding="utf-8"?>
<sst xmlns="http://schemas.openxmlformats.org/spreadsheetml/2006/main" count="54" uniqueCount="35">
  <si>
    <t>4月14日长春各区行政保供蔬菜包情况表</t>
  </si>
  <si>
    <t>统计时间段：14日0-18时</t>
  </si>
  <si>
    <t>上报时间：4月14日18时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</si>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</sst>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5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"/>
  <sheetViews>
    <sheetView tabSelected="1" view="pageBreakPreview" zoomScaleNormal="85" workbookViewId="0">
      <pane ySplit="6" topLeftCell="A13" activePane="bottomLeft" state="frozen"/>
      <selection pane="bottomLeft" activeCell="P21" sqref="P21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3" max="23" width="9.35546875" bestFit="1" customWidth="1"/>
  </cols>
  <sheetData>
    <row r="1" spans="1:19" ht="18" customHeight="1" x14ac:dyDescent="0.3">
      <c r="A1" s="36"/>
      <c r="B1" s="36"/>
      <c r="C1" s="3"/>
    </row>
    <row r="2" spans="1:19" ht="28" customHeight="1" x14ac:dyDescent="0.3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23.05" customHeight="1" x14ac:dyDescent="0.3">
      <c r="A3" s="38" t="s">
        <v>1</v>
      </c>
      <c r="B3" s="38"/>
      <c r="C3" s="38"/>
      <c r="D3" s="38"/>
      <c r="E3" s="38"/>
      <c r="F3" s="16"/>
      <c r="G3" s="4"/>
      <c r="H3" s="4"/>
      <c r="I3" s="38"/>
      <c r="J3" s="38"/>
      <c r="K3" s="38"/>
      <c r="L3" s="24"/>
      <c r="M3" s="38"/>
      <c r="N3" s="38"/>
      <c r="O3" s="38"/>
      <c r="P3" s="38" t="s">
        <v>2</v>
      </c>
      <c r="Q3" s="38"/>
      <c r="R3" s="38"/>
    </row>
    <row r="4" spans="1:19" ht="33" customHeight="1" x14ac:dyDescent="0.3">
      <c r="A4" s="53" t="s">
        <v>3</v>
      </c>
      <c r="B4" s="51" t="s">
        <v>4</v>
      </c>
      <c r="C4" s="39" t="s">
        <v>5</v>
      </c>
      <c r="D4" s="40"/>
      <c r="E4" s="40"/>
      <c r="F4" s="40"/>
      <c r="G4" s="41"/>
      <c r="H4" s="42" t="s">
        <v>6</v>
      </c>
      <c r="I4" s="43"/>
      <c r="J4" s="43"/>
      <c r="K4" s="44"/>
      <c r="L4" s="45" t="s">
        <v>7</v>
      </c>
      <c r="M4" s="46"/>
      <c r="N4" s="46"/>
      <c r="O4" s="46"/>
      <c r="P4" s="47" t="s">
        <v>8</v>
      </c>
      <c r="Q4" s="47"/>
      <c r="R4" s="47"/>
      <c r="S4" s="47"/>
    </row>
    <row r="5" spans="1:19" ht="33" customHeight="1" x14ac:dyDescent="0.3">
      <c r="A5" s="53"/>
      <c r="B5" s="51"/>
      <c r="C5" s="58" t="s">
        <v>9</v>
      </c>
      <c r="D5" s="48" t="s">
        <v>10</v>
      </c>
      <c r="E5" s="48"/>
      <c r="F5" s="40" t="s">
        <v>11</v>
      </c>
      <c r="G5" s="41"/>
      <c r="H5" s="49" t="s">
        <v>10</v>
      </c>
      <c r="I5" s="49"/>
      <c r="J5" s="43" t="s">
        <v>11</v>
      </c>
      <c r="K5" s="44"/>
      <c r="L5" s="45" t="s">
        <v>12</v>
      </c>
      <c r="M5" s="50"/>
      <c r="N5" s="45" t="s">
        <v>11</v>
      </c>
      <c r="O5" s="46"/>
      <c r="P5" s="51" t="s">
        <v>13</v>
      </c>
      <c r="Q5" s="51"/>
      <c r="R5" s="47" t="s">
        <v>11</v>
      </c>
      <c r="S5" s="47"/>
    </row>
    <row r="6" spans="1:19" ht="45" customHeight="1" x14ac:dyDescent="0.3">
      <c r="A6" s="53"/>
      <c r="B6" s="51"/>
      <c r="C6" s="59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5" t="s">
        <v>15</v>
      </c>
      <c r="J6" s="18" t="s">
        <v>14</v>
      </c>
      <c r="K6" s="25" t="s">
        <v>15</v>
      </c>
      <c r="L6" s="26" t="s">
        <v>14</v>
      </c>
      <c r="M6" s="26" t="s">
        <v>15</v>
      </c>
      <c r="N6" s="26" t="s">
        <v>14</v>
      </c>
      <c r="O6" s="26" t="s">
        <v>15</v>
      </c>
      <c r="P6" s="33" t="s">
        <v>14</v>
      </c>
      <c r="Q6" s="33" t="s">
        <v>15</v>
      </c>
      <c r="R6" s="33" t="s">
        <v>14</v>
      </c>
      <c r="S6" s="33" t="s">
        <v>15</v>
      </c>
    </row>
    <row r="7" spans="1:19" ht="39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7"/>
      <c r="J7" s="28">
        <v>0</v>
      </c>
      <c r="K7" s="27"/>
      <c r="L7" s="7">
        <v>11874</v>
      </c>
      <c r="M7" s="30">
        <v>118.7</v>
      </c>
      <c r="N7" s="7">
        <v>11874</v>
      </c>
      <c r="O7" s="30">
        <v>118.7</v>
      </c>
      <c r="P7" s="6">
        <f>H7+D7+L7</f>
        <v>11874</v>
      </c>
      <c r="Q7" s="21">
        <f t="shared" ref="Q7:Q12" si="0">I7+E7+M7</f>
        <v>118.7</v>
      </c>
      <c r="R7" s="35">
        <f t="shared" ref="R7:R11" si="1">J7+F7+N7</f>
        <v>11874</v>
      </c>
      <c r="S7" s="21">
        <f t="shared" ref="S7:S11" si="2">K7+G7+O7</f>
        <v>118.7</v>
      </c>
    </row>
    <row r="8" spans="1:19" ht="39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7"/>
      <c r="J8" s="28">
        <v>0</v>
      </c>
      <c r="K8" s="27"/>
      <c r="L8" s="7">
        <v>2270</v>
      </c>
      <c r="M8" s="30">
        <v>22.7</v>
      </c>
      <c r="N8" s="7">
        <v>2270</v>
      </c>
      <c r="O8" s="30">
        <v>22.7</v>
      </c>
      <c r="P8" s="6">
        <f t="shared" ref="P8:P12" si="3">H8+D8+L8</f>
        <v>2270</v>
      </c>
      <c r="Q8" s="21">
        <f t="shared" si="0"/>
        <v>22.7</v>
      </c>
      <c r="R8" s="35">
        <f t="shared" si="1"/>
        <v>2270</v>
      </c>
      <c r="S8" s="21">
        <f t="shared" si="2"/>
        <v>22.7</v>
      </c>
    </row>
    <row r="9" spans="1:19" ht="39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7"/>
      <c r="J9" s="28">
        <v>0</v>
      </c>
      <c r="K9" s="27"/>
      <c r="L9" s="7">
        <v>7029</v>
      </c>
      <c r="M9" s="30">
        <v>70</v>
      </c>
      <c r="N9" s="7">
        <v>5722</v>
      </c>
      <c r="O9" s="30">
        <v>57</v>
      </c>
      <c r="P9" s="6">
        <f t="shared" si="3"/>
        <v>7029</v>
      </c>
      <c r="Q9" s="21">
        <f t="shared" si="0"/>
        <v>70</v>
      </c>
      <c r="R9" s="35">
        <f t="shared" si="1"/>
        <v>5722</v>
      </c>
      <c r="S9" s="21">
        <f t="shared" si="2"/>
        <v>57</v>
      </c>
    </row>
    <row r="10" spans="1:19" ht="39" customHeight="1" x14ac:dyDescent="0.3">
      <c r="A10" s="9">
        <v>4</v>
      </c>
      <c r="B10" s="7" t="s">
        <v>19</v>
      </c>
      <c r="C10" s="7" t="s">
        <v>20</v>
      </c>
      <c r="D10" s="8">
        <v>0</v>
      </c>
      <c r="E10" s="20"/>
      <c r="F10" s="8">
        <v>2836</v>
      </c>
      <c r="G10" s="20">
        <v>28.36</v>
      </c>
      <c r="H10" s="7">
        <v>0</v>
      </c>
      <c r="I10" s="27"/>
      <c r="J10" s="28">
        <v>0</v>
      </c>
      <c r="K10" s="27"/>
      <c r="L10" s="8">
        <v>0</v>
      </c>
      <c r="M10" s="30"/>
      <c r="N10" s="8">
        <v>0</v>
      </c>
      <c r="O10" s="30"/>
      <c r="P10" s="6">
        <f t="shared" si="3"/>
        <v>0</v>
      </c>
      <c r="Q10" s="21">
        <f t="shared" si="0"/>
        <v>0</v>
      </c>
      <c r="R10" s="35">
        <f t="shared" si="1"/>
        <v>2836</v>
      </c>
      <c r="S10" s="21">
        <f t="shared" si="2"/>
        <v>28.36</v>
      </c>
    </row>
    <row r="11" spans="1:19" ht="39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7"/>
      <c r="J11" s="28">
        <v>0</v>
      </c>
      <c r="K11" s="27"/>
      <c r="L11" s="8">
        <v>16356</v>
      </c>
      <c r="M11" s="30">
        <v>93.1</v>
      </c>
      <c r="N11" s="8">
        <v>16356</v>
      </c>
      <c r="O11" s="30">
        <v>93.1</v>
      </c>
      <c r="P11" s="6">
        <f t="shared" si="3"/>
        <v>16356</v>
      </c>
      <c r="Q11" s="21">
        <f t="shared" si="0"/>
        <v>93.1</v>
      </c>
      <c r="R11" s="35">
        <f t="shared" si="1"/>
        <v>16356</v>
      </c>
      <c r="S11" s="21">
        <f t="shared" si="2"/>
        <v>93.1</v>
      </c>
    </row>
    <row r="12" spans="1:19" ht="39" customHeight="1" x14ac:dyDescent="0.3">
      <c r="A12" s="9">
        <v>6</v>
      </c>
      <c r="B12" s="7" t="s">
        <v>23</v>
      </c>
      <c r="C12" s="7" t="s">
        <v>24</v>
      </c>
      <c r="D12" s="8">
        <v>3000</v>
      </c>
      <c r="E12" s="20">
        <v>30</v>
      </c>
      <c r="F12" s="8">
        <v>3000</v>
      </c>
      <c r="G12" s="20">
        <v>30</v>
      </c>
      <c r="H12" s="7">
        <v>0</v>
      </c>
      <c r="I12" s="27"/>
      <c r="J12" s="28">
        <v>0</v>
      </c>
      <c r="K12" s="27"/>
      <c r="L12" s="7">
        <v>0</v>
      </c>
      <c r="M12" s="30"/>
      <c r="N12" s="7">
        <v>5757</v>
      </c>
      <c r="O12" s="30">
        <v>38.42</v>
      </c>
      <c r="P12" s="6">
        <f t="shared" si="3"/>
        <v>3000</v>
      </c>
      <c r="Q12" s="21">
        <f t="shared" si="0"/>
        <v>30</v>
      </c>
      <c r="R12" s="35">
        <f>F12+J12+N12</f>
        <v>8757</v>
      </c>
      <c r="S12" s="21">
        <f>G12+K12+O12</f>
        <v>68.42</v>
      </c>
    </row>
    <row r="13" spans="1:19" ht="39" customHeight="1" x14ac:dyDescent="0.3">
      <c r="A13" s="6">
        <v>7</v>
      </c>
      <c r="B13" s="7" t="s">
        <v>25</v>
      </c>
      <c r="C13" s="7" t="s">
        <v>26</v>
      </c>
      <c r="D13" s="8">
        <v>15000</v>
      </c>
      <c r="E13" s="20">
        <v>225</v>
      </c>
      <c r="F13" s="8">
        <v>15000</v>
      </c>
      <c r="G13" s="20">
        <v>225</v>
      </c>
      <c r="H13" s="8">
        <v>0</v>
      </c>
      <c r="I13" s="20"/>
      <c r="J13" s="29">
        <v>0</v>
      </c>
      <c r="K13" s="20"/>
      <c r="L13" s="7">
        <v>0</v>
      </c>
      <c r="M13" s="30"/>
      <c r="N13" s="7">
        <v>0</v>
      </c>
      <c r="O13" s="30"/>
      <c r="P13" s="6">
        <f>D13+H13+L13</f>
        <v>15000</v>
      </c>
      <c r="Q13" s="21">
        <f>E13+I13+M13</f>
        <v>225</v>
      </c>
      <c r="R13" s="35">
        <f>F13+J13+N13</f>
        <v>15000</v>
      </c>
      <c r="S13" s="21">
        <f>G13+K13+O13</f>
        <v>225</v>
      </c>
    </row>
    <row r="14" spans="1:19" ht="39" customHeight="1" x14ac:dyDescent="0.3">
      <c r="A14" s="54">
        <v>8</v>
      </c>
      <c r="B14" s="56" t="s">
        <v>27</v>
      </c>
      <c r="C14" s="7" t="s">
        <v>28</v>
      </c>
      <c r="D14" s="8">
        <v>0</v>
      </c>
      <c r="E14" s="20"/>
      <c r="F14" s="8">
        <v>0</v>
      </c>
      <c r="G14" s="20"/>
      <c r="H14" s="56">
        <v>4902</v>
      </c>
      <c r="I14" s="60">
        <v>44.118000000000002</v>
      </c>
      <c r="J14" s="62">
        <v>0</v>
      </c>
      <c r="K14" s="60"/>
      <c r="L14" s="56">
        <v>5671</v>
      </c>
      <c r="M14" s="60">
        <v>51</v>
      </c>
      <c r="N14" s="56">
        <v>5671</v>
      </c>
      <c r="O14" s="60">
        <v>51</v>
      </c>
      <c r="P14" s="54">
        <f>D14+D15+H14+L14</f>
        <v>10573</v>
      </c>
      <c r="Q14" s="54">
        <f>E14+E15+I14+M14</f>
        <v>95.117999999999995</v>
      </c>
      <c r="R14" s="54">
        <f>F14+F15+J14+N14</f>
        <v>5671</v>
      </c>
      <c r="S14" s="54">
        <f>G14+G15+K14+O14</f>
        <v>51</v>
      </c>
    </row>
    <row r="15" spans="1:19" ht="39" customHeight="1" x14ac:dyDescent="0.3">
      <c r="A15" s="55"/>
      <c r="B15" s="57"/>
      <c r="C15" s="7" t="s">
        <v>29</v>
      </c>
      <c r="D15" s="4">
        <v>0</v>
      </c>
      <c r="E15" s="20"/>
      <c r="F15" s="8">
        <v>0</v>
      </c>
      <c r="G15" s="20"/>
      <c r="H15" s="57"/>
      <c r="I15" s="61"/>
      <c r="J15" s="63"/>
      <c r="K15" s="61"/>
      <c r="L15" s="57"/>
      <c r="M15" s="61"/>
      <c r="N15" s="57"/>
      <c r="O15" s="61"/>
      <c r="P15" s="64"/>
      <c r="Q15" s="64"/>
      <c r="R15" s="64"/>
      <c r="S15" s="64"/>
    </row>
    <row r="16" spans="1:19" ht="39" customHeight="1" x14ac:dyDescent="0.3">
      <c r="A16" s="6">
        <v>9</v>
      </c>
      <c r="B16" s="11" t="s">
        <v>30</v>
      </c>
      <c r="C16" s="7" t="s">
        <v>31</v>
      </c>
      <c r="D16" s="12">
        <v>1931</v>
      </c>
      <c r="E16" s="21">
        <v>15.4</v>
      </c>
      <c r="F16" s="12">
        <v>0</v>
      </c>
      <c r="G16" s="22"/>
      <c r="H16" s="7">
        <v>0</v>
      </c>
      <c r="I16" s="27"/>
      <c r="J16" s="28">
        <v>0</v>
      </c>
      <c r="K16" s="27"/>
      <c r="L16" s="31">
        <v>0</v>
      </c>
      <c r="M16" s="30"/>
      <c r="N16" s="9">
        <v>0</v>
      </c>
      <c r="O16" s="34"/>
      <c r="P16" s="6">
        <f t="shared" ref="P16:S18" si="4">H16+D16+L16</f>
        <v>1931</v>
      </c>
      <c r="Q16" s="6">
        <f t="shared" si="4"/>
        <v>15.4</v>
      </c>
      <c r="R16" s="35">
        <f t="shared" si="4"/>
        <v>0</v>
      </c>
      <c r="S16" s="6">
        <f t="shared" si="4"/>
        <v>0</v>
      </c>
    </row>
    <row r="17" spans="1:19" ht="39" customHeight="1" x14ac:dyDescent="0.3">
      <c r="A17" s="6">
        <v>10</v>
      </c>
      <c r="B17" s="7" t="s">
        <v>32</v>
      </c>
      <c r="C17" s="7"/>
      <c r="D17" s="12">
        <v>0</v>
      </c>
      <c r="E17" s="21"/>
      <c r="F17" s="12">
        <v>0</v>
      </c>
      <c r="G17" s="22"/>
      <c r="H17" s="7">
        <v>0</v>
      </c>
      <c r="I17" s="27"/>
      <c r="J17" s="28">
        <v>0</v>
      </c>
      <c r="K17" s="27"/>
      <c r="L17" s="31">
        <v>1790</v>
      </c>
      <c r="M17" s="30">
        <v>17.899999999999999</v>
      </c>
      <c r="N17" s="9">
        <v>960</v>
      </c>
      <c r="O17" s="34">
        <v>9.6</v>
      </c>
      <c r="P17" s="6">
        <f t="shared" si="4"/>
        <v>1790</v>
      </c>
      <c r="Q17" s="21">
        <f t="shared" si="4"/>
        <v>17.899999999999999</v>
      </c>
      <c r="R17" s="35">
        <f t="shared" si="4"/>
        <v>960</v>
      </c>
      <c r="S17" s="21">
        <f t="shared" si="4"/>
        <v>9.6</v>
      </c>
    </row>
    <row r="18" spans="1:19" ht="39" customHeight="1" x14ac:dyDescent="0.3">
      <c r="A18" s="6">
        <v>11</v>
      </c>
      <c r="B18" s="7" t="s">
        <v>33</v>
      </c>
      <c r="C18" s="7"/>
      <c r="D18" s="12">
        <v>0</v>
      </c>
      <c r="E18" s="21"/>
      <c r="F18" s="12">
        <v>0</v>
      </c>
      <c r="G18" s="22"/>
      <c r="H18" s="7">
        <v>0</v>
      </c>
      <c r="I18" s="27"/>
      <c r="J18" s="28">
        <v>0</v>
      </c>
      <c r="K18" s="27"/>
      <c r="L18" s="31">
        <v>0</v>
      </c>
      <c r="M18" s="30"/>
      <c r="N18" s="9">
        <v>47</v>
      </c>
      <c r="O18" s="34">
        <v>0.4</v>
      </c>
      <c r="P18" s="6">
        <f t="shared" si="4"/>
        <v>0</v>
      </c>
      <c r="Q18" s="21">
        <f t="shared" si="4"/>
        <v>0</v>
      </c>
      <c r="R18" s="35">
        <f t="shared" si="4"/>
        <v>47</v>
      </c>
      <c r="S18" s="21">
        <f t="shared" si="4"/>
        <v>0.4</v>
      </c>
    </row>
    <row r="19" spans="1:19" ht="39" customHeight="1" x14ac:dyDescent="0.3">
      <c r="A19" s="6">
        <v>12</v>
      </c>
      <c r="B19" s="7" t="s">
        <v>34</v>
      </c>
      <c r="C19" s="13"/>
      <c r="D19" s="12">
        <v>0</v>
      </c>
      <c r="E19" s="21"/>
      <c r="F19" s="12">
        <v>0</v>
      </c>
      <c r="G19" s="22"/>
      <c r="H19" s="7">
        <v>0</v>
      </c>
      <c r="I19" s="27"/>
      <c r="J19" s="28">
        <v>0</v>
      </c>
      <c r="K19" s="27"/>
      <c r="L19" s="31">
        <v>0</v>
      </c>
      <c r="M19" s="30"/>
      <c r="N19" s="9">
        <v>0</v>
      </c>
      <c r="O19" s="34"/>
      <c r="P19" s="6"/>
      <c r="Q19" s="21"/>
      <c r="R19" s="35"/>
      <c r="S19" s="21"/>
    </row>
    <row r="20" spans="1:19" ht="41.05" customHeight="1" x14ac:dyDescent="0.3">
      <c r="A20" s="52" t="s">
        <v>8</v>
      </c>
      <c r="B20" s="52"/>
      <c r="C20" s="15"/>
      <c r="D20" s="14">
        <f t="shared" ref="D20:S20" si="5">SUM(D7:D19)</f>
        <v>19931</v>
      </c>
      <c r="E20" s="23">
        <f t="shared" si="5"/>
        <v>270.39999999999998</v>
      </c>
      <c r="F20" s="14">
        <f t="shared" si="5"/>
        <v>20836</v>
      </c>
      <c r="G20" s="23">
        <f t="shared" si="5"/>
        <v>283.36</v>
      </c>
      <c r="H20" s="14">
        <f t="shared" si="5"/>
        <v>4902</v>
      </c>
      <c r="I20" s="23">
        <f t="shared" si="5"/>
        <v>44.118000000000002</v>
      </c>
      <c r="J20" s="32">
        <f t="shared" si="5"/>
        <v>0</v>
      </c>
      <c r="K20" s="23">
        <f t="shared" si="5"/>
        <v>0</v>
      </c>
      <c r="L20" s="14">
        <f t="shared" si="5"/>
        <v>44990</v>
      </c>
      <c r="M20" s="23">
        <f t="shared" si="5"/>
        <v>373.4</v>
      </c>
      <c r="N20" s="14">
        <f t="shared" si="5"/>
        <v>48657</v>
      </c>
      <c r="O20" s="23">
        <f t="shared" si="5"/>
        <v>390.92</v>
      </c>
      <c r="P20" s="14">
        <f>SUM(P7:P19)</f>
        <v>69823</v>
      </c>
      <c r="Q20" s="23">
        <f t="shared" si="5"/>
        <v>687.91799999999989</v>
      </c>
      <c r="R20" s="14">
        <f t="shared" si="5"/>
        <v>69493</v>
      </c>
      <c r="S20" s="23">
        <f t="shared" si="5"/>
        <v>674.28</v>
      </c>
    </row>
  </sheetData>
  <mergeCells count="36">
    <mergeCell ref="P14:P15"/>
    <mergeCell ref="Q14:Q15"/>
    <mergeCell ref="R14:R15"/>
    <mergeCell ref="S14:S15"/>
    <mergeCell ref="J14:J15"/>
    <mergeCell ref="K14:K15"/>
    <mergeCell ref="L14:L15"/>
    <mergeCell ref="M14:M15"/>
    <mergeCell ref="N14:N15"/>
    <mergeCell ref="O14:O15"/>
    <mergeCell ref="P5:Q5"/>
    <mergeCell ref="R5:S5"/>
    <mergeCell ref="A20:B20"/>
    <mergeCell ref="A4:A6"/>
    <mergeCell ref="A14:A15"/>
    <mergeCell ref="B4:B6"/>
    <mergeCell ref="B14:B15"/>
    <mergeCell ref="C5:C6"/>
    <mergeCell ref="H14:H15"/>
    <mergeCell ref="I14:I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4.14</vt:lpstr>
      <vt:lpstr>'4.14'!Print_Area</vt:lpstr>
      <vt:lpstr>'4.14'!Print_Titles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1997-01-11T01:32:42Z</dcterms:created>
  <dcterms:modified xsi:type="dcterms:W3CDTF">2025-03-30T13:18:31Z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